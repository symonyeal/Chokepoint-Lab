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oimspp-my.sharepoint.com/personal/tmobrien_usgs_gov/Documents/old Desktop/facilities/"/>
    </mc:Choice>
  </mc:AlternateContent>
  <xr:revisionPtr revIDLastSave="0" documentId="8_{A829BC9F-F149-4B98-A5E6-5996E1001E46}" xr6:coauthVersionLast="47" xr6:coauthVersionMax="47" xr10:uidLastSave="{00000000-0000-0000-0000-000000000000}"/>
  <bookViews>
    <workbookView xWindow="-120" yWindow="-120" windowWidth="29040" windowHeight="15720" tabRatio="573" xr2:uid="{B6C0513D-6B74-4F47-910B-4D758C9285AD}"/>
  </bookViews>
  <sheets>
    <sheet name="US facility database_reconciled" sheetId="1" r:id="rId1"/>
    <sheet name="Explanation (Metadata)" sheetId="5" r:id="rId2"/>
  </sheets>
  <definedNames>
    <definedName name="_xlnm._FilterDatabase" localSheetId="0" hidden="1">'US facility database_reconciled'!$A$1:$BC$1290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24" i="1" l="1"/>
  <c r="U673" i="1"/>
  <c r="T153" i="1"/>
  <c r="T546" i="1"/>
  <c r="T543" i="1"/>
  <c r="T541" i="1"/>
  <c r="T603" i="1" l="1"/>
  <c r="T602" i="1"/>
  <c r="T957" i="1"/>
  <c r="T956" i="1"/>
  <c r="L894" i="1"/>
  <c r="L164" i="1"/>
  <c r="T92" i="1" l="1"/>
  <c r="L932" i="1"/>
  <c r="L1113" i="1"/>
  <c r="L798" i="1"/>
  <c r="L141" i="1"/>
  <c r="L733" i="1"/>
  <c r="T733" i="1"/>
  <c r="T877" i="1"/>
  <c r="T985" i="1"/>
  <c r="L985" i="1"/>
  <c r="T648" i="1" l="1"/>
  <c r="L648" i="1"/>
  <c r="T662" i="1"/>
  <c r="T613" i="1"/>
  <c r="T504" i="1"/>
  <c r="T1217" i="1"/>
  <c r="T872" i="1"/>
  <c r="T871" i="1"/>
  <c r="T870" i="1"/>
  <c r="T472" i="1"/>
  <c r="T28" i="1"/>
  <c r="T29" i="1"/>
  <c r="T178" i="1"/>
  <c r="T79" i="1" l="1"/>
  <c r="T78" i="1"/>
  <c r="T696" i="1" l="1"/>
  <c r="T1210" i="1"/>
  <c r="T695" i="1"/>
  <c r="T789" i="1"/>
  <c r="T187" i="1"/>
  <c r="T353" i="1"/>
  <c r="L187" i="1"/>
  <c r="L353" i="1"/>
  <c r="T247" i="1"/>
  <c r="T571" i="1"/>
  <c r="T1167" i="1"/>
  <c r="T121" i="1"/>
  <c r="T579" i="1"/>
  <c r="T1091" i="1"/>
  <c r="T197" i="1"/>
  <c r="T1228" i="1"/>
  <c r="T1229" i="1"/>
  <c r="T1021" i="1"/>
  <c r="L659" i="1"/>
  <c r="L1022" i="1"/>
  <c r="L611" i="1"/>
  <c r="T611" i="1"/>
  <c r="T329" i="1"/>
  <c r="L329" i="1"/>
  <c r="T850" i="1" l="1"/>
  <c r="L962" i="1" l="1"/>
  <c r="T1055" i="1"/>
  <c r="T1054" i="1"/>
  <c r="T1053" i="1"/>
  <c r="T1056" i="1"/>
  <c r="T1052" i="1"/>
  <c r="T1057" i="1"/>
  <c r="T1284" i="1"/>
  <c r="T1283" i="1"/>
  <c r="T1282" i="1"/>
  <c r="T1285" i="1"/>
  <c r="T1260" i="1"/>
  <c r="T1259" i="1"/>
  <c r="T1261" i="1"/>
  <c r="T20" i="1"/>
  <c r="T15" i="1"/>
  <c r="T17" i="1"/>
  <c r="T18" i="1"/>
  <c r="T16" i="1"/>
  <c r="T19" i="1"/>
  <c r="T1252" i="1"/>
  <c r="T1185" i="1" l="1"/>
  <c r="T522" i="1"/>
  <c r="T1050" i="1"/>
  <c r="T1061" i="1"/>
  <c r="T424" i="1"/>
  <c r="T1237" i="1"/>
  <c r="T1238" i="1"/>
  <c r="L510" i="1"/>
  <c r="T842" i="1"/>
  <c r="L842" i="1"/>
  <c r="T753" i="1"/>
  <c r="L753" i="1"/>
  <c r="T751" i="1"/>
  <c r="L751" i="1"/>
  <c r="L974" i="1"/>
  <c r="L1097" i="1"/>
  <c r="L1040" i="1"/>
  <c r="L1070" i="1"/>
  <c r="L874" i="1"/>
  <c r="L150" i="1"/>
  <c r="L1271" i="1"/>
  <c r="L297" i="1"/>
  <c r="L604" i="1"/>
  <c r="L764" i="1"/>
  <c r="L29" i="1"/>
  <c r="L221" i="1"/>
  <c r="L469" i="1"/>
  <c r="L577" i="1"/>
  <c r="L14" i="1"/>
  <c r="L87" i="1"/>
  <c r="L839" i="1"/>
  <c r="L722" i="1"/>
  <c r="L531" i="1"/>
  <c r="L309" i="1"/>
  <c r="L549" i="1"/>
  <c r="L550" i="1"/>
  <c r="L427" i="1"/>
  <c r="L90" i="1"/>
  <c r="L1028" i="1"/>
  <c r="L1030" i="1"/>
  <c r="L307" i="1"/>
  <c r="L325" i="1"/>
  <c r="L495" i="1"/>
  <c r="L958" i="1"/>
  <c r="L1199" i="1"/>
  <c r="L467" i="1"/>
  <c r="L984" i="1"/>
  <c r="L346" i="1"/>
  <c r="L348" i="1"/>
  <c r="L426" i="1"/>
  <c r="L560" i="1"/>
  <c r="L710" i="1"/>
  <c r="L688" i="1"/>
  <c r="L689" i="1"/>
  <c r="L971" i="1"/>
  <c r="L169" i="1"/>
  <c r="L418" i="1"/>
  <c r="L1240" i="1"/>
  <c r="L1163" i="1"/>
  <c r="L175" i="1"/>
  <c r="L503" i="1"/>
  <c r="L357" i="1"/>
  <c r="L616" i="1"/>
  <c r="L1151" i="1"/>
  <c r="L1072" i="1"/>
  <c r="L790" i="1"/>
  <c r="L973" i="1"/>
  <c r="L642" i="1"/>
  <c r="L358" i="1"/>
  <c r="L995" i="1"/>
  <c r="L589" i="1"/>
  <c r="T589" i="1"/>
  <c r="T14" i="1"/>
  <c r="T743" i="1"/>
  <c r="T646" i="1"/>
  <c r="T211" i="1"/>
  <c r="T129" i="1"/>
  <c r="L834" i="1"/>
  <c r="T976" i="1" l="1"/>
  <c r="L976" i="1"/>
  <c r="T148" i="1"/>
  <c r="L1032" i="1"/>
  <c r="T549" i="1"/>
  <c r="T548" i="1"/>
  <c r="L222" i="1"/>
  <c r="T1010" i="1"/>
  <c r="T1009" i="1"/>
  <c r="T575" i="1"/>
  <c r="T425" i="1"/>
  <c r="L425" i="1"/>
  <c r="T581" i="1"/>
  <c r="T653" i="1"/>
  <c r="T327" i="1"/>
  <c r="L327" i="1"/>
  <c r="T89" i="1"/>
  <c r="L89" i="1"/>
  <c r="T1029" i="1"/>
  <c r="L1029" i="1"/>
  <c r="T936" i="1"/>
  <c r="L434" i="1"/>
  <c r="T473" i="1"/>
  <c r="L473" i="1"/>
  <c r="T320" i="1"/>
  <c r="L320" i="1"/>
  <c r="L1221" i="1"/>
  <c r="T1221" i="1"/>
  <c r="T868" i="1"/>
  <c r="T430" i="1"/>
  <c r="L1275" i="1"/>
  <c r="L534" i="1"/>
  <c r="L196" i="1"/>
  <c r="L1149" i="1"/>
  <c r="L1276" i="1"/>
  <c r="L1168" i="1"/>
  <c r="L1092" i="1"/>
  <c r="L1073" i="1"/>
  <c r="L1020" i="1"/>
  <c r="L884" i="1"/>
  <c r="L858" i="1"/>
  <c r="L818" i="1"/>
  <c r="L808" i="1"/>
  <c r="L660" i="1"/>
  <c r="L1023" i="1"/>
  <c r="L612" i="1"/>
  <c r="L528" i="1"/>
  <c r="L474" i="1"/>
  <c r="L337" i="1"/>
  <c r="L328" i="1"/>
  <c r="L614" i="1"/>
  <c r="L188" i="1"/>
  <c r="L183" i="1"/>
  <c r="L34" i="1"/>
  <c r="L349" i="1"/>
  <c r="L1031" i="1"/>
  <c r="L1041" i="1"/>
  <c r="L1107" i="1"/>
  <c r="L684" i="1"/>
  <c r="L849" i="1"/>
  <c r="L823" i="1"/>
  <c r="L754" i="1"/>
  <c r="L509" i="1"/>
  <c r="L216" i="1"/>
  <c r="L213" i="1"/>
  <c r="L715" i="1"/>
  <c r="L1236" i="1"/>
  <c r="L133" i="1"/>
  <c r="L1286" i="1"/>
  <c r="L1278" i="1"/>
  <c r="L1103" i="1"/>
  <c r="L1102" i="1"/>
  <c r="L1093" i="1"/>
  <c r="L440" i="1"/>
  <c r="L354" i="1"/>
  <c r="L302" i="1"/>
  <c r="L74" i="1"/>
  <c r="L1058" i="1"/>
  <c r="L1256" i="1"/>
  <c r="L931" i="1"/>
  <c r="L915" i="1"/>
  <c r="L914" i="1"/>
  <c r="L913" i="1"/>
  <c r="L930" i="1"/>
  <c r="L912" i="1"/>
  <c r="L608" i="1"/>
  <c r="L911" i="1"/>
  <c r="L893" i="1"/>
  <c r="L929" i="1"/>
  <c r="L1159" i="1"/>
  <c r="L910" i="1"/>
  <c r="L908" i="1"/>
  <c r="L909" i="1"/>
  <c r="L1112" i="1"/>
  <c r="L926" i="1"/>
  <c r="L1062" i="1"/>
  <c r="L906" i="1"/>
  <c r="L916" i="1"/>
  <c r="L925" i="1"/>
  <c r="L905" i="1"/>
  <c r="L978" i="1"/>
  <c r="L961" i="1"/>
  <c r="L924" i="1"/>
  <c r="L938" i="1"/>
  <c r="L934" i="1"/>
  <c r="L876" i="1"/>
  <c r="L866" i="1"/>
  <c r="L797" i="1"/>
  <c r="L791" i="1"/>
  <c r="L904" i="1"/>
  <c r="L922" i="1"/>
  <c r="L921" i="1"/>
  <c r="L749" i="1"/>
  <c r="L903" i="1"/>
  <c r="L902" i="1"/>
  <c r="L680" i="1"/>
  <c r="L901" i="1"/>
  <c r="L900" i="1"/>
  <c r="L899" i="1"/>
  <c r="L941" i="1"/>
  <c r="L898" i="1"/>
  <c r="L917" i="1"/>
  <c r="L897" i="1"/>
  <c r="L627" i="1"/>
  <c r="L563" i="1"/>
  <c r="L920" i="1"/>
  <c r="L485" i="1"/>
  <c r="L896" i="1"/>
  <c r="L454" i="1"/>
  <c r="L441" i="1"/>
  <c r="L437" i="1"/>
  <c r="L387" i="1"/>
  <c r="L919" i="1"/>
  <c r="L918" i="1"/>
  <c r="L895" i="1"/>
  <c r="L323" i="1"/>
  <c r="L892" i="1"/>
  <c r="L891" i="1"/>
  <c r="L890" i="1"/>
  <c r="L163" i="1"/>
  <c r="L145" i="1"/>
  <c r="L131" i="1"/>
  <c r="L889" i="1"/>
  <c r="L888" i="1"/>
  <c r="L99" i="1"/>
  <c r="L44" i="1"/>
  <c r="L43" i="1"/>
  <c r="L1277" i="1"/>
  <c r="L887" i="1"/>
  <c r="L574" i="1"/>
  <c r="L525" i="1"/>
  <c r="L1287" i="1"/>
  <c r="L1274" i="1"/>
  <c r="L1234" i="1"/>
  <c r="L1179" i="1"/>
  <c r="L928" i="1"/>
  <c r="L1162" i="1"/>
  <c r="L885" i="1"/>
  <c r="L1131" i="1"/>
  <c r="L907" i="1"/>
  <c r="L927" i="1"/>
  <c r="L1074" i="1"/>
  <c r="L1026" i="1"/>
  <c r="L979" i="1"/>
  <c r="L933" i="1"/>
  <c r="L1235" i="1"/>
  <c r="L336" i="1"/>
  <c r="L664" i="1"/>
  <c r="L661" i="1"/>
  <c r="L632" i="1"/>
  <c r="L586" i="1"/>
  <c r="L585" i="1"/>
  <c r="L533" i="1"/>
  <c r="L362" i="1"/>
  <c r="L433" i="1"/>
  <c r="L406" i="1"/>
  <c r="L368" i="1"/>
  <c r="L355" i="1"/>
  <c r="L130" i="1"/>
  <c r="L274" i="1"/>
  <c r="L232" i="1"/>
  <c r="L226" i="1"/>
  <c r="L923" i="1"/>
  <c r="L140" i="1"/>
  <c r="L132" i="1"/>
  <c r="L45" i="1"/>
  <c r="L77" i="1"/>
  <c r="L7" i="1"/>
  <c r="L1245" i="1"/>
  <c r="L1111" i="1"/>
  <c r="L1042" i="1"/>
  <c r="L1034" i="1"/>
  <c r="L994" i="1"/>
  <c r="L856" i="1"/>
  <c r="L772" i="1"/>
  <c r="L606" i="1"/>
  <c r="L532" i="1"/>
  <c r="L526" i="1"/>
  <c r="L588" i="1"/>
  <c r="L276" i="1"/>
  <c r="L250" i="1"/>
  <c r="L239" i="1"/>
  <c r="L238" i="1"/>
  <c r="L1225" i="1"/>
  <c r="L1218" i="1"/>
  <c r="L1209" i="1"/>
  <c r="L1198" i="1"/>
  <c r="L1108" i="1"/>
  <c r="L1096" i="1"/>
  <c r="L1039" i="1"/>
  <c r="L1027" i="1"/>
  <c r="L986" i="1"/>
  <c r="L983" i="1"/>
  <c r="L975" i="1"/>
  <c r="L960" i="1"/>
  <c r="L959" i="1"/>
  <c r="L878" i="1"/>
  <c r="L865" i="1"/>
  <c r="L836" i="1"/>
  <c r="L801" i="1"/>
  <c r="L763" i="1"/>
  <c r="L721" i="1"/>
  <c r="L817" i="1"/>
  <c r="L712" i="1"/>
  <c r="L694" i="1"/>
  <c r="L690" i="1"/>
  <c r="L687" i="1"/>
  <c r="L656" i="1"/>
  <c r="L605" i="1"/>
  <c r="L559" i="1"/>
  <c r="L551" i="1"/>
  <c r="L530" i="1"/>
  <c r="L502" i="1"/>
  <c r="L478" i="1"/>
  <c r="L471" i="1"/>
  <c r="L468" i="1"/>
  <c r="L435" i="1"/>
  <c r="L428" i="1"/>
  <c r="L421" i="1"/>
  <c r="L361" i="1"/>
  <c r="L356" i="1"/>
  <c r="L347" i="1"/>
  <c r="L345" i="1"/>
  <c r="L304" i="1"/>
  <c r="L298" i="1"/>
  <c r="L227" i="1"/>
  <c r="L224" i="1"/>
  <c r="L161" i="1"/>
  <c r="L149" i="1"/>
  <c r="L85" i="1"/>
  <c r="L28" i="1"/>
  <c r="L1118" i="1"/>
  <c r="L1114" i="1"/>
  <c r="L1038" i="1"/>
  <c r="L814" i="1"/>
  <c r="L452" i="1"/>
  <c r="L364" i="1"/>
  <c r="L72" i="1"/>
  <c r="L390" i="1"/>
  <c r="L13" i="1"/>
  <c r="L176" i="1"/>
  <c r="L1223" i="1"/>
  <c r="L1206" i="1"/>
  <c r="L1087" i="1"/>
  <c r="L1086" i="1"/>
  <c r="L1085" i="1"/>
  <c r="L1036" i="1"/>
  <c r="L980" i="1"/>
  <c r="L835" i="1"/>
  <c r="L741" i="1"/>
  <c r="L711" i="1"/>
  <c r="L647" i="1"/>
  <c r="L493" i="1"/>
  <c r="L423" i="1"/>
  <c r="L417" i="1"/>
  <c r="L310" i="1"/>
  <c r="L305" i="1"/>
  <c r="L88" i="1"/>
  <c r="L840" i="1"/>
  <c r="L225" i="1"/>
  <c r="L1263" i="1"/>
  <c r="L1104" i="1"/>
  <c r="L675" i="1"/>
  <c r="L674" i="1"/>
  <c r="L431" i="1"/>
  <c r="L1265" i="1"/>
  <c r="L1214" i="1"/>
  <c r="L152" i="1"/>
  <c r="L989" i="1"/>
  <c r="L1106" i="1"/>
  <c r="T2" i="1" l="1"/>
  <c r="T5" i="1"/>
  <c r="T3" i="1"/>
  <c r="T4" i="1"/>
  <c r="T6" i="1"/>
  <c r="T7" i="1"/>
  <c r="T8" i="1"/>
  <c r="T13" i="1"/>
  <c r="T77" i="1"/>
  <c r="T30" i="1"/>
  <c r="T34" i="1"/>
  <c r="T39" i="1"/>
  <c r="T45" i="1"/>
  <c r="T54" i="1"/>
  <c r="T55" i="1"/>
  <c r="T66" i="1"/>
  <c r="T67" i="1"/>
  <c r="T72" i="1"/>
  <c r="T75" i="1"/>
  <c r="T74" i="1"/>
  <c r="T76" i="1"/>
  <c r="T70" i="1"/>
  <c r="T993" i="1"/>
  <c r="T80" i="1"/>
  <c r="T82" i="1"/>
  <c r="T83" i="1"/>
  <c r="T81" i="1"/>
  <c r="T84" i="1"/>
  <c r="T85" i="1"/>
  <c r="T86" i="1"/>
  <c r="T88" i="1"/>
  <c r="T91" i="1"/>
  <c r="T97" i="1"/>
  <c r="T888" i="1"/>
  <c r="T105" i="1"/>
  <c r="T1230" i="1"/>
  <c r="T112" i="1"/>
  <c r="T114" i="1"/>
  <c r="T889" i="1"/>
  <c r="T126" i="1"/>
  <c r="T123" i="1"/>
  <c r="T596" i="1"/>
  <c r="T127" i="1"/>
  <c r="T124" i="1"/>
  <c r="T598" i="1"/>
  <c r="T594" i="1"/>
  <c r="T128" i="1"/>
  <c r="T132" i="1"/>
  <c r="T133" i="1"/>
  <c r="T140" i="1"/>
  <c r="T143" i="1"/>
  <c r="T145" i="1"/>
  <c r="T149" i="1"/>
  <c r="T150" i="1"/>
  <c r="T151" i="1"/>
  <c r="T182" i="1"/>
  <c r="T161" i="1"/>
  <c r="T163" i="1"/>
  <c r="T171" i="1"/>
  <c r="T169" i="1"/>
  <c r="T170" i="1"/>
  <c r="T173" i="1"/>
  <c r="T890" i="1"/>
  <c r="T183" i="1"/>
  <c r="T184" i="1"/>
  <c r="T186" i="1"/>
  <c r="T185" i="1"/>
  <c r="T188" i="1"/>
  <c r="T192" i="1"/>
  <c r="T891" i="1"/>
  <c r="T209" i="1"/>
  <c r="T210" i="1"/>
  <c r="T212" i="1"/>
  <c r="T215" i="1"/>
  <c r="T213" i="1"/>
  <c r="T216" i="1"/>
  <c r="T892" i="1"/>
  <c r="T221" i="1"/>
  <c r="T225" i="1"/>
  <c r="T923" i="1"/>
  <c r="T226" i="1"/>
  <c r="T232" i="1"/>
  <c r="T238" i="1"/>
  <c r="T239" i="1"/>
  <c r="T242" i="1"/>
  <c r="T244" i="1"/>
  <c r="T245" i="1"/>
  <c r="T250" i="1"/>
  <c r="T263" i="1"/>
  <c r="T270" i="1"/>
  <c r="T273" i="1"/>
  <c r="T274" i="1"/>
  <c r="T275" i="1"/>
  <c r="T614" i="1"/>
  <c r="T290" i="1"/>
  <c r="T298" i="1"/>
  <c r="T297" i="1"/>
  <c r="T299" i="1"/>
  <c r="T302" i="1"/>
  <c r="T305" i="1"/>
  <c r="T304" i="1"/>
  <c r="T307" i="1"/>
  <c r="T306" i="1"/>
  <c r="T588" i="1"/>
  <c r="T308" i="1"/>
  <c r="T310" i="1"/>
  <c r="T309" i="1"/>
  <c r="T317" i="1"/>
  <c r="T316" i="1"/>
  <c r="T318" i="1"/>
  <c r="T319" i="1"/>
  <c r="T384" i="1"/>
  <c r="T895" i="1"/>
  <c r="T328" i="1"/>
  <c r="T130" i="1"/>
  <c r="T337" i="1"/>
  <c r="T345" i="1"/>
  <c r="T347" i="1"/>
  <c r="T355" i="1"/>
  <c r="T354" i="1"/>
  <c r="T356" i="1"/>
  <c r="T168" i="1"/>
  <c r="T361" i="1"/>
  <c r="T918" i="1"/>
  <c r="T364" i="1"/>
  <c r="T366" i="1"/>
  <c r="T367" i="1"/>
  <c r="T369" i="1"/>
  <c r="T371" i="1"/>
  <c r="T368" i="1"/>
  <c r="T374" i="1"/>
  <c r="T919" i="1"/>
  <c r="T385" i="1"/>
  <c r="T390" i="1"/>
  <c r="T391" i="1"/>
  <c r="T397" i="1"/>
  <c r="T399" i="1"/>
  <c r="T398" i="1"/>
  <c r="T400" i="1"/>
  <c r="T406" i="1"/>
  <c r="T410" i="1"/>
  <c r="T417" i="1"/>
  <c r="T421" i="1"/>
  <c r="T420" i="1"/>
  <c r="T419" i="1"/>
  <c r="T423" i="1"/>
  <c r="T440" i="1"/>
  <c r="T428" i="1"/>
  <c r="T427" i="1"/>
  <c r="T1212" i="1"/>
  <c r="T431" i="1"/>
  <c r="T432" i="1"/>
  <c r="T435" i="1"/>
  <c r="T436" i="1"/>
  <c r="T437" i="1"/>
  <c r="T438" i="1"/>
  <c r="T441" i="1"/>
  <c r="T433" i="1"/>
  <c r="T449" i="1"/>
  <c r="T450" i="1"/>
  <c r="T448" i="1"/>
  <c r="T591" i="1"/>
  <c r="T595" i="1"/>
  <c r="T451" i="1"/>
  <c r="T452" i="1"/>
  <c r="T462" i="1"/>
  <c r="T461" i="1"/>
  <c r="T468" i="1"/>
  <c r="T467" i="1"/>
  <c r="T470" i="1"/>
  <c r="T471" i="1"/>
  <c r="T474" i="1"/>
  <c r="T723" i="1"/>
  <c r="T475" i="1"/>
  <c r="T478" i="1"/>
  <c r="T483" i="1"/>
  <c r="T487" i="1"/>
  <c r="T490" i="1"/>
  <c r="T488" i="1"/>
  <c r="T491" i="1"/>
  <c r="T489" i="1"/>
  <c r="T492" i="1"/>
  <c r="T493" i="1"/>
  <c r="T362" i="1"/>
  <c r="T494" i="1"/>
  <c r="T495" i="1"/>
  <c r="T502" i="1"/>
  <c r="T503" i="1"/>
  <c r="T507" i="1"/>
  <c r="T509" i="1"/>
  <c r="T514" i="1"/>
  <c r="T524" i="1"/>
  <c r="T525" i="1"/>
  <c r="T526" i="1"/>
  <c r="T920" i="1"/>
  <c r="T528" i="1"/>
  <c r="T530" i="1"/>
  <c r="T531" i="1"/>
  <c r="T532" i="1"/>
  <c r="T533" i="1"/>
  <c r="T551" i="1"/>
  <c r="T550" i="1"/>
  <c r="T554" i="1"/>
  <c r="T555" i="1"/>
  <c r="T559" i="1"/>
  <c r="T560" i="1"/>
  <c r="T563" i="1"/>
  <c r="T566" i="1"/>
  <c r="T567" i="1"/>
  <c r="T578" i="1"/>
  <c r="T577" i="1"/>
  <c r="T582" i="1"/>
  <c r="T585" i="1"/>
  <c r="T586" i="1"/>
  <c r="T587" i="1"/>
  <c r="T599" i="1"/>
  <c r="T605" i="1"/>
  <c r="T604" i="1"/>
  <c r="T606" i="1"/>
  <c r="T609" i="1"/>
  <c r="T612" i="1"/>
  <c r="T619" i="1"/>
  <c r="T620" i="1"/>
  <c r="T1023" i="1"/>
  <c r="T629" i="1"/>
  <c r="T632" i="1"/>
  <c r="T647" i="1"/>
  <c r="T651" i="1"/>
  <c r="T654" i="1"/>
  <c r="T655" i="1"/>
  <c r="T656" i="1"/>
  <c r="T660" i="1"/>
  <c r="T661" i="1"/>
  <c r="T664" i="1"/>
  <c r="T941" i="1"/>
  <c r="T666" i="1"/>
  <c r="T667" i="1"/>
  <c r="T665" i="1"/>
  <c r="T668" i="1"/>
  <c r="T669" i="1"/>
  <c r="T900" i="1"/>
  <c r="T675" i="1"/>
  <c r="T678" i="1"/>
  <c r="T687" i="1"/>
  <c r="T690" i="1"/>
  <c r="T688" i="1"/>
  <c r="T694" i="1"/>
  <c r="T902" i="1"/>
  <c r="T698" i="1"/>
  <c r="T699" i="1"/>
  <c r="T703" i="1"/>
  <c r="T702" i="1"/>
  <c r="T706" i="1"/>
  <c r="T573" i="1"/>
  <c r="T574" i="1"/>
  <c r="T711" i="1"/>
  <c r="T712" i="1"/>
  <c r="T713" i="1"/>
  <c r="T714" i="1"/>
  <c r="T715" i="1"/>
  <c r="T710" i="1"/>
  <c r="T817" i="1"/>
  <c r="T716" i="1"/>
  <c r="T717" i="1"/>
  <c r="T721" i="1"/>
  <c r="T722" i="1"/>
  <c r="T724" i="1"/>
  <c r="T728" i="1"/>
  <c r="T729" i="1"/>
  <c r="T734" i="1"/>
  <c r="T336" i="1"/>
  <c r="T741" i="1"/>
  <c r="T742" i="1"/>
  <c r="T745" i="1"/>
  <c r="T744" i="1"/>
  <c r="T749" i="1"/>
  <c r="T750" i="1"/>
  <c r="T752" i="1"/>
  <c r="T1188" i="1"/>
  <c r="T1186" i="1"/>
  <c r="T754" i="1"/>
  <c r="T763" i="1"/>
  <c r="T760" i="1"/>
  <c r="T764" i="1"/>
  <c r="T761" i="1"/>
  <c r="T922" i="1"/>
  <c r="T769" i="1"/>
  <c r="T768" i="1"/>
  <c r="T772" i="1"/>
  <c r="T775" i="1"/>
  <c r="T676" i="1"/>
  <c r="T677" i="1"/>
  <c r="T779" i="1"/>
  <c r="T782" i="1"/>
  <c r="T786" i="1"/>
  <c r="T787" i="1"/>
  <c r="T904" i="1"/>
  <c r="T799" i="1"/>
  <c r="T801" i="1"/>
  <c r="T802" i="1"/>
  <c r="T804" i="1"/>
  <c r="T805" i="1"/>
  <c r="T808" i="1"/>
  <c r="T811" i="1"/>
  <c r="T814" i="1"/>
  <c r="T818" i="1"/>
  <c r="T823" i="1"/>
  <c r="T840" i="1"/>
  <c r="T836" i="1"/>
  <c r="T833" i="1"/>
  <c r="T838" i="1"/>
  <c r="T837" i="1"/>
  <c r="T839" i="1"/>
  <c r="T841" i="1"/>
  <c r="T1130" i="1"/>
  <c r="T816" i="1"/>
  <c r="T1124" i="1"/>
  <c r="T11" i="1"/>
  <c r="T1066" i="1"/>
  <c r="T820" i="1"/>
  <c r="T1125" i="1"/>
  <c r="T12" i="1"/>
  <c r="T1065" i="1"/>
  <c r="T821" i="1"/>
  <c r="T971" i="1"/>
  <c r="T87" i="1"/>
  <c r="T776" i="1"/>
  <c r="T325" i="1"/>
  <c r="T322" i="1"/>
  <c r="T1244" i="1"/>
  <c r="T418" i="1"/>
  <c r="T1240" i="1"/>
  <c r="T862" i="1"/>
  <c r="T469" i="1"/>
  <c r="T90" i="1"/>
  <c r="T1028" i="1"/>
  <c r="T426" i="1"/>
  <c r="T689" i="1"/>
  <c r="T705" i="1"/>
  <c r="T845" i="1"/>
  <c r="T848" i="1"/>
  <c r="T849" i="1"/>
  <c r="T856" i="1"/>
  <c r="T858" i="1"/>
  <c r="T864" i="1"/>
  <c r="T863" i="1"/>
  <c r="T865" i="1"/>
  <c r="T866" i="1"/>
  <c r="T867" i="1"/>
  <c r="T875" i="1"/>
  <c r="T869" i="1"/>
  <c r="T873" i="1"/>
  <c r="T874" i="1"/>
  <c r="T1235" i="1"/>
  <c r="T878" i="1"/>
  <c r="T880" i="1"/>
  <c r="T879" i="1"/>
  <c r="T883" i="1"/>
  <c r="T884" i="1"/>
  <c r="T887" i="1"/>
  <c r="T933" i="1"/>
  <c r="T935" i="1"/>
  <c r="T938" i="1"/>
  <c r="T924" i="1"/>
  <c r="T949" i="1"/>
  <c r="T959" i="1"/>
  <c r="T958" i="1"/>
  <c r="T960" i="1"/>
  <c r="T964" i="1"/>
  <c r="T967" i="1"/>
  <c r="T966" i="1"/>
  <c r="T963" i="1"/>
  <c r="T970" i="1"/>
  <c r="T975" i="1"/>
  <c r="T974" i="1"/>
  <c r="T978" i="1"/>
  <c r="T979" i="1"/>
  <c r="T980" i="1"/>
  <c r="T983" i="1"/>
  <c r="T981" i="1"/>
  <c r="T984" i="1"/>
  <c r="T982" i="1"/>
  <c r="T986" i="1"/>
  <c r="T989" i="1"/>
  <c r="T990" i="1"/>
  <c r="T994" i="1"/>
  <c r="T905" i="1"/>
  <c r="T997" i="1"/>
  <c r="T1001" i="1"/>
  <c r="T1003" i="1"/>
  <c r="T1002" i="1"/>
  <c r="T1004" i="1"/>
  <c r="T1011" i="1"/>
  <c r="T1012" i="1"/>
  <c r="T1018" i="1"/>
  <c r="T1020" i="1"/>
  <c r="T1024" i="1"/>
  <c r="T1026" i="1"/>
  <c r="T1027" i="1"/>
  <c r="T1030" i="1"/>
  <c r="T1034" i="1"/>
  <c r="T1036" i="1"/>
  <c r="T1038" i="1"/>
  <c r="T1039" i="1"/>
  <c r="T1040" i="1"/>
  <c r="T1042" i="1"/>
  <c r="T1046" i="1"/>
  <c r="T1047" i="1"/>
  <c r="T1049" i="1"/>
  <c r="T1048" i="1"/>
  <c r="T906" i="1"/>
  <c r="T1058" i="1"/>
  <c r="T1062" i="1"/>
  <c r="T1063" i="1"/>
  <c r="T1070" i="1"/>
  <c r="T1071" i="1"/>
  <c r="T1073" i="1"/>
  <c r="T1074" i="1"/>
  <c r="T926" i="1"/>
  <c r="T1078" i="1"/>
  <c r="T1085" i="1"/>
  <c r="T1079" i="1"/>
  <c r="T1086" i="1"/>
  <c r="T1087" i="1"/>
  <c r="T1089" i="1"/>
  <c r="T1092" i="1"/>
  <c r="T1093" i="1"/>
  <c r="T1096" i="1"/>
  <c r="T1097" i="1"/>
  <c r="T1102" i="1"/>
  <c r="T1103" i="1"/>
  <c r="T1104" i="1"/>
  <c r="T927" i="1"/>
  <c r="T907" i="1"/>
  <c r="T1106" i="1"/>
  <c r="T1108" i="1"/>
  <c r="T1107" i="1"/>
  <c r="T1111" i="1"/>
  <c r="T1114" i="1"/>
  <c r="T1118" i="1"/>
  <c r="T1131" i="1"/>
  <c r="T909" i="1"/>
  <c r="T289" i="1"/>
  <c r="T885" i="1"/>
  <c r="T1149" i="1"/>
  <c r="T1152" i="1"/>
  <c r="T1158" i="1"/>
  <c r="T1166" i="1"/>
  <c r="T1162" i="1"/>
  <c r="T928" i="1"/>
  <c r="T1165" i="1"/>
  <c r="T1163" i="1"/>
  <c r="T1164" i="1"/>
  <c r="T1168" i="1"/>
  <c r="T929" i="1"/>
  <c r="T1176" i="1"/>
  <c r="T1177" i="1"/>
  <c r="T1179" i="1"/>
  <c r="T1184" i="1"/>
  <c r="T1192" i="1"/>
  <c r="T1195" i="1"/>
  <c r="T1198" i="1"/>
  <c r="T1199" i="1"/>
  <c r="T1206" i="1"/>
  <c r="T1209" i="1"/>
  <c r="T1215" i="1"/>
  <c r="T1218" i="1"/>
  <c r="T1220" i="1"/>
  <c r="T911" i="1"/>
  <c r="T1223" i="1"/>
  <c r="T1225" i="1"/>
  <c r="T175" i="1"/>
  <c r="T1234" i="1"/>
  <c r="T1236" i="1"/>
  <c r="T912" i="1"/>
  <c r="T176" i="1"/>
  <c r="T1245" i="1"/>
  <c r="T730" i="1"/>
  <c r="T930" i="1"/>
  <c r="T1250" i="1"/>
  <c r="T1256" i="1"/>
  <c r="T1255" i="1"/>
  <c r="T1263" i="1"/>
  <c r="T1266" i="1"/>
  <c r="T1268" i="1"/>
  <c r="T1270" i="1"/>
  <c r="T1271" i="1"/>
  <c r="T1274" i="1"/>
  <c r="T1277" i="1"/>
  <c r="T1276" i="1"/>
  <c r="T1275" i="1"/>
  <c r="T1280" i="1"/>
  <c r="T1278" i="1"/>
  <c r="T1286" i="1"/>
  <c r="T1287" i="1"/>
  <c r="T915" i="1"/>
  <c r="T931" i="1"/>
</calcChain>
</file>

<file path=xl/sharedStrings.xml><?xml version="1.0" encoding="utf-8"?>
<sst xmlns="http://schemas.openxmlformats.org/spreadsheetml/2006/main" count="29776" uniqueCount="5393">
  <si>
    <t>Global entry</t>
  </si>
  <si>
    <t>Chapter Source</t>
  </si>
  <si>
    <t>Published Year</t>
  </si>
  <si>
    <t>Date Updated</t>
  </si>
  <si>
    <t>USGS Facility ID</t>
  </si>
  <si>
    <t>Country Chapter</t>
  </si>
  <si>
    <t>Country (Short Form)</t>
  </si>
  <si>
    <t>Facility Name</t>
  </si>
  <si>
    <t>Feature Type</t>
  </si>
  <si>
    <t>Level 1 (Commodity group)</t>
  </si>
  <si>
    <r>
      <t xml:space="preserve">Level 2 </t>
    </r>
    <r>
      <rPr>
        <b/>
        <sz val="11"/>
        <rFont val="Aptos Narrow"/>
        <family val="2"/>
        <scheme val="minor"/>
      </rPr>
      <t>(Commodity)</t>
    </r>
  </si>
  <si>
    <t>Level 4 (Phase)</t>
  </si>
  <si>
    <t>Level 5 (Form)</t>
  </si>
  <si>
    <t>GMAS Descriptor</t>
  </si>
  <si>
    <t>Commodity Unit</t>
  </si>
  <si>
    <t>Commodity Unit classification</t>
  </si>
  <si>
    <t>Commodity Footnote</t>
  </si>
  <si>
    <t>Multiple Commodities</t>
  </si>
  <si>
    <t>Multiple Products</t>
  </si>
  <si>
    <t>Annual Production Capacity</t>
  </si>
  <si>
    <t>Capacity Unit</t>
  </si>
  <si>
    <t>Shared Capacity</t>
  </si>
  <si>
    <t>Capacity Note</t>
  </si>
  <si>
    <t>Facility Status</t>
  </si>
  <si>
    <t>Location Description</t>
  </si>
  <si>
    <t>First-Level Administrative Division</t>
  </si>
  <si>
    <t>First-Level Administrative Division Name</t>
  </si>
  <si>
    <t>Major Operating Company</t>
  </si>
  <si>
    <t>Equity Owner 1</t>
  </si>
  <si>
    <t>Share of Equity Owner 1</t>
  </si>
  <si>
    <t>Equity Owner 2</t>
  </si>
  <si>
    <t>Share of Equity Owner 2</t>
  </si>
  <si>
    <t>Equity Owner 3</t>
  </si>
  <si>
    <t>Share of Equity Owner 3</t>
  </si>
  <si>
    <t>Equity Owner 4</t>
  </si>
  <si>
    <t>Share of Equity Owner 4</t>
  </si>
  <si>
    <t>Equity Owner 5</t>
  </si>
  <si>
    <t>Share of Equity Owner 5</t>
  </si>
  <si>
    <t>Equity Owner 6</t>
  </si>
  <si>
    <t>Share of Equity Owner 6</t>
  </si>
  <si>
    <t>Equity Owner 7</t>
  </si>
  <si>
    <t>Share of Equity Owner 7</t>
  </si>
  <si>
    <t>Equity Owner 8</t>
  </si>
  <si>
    <t>Share of Equity Owner 8</t>
  </si>
  <si>
    <t>Equity Owner 9</t>
  </si>
  <si>
    <t>Share of Equity Owner 9</t>
  </si>
  <si>
    <t>Company Footnote</t>
  </si>
  <si>
    <t>Data Source 1</t>
  </si>
  <si>
    <t>Data Source 2</t>
  </si>
  <si>
    <t>Sibanye-Stillwater to acquire Reldan, a US-based metals recycler, enhancing its exposure to the circular economy</t>
  </si>
  <si>
    <t>United States of America</t>
  </si>
  <si>
    <t>Abington Reldan Refinery</t>
  </si>
  <si>
    <t>Mineral Processing Plant</t>
  </si>
  <si>
    <t>Copper</t>
  </si>
  <si>
    <t>Refinery</t>
  </si>
  <si>
    <t>Metal</t>
  </si>
  <si>
    <t>Cu content</t>
  </si>
  <si>
    <t>Elemental content</t>
  </si>
  <si>
    <t>Y</t>
  </si>
  <si>
    <t>NA</t>
  </si>
  <si>
    <t>Fairless Hills, PA</t>
  </si>
  <si>
    <t>Assumed active</t>
  </si>
  <si>
    <t>State</t>
  </si>
  <si>
    <t>Pennsylvania</t>
  </si>
  <si>
    <t>Sibanye Stillwater Ltd.</t>
  </si>
  <si>
    <t>Platinum-group metals</t>
  </si>
  <si>
    <t>Palladium</t>
  </si>
  <si>
    <t>Pd content</t>
  </si>
  <si>
    <t>Platinum</t>
  </si>
  <si>
    <t>Pt content</t>
  </si>
  <si>
    <t>https://www.sibanyestillwater.com/business/americas/recycling/reldan/</t>
  </si>
  <si>
    <t>Gold</t>
  </si>
  <si>
    <t>Bullion</t>
  </si>
  <si>
    <t>Au content</t>
  </si>
  <si>
    <t>Silver</t>
  </si>
  <si>
    <t>Ag content</t>
  </si>
  <si>
    <t>https://arcosaspecialtymaterials.com/gypsum-and-anhydrite-aggregate-products/</t>
  </si>
  <si>
    <t>Adams Mine</t>
  </si>
  <si>
    <t>Mines and Quarries</t>
  </si>
  <si>
    <t>Gypsum</t>
  </si>
  <si>
    <t>Crude</t>
  </si>
  <si>
    <t>N</t>
  </si>
  <si>
    <t>Mound House, NV</t>
  </si>
  <si>
    <t>Nevada</t>
  </si>
  <si>
    <t>Arcosa, Inc.</t>
  </si>
  <si>
    <t>https://www.mass.gov/news/attorney-generals-office-announces-proposed-settlement-with-minerals-processing-facility-in-the-town-of-adams-over-alleged-state-and-federal-environmental-violations</t>
  </si>
  <si>
    <t>Adams Quarry</t>
  </si>
  <si>
    <t>Lime</t>
  </si>
  <si>
    <t>Mine</t>
  </si>
  <si>
    <t>Gross weight</t>
  </si>
  <si>
    <t>Adams, MA</t>
  </si>
  <si>
    <t>Massachusetts</t>
  </si>
  <si>
    <t>Speciality Minerals Inc.</t>
  </si>
  <si>
    <t>Minerals Technologies Inc.</t>
  </si>
  <si>
    <t>Precious Metal Refinery | Gold Refinery | Advanced Chemical Company - Precious Metal Refiners</t>
  </si>
  <si>
    <t>Advanced Chemical Company Refinery</t>
  </si>
  <si>
    <t>Greenwich, RI</t>
  </si>
  <si>
    <t>Rhode Island</t>
  </si>
  <si>
    <t>Advanced Chemical Co. Inc</t>
  </si>
  <si>
    <t>Precious Metal Refinery | Gold Refinery | Advanced Chemical Company - MELTING</t>
  </si>
  <si>
    <t>Plating</t>
  </si>
  <si>
    <t>mt</t>
  </si>
  <si>
    <t>Freeport-McMoRan Inc. - 10K - Annual Report - February 15, 2023</t>
  </si>
  <si>
    <t>Ajo Mine</t>
  </si>
  <si>
    <t xml:space="preserve">Copper  </t>
  </si>
  <si>
    <t>kmt</t>
  </si>
  <si>
    <t>E</t>
  </si>
  <si>
    <t>Pima, AZ</t>
  </si>
  <si>
    <t>Arizona</t>
  </si>
  <si>
    <t>Freeport-McMoRan Inc.</t>
  </si>
  <si>
    <t>Concentrates</t>
  </si>
  <si>
    <t>oz</t>
  </si>
  <si>
    <t>Akron Facility</t>
  </si>
  <si>
    <t>Secondary</t>
  </si>
  <si>
    <t>Akron, OH</t>
  </si>
  <si>
    <t>Ohio</t>
  </si>
  <si>
    <t>Auris Noble LLC</t>
  </si>
  <si>
    <t>Siegfried Jacob Metallwerke GmbH &amp; Co.</t>
  </si>
  <si>
    <t>Iridium</t>
  </si>
  <si>
    <t>Ir content</t>
  </si>
  <si>
    <t>Rhenium</t>
  </si>
  <si>
    <t>Re content</t>
  </si>
  <si>
    <t>Ruthenium</t>
  </si>
  <si>
    <t>Ru content</t>
  </si>
  <si>
    <t>Li-Cycle opens Alabama facility - Recycling Today</t>
  </si>
  <si>
    <t>Alabama Spoke Facility</t>
  </si>
  <si>
    <t>Cobalt</t>
  </si>
  <si>
    <t>Intermediate</t>
  </si>
  <si>
    <t>Black Mass</t>
  </si>
  <si>
    <t>Co content</t>
  </si>
  <si>
    <t>Tuscoloosa, AL</t>
  </si>
  <si>
    <t>Alabama</t>
  </si>
  <si>
    <t>Glencore plc.</t>
  </si>
  <si>
    <t>Lithium</t>
  </si>
  <si>
    <t>Li content</t>
  </si>
  <si>
    <t>Manganese</t>
  </si>
  <si>
    <t>Mn content</t>
  </si>
  <si>
    <t>Nickel</t>
  </si>
  <si>
    <t>Ni content</t>
  </si>
  <si>
    <t>titantium 2022</t>
  </si>
  <si>
    <t>Titanium</t>
  </si>
  <si>
    <t>Ingot</t>
  </si>
  <si>
    <t>Ti content</t>
  </si>
  <si>
    <t>Albany, OR</t>
  </si>
  <si>
    <t>Oregon</t>
  </si>
  <si>
    <t>ATI Inc.</t>
  </si>
  <si>
    <t>Hafnium</t>
  </si>
  <si>
    <t>Hf content</t>
  </si>
  <si>
    <t>Zirconium</t>
  </si>
  <si>
    <t>Products</t>
  </si>
  <si>
    <t>Zr content</t>
  </si>
  <si>
    <t>Transatlantic PEA</t>
  </si>
  <si>
    <t>Alder Mountain Mine</t>
  </si>
  <si>
    <t>Virginia City, MT</t>
  </si>
  <si>
    <t>In development</t>
  </si>
  <si>
    <t>Montana</t>
  </si>
  <si>
    <t>Endomines Finland Oyj</t>
  </si>
  <si>
    <t>Microsoft Word - 5.TCO_USGrantNI43-101_Geology Report 28July2017d no tracking final.docx</t>
  </si>
  <si>
    <t>About Us – Alexy Metals</t>
  </si>
  <si>
    <t>Alexy Refinery</t>
  </si>
  <si>
    <t>Alloys</t>
  </si>
  <si>
    <t>Willoughby, OH</t>
  </si>
  <si>
    <t xml:space="preserve">Alexy Refinery </t>
  </si>
  <si>
    <t>https://d9-wret.s3.us-west-2.amazonaws.com/assets/palladium/production/s3fs-public/media/files/myb1-2023-fepig-ert.xlsx</t>
  </si>
  <si>
    <t>Allenport Plant</t>
  </si>
  <si>
    <t>Iron and steel</t>
  </si>
  <si>
    <t>Iron oxide pigments</t>
  </si>
  <si>
    <t>Regenerator iron oxides</t>
  </si>
  <si>
    <t>Allenport, PA</t>
  </si>
  <si>
    <t>International Steel Services, Inc.</t>
  </si>
  <si>
    <t>PVS Chemicals Inc.</t>
  </si>
  <si>
    <t>Marubeni Corp.</t>
  </si>
  <si>
    <t>Alloy Plant</t>
  </si>
  <si>
    <t>Silicon</t>
  </si>
  <si>
    <t>Alloy, WV</t>
  </si>
  <si>
    <t>West Virginia</t>
  </si>
  <si>
    <t>Globe Specialty Metals, Inc.</t>
  </si>
  <si>
    <t>Ferroglobe PLC</t>
  </si>
  <si>
    <t>The Dow Chemical Co.</t>
  </si>
  <si>
    <t>Alta Mesa Mine</t>
  </si>
  <si>
    <t>Uranium</t>
  </si>
  <si>
    <t>Ore</t>
  </si>
  <si>
    <t>U3O8 content</t>
  </si>
  <si>
    <t>Hebbronville, TX</t>
  </si>
  <si>
    <t>Texas</t>
  </si>
  <si>
    <t>enCore Energy Corp</t>
  </si>
  <si>
    <t>Boss Energy Limited</t>
  </si>
  <si>
    <t>Alta Mesa Processing Plant</t>
  </si>
  <si>
    <t>Uranium oxide</t>
  </si>
  <si>
    <t>Arcosa Specialty MaterialsLocation - Cyril, OK - Mine #2 - Arcosa Specialty Materials</t>
  </si>
  <si>
    <t>Alva Quarry</t>
  </si>
  <si>
    <t>Freedom, OK</t>
  </si>
  <si>
    <t>Oklahoma</t>
  </si>
  <si>
    <t>Amarillo Refinery</t>
  </si>
  <si>
    <t>Selenium</t>
  </si>
  <si>
    <t>Se content</t>
  </si>
  <si>
    <t>Amarillo, TX</t>
  </si>
  <si>
    <t>Grupo México, S.A.B. de C.V.</t>
  </si>
  <si>
    <t>Tellurium</t>
  </si>
  <si>
    <t>Te content</t>
  </si>
  <si>
    <t>https://www.asarco.com/mines/#1626913153669-49304d0c-7f052eb4-c126</t>
  </si>
  <si>
    <t>Sulphate</t>
  </si>
  <si>
    <t>barite 2022</t>
  </si>
  <si>
    <t>Amelia</t>
  </si>
  <si>
    <t>Barite</t>
  </si>
  <si>
    <t>St. Mary, LA</t>
  </si>
  <si>
    <t>Louisiana</t>
  </si>
  <si>
    <t>Schlumberger Ltd.</t>
  </si>
  <si>
    <t>General Chemical - Anacortes</t>
  </si>
  <si>
    <t>Anacortes Works</t>
  </si>
  <si>
    <t>Sulfur</t>
  </si>
  <si>
    <t>Byproduct</t>
  </si>
  <si>
    <t>Sulphuric Acid</t>
  </si>
  <si>
    <t>Anacortes, WA</t>
  </si>
  <si>
    <t>Washington</t>
  </si>
  <si>
    <t>Chemtrade Logistics Co.</t>
  </si>
  <si>
    <t>Magnesium Recycling – AMACOR</t>
  </si>
  <si>
    <t>Anderson Plant</t>
  </si>
  <si>
    <t>Magnesium</t>
  </si>
  <si>
    <t>Mg content</t>
  </si>
  <si>
    <t>Anderson, IN</t>
  </si>
  <si>
    <t>Indiana</t>
  </si>
  <si>
    <t>Advanced Magnesium Alloys Corp.</t>
  </si>
  <si>
    <t>https://www.carmeuse.com/eu-en/products-map/358</t>
  </si>
  <si>
    <t>Annville Plant</t>
  </si>
  <si>
    <t>Hydrated lime</t>
  </si>
  <si>
    <t>Annville, PA</t>
  </si>
  <si>
    <t>Carmeuse Lime and Stone, Inc.</t>
  </si>
  <si>
    <t>Carmeuse Group</t>
  </si>
  <si>
    <t>https://maps.app.goo.gl/ACt3i4yzLD57g4h78</t>
  </si>
  <si>
    <t>Apex Plant</t>
  </si>
  <si>
    <t>Las Vegas, NV</t>
  </si>
  <si>
    <t>Lhoist North America, Inc.</t>
  </si>
  <si>
    <t>Lhoist Group</t>
  </si>
  <si>
    <t>https://www.msha.gov/data-reports/statistics/mines/nv/pabco-gypsum-apex-quarry</t>
  </si>
  <si>
    <t>Apex Quarry</t>
  </si>
  <si>
    <t>PABCO Gypsum, Inc.</t>
  </si>
  <si>
    <t>Pacific Coast Building Products. Inc</t>
  </si>
  <si>
    <t>Aqua Metals, Inc. (AQMS) » Aqua Metals Advances Commercialization of AquaRefining™ Technology with Industry-Leading Lithium Quality and Strategic Progress During Second Quarter of 2025</t>
  </si>
  <si>
    <t>Aqua Metals Innovation Center</t>
  </si>
  <si>
    <t>Lithium carbonate</t>
  </si>
  <si>
    <t>Reno, NV</t>
  </si>
  <si>
    <t>American Battery Technology Co.</t>
  </si>
  <si>
    <t>Mixed Hydroxide</t>
  </si>
  <si>
    <t>Li-Cycle Grows Hub &amp; Spoke Battery Recycling Network - Recycled Materials Association</t>
  </si>
  <si>
    <t>Arizona Spoke Facility</t>
  </si>
  <si>
    <t>Gilbert, AZ</t>
  </si>
  <si>
    <t>Cast Bars | Asahi Refining - Asahi Refining</t>
  </si>
  <si>
    <t>Asahi Refinery</t>
  </si>
  <si>
    <t>Bar</t>
  </si>
  <si>
    <t>West Valley City, UT</t>
  </si>
  <si>
    <t>Utah</t>
  </si>
  <si>
    <t>Asahi Refining USA Inc.</t>
  </si>
  <si>
    <t>ARE Holdings, Inc.</t>
  </si>
  <si>
    <t>Ascend Elements Builds Out the Domestic Battery Supply Chain</t>
  </si>
  <si>
    <t>Ascend Element Apex 1 Facility</t>
  </si>
  <si>
    <t>Hopkinsville, KY</t>
  </si>
  <si>
    <t>Kentucky</t>
  </si>
  <si>
    <t>Ascend Elements Inc.</t>
  </si>
  <si>
    <t>Ascend Elements | Ascend Elements to Increase U.S. Production of Lithium Carbonate By 60% With Start of New Lithium Recovery Line in 2025</t>
  </si>
  <si>
    <t>Ascend Element Base 1 Facility</t>
  </si>
  <si>
    <t>Covington, GA</t>
  </si>
  <si>
    <t>Georgia</t>
  </si>
  <si>
    <t>Ashdown Mine</t>
  </si>
  <si>
    <t>Molybdenum</t>
  </si>
  <si>
    <t>Mo content</t>
  </si>
  <si>
    <t>Denio, NV</t>
  </si>
  <si>
    <t>NACCO Industries Inc.</t>
  </si>
  <si>
    <t>Win-Eldrich Mines Ltd.</t>
  </si>
  <si>
    <t>Ashtabula Complex</t>
  </si>
  <si>
    <t>Dioxide</t>
  </si>
  <si>
    <t>TiO2 content</t>
  </si>
  <si>
    <t>Ashtabula, OH</t>
  </si>
  <si>
    <t>INEOS Group</t>
  </si>
  <si>
    <t>Precious Metal Refining | Trusted Since 1969 | Pyromet</t>
  </si>
  <si>
    <t>Aston Refinery</t>
  </si>
  <si>
    <t>Anodes</t>
  </si>
  <si>
    <t>Aston, PA</t>
  </si>
  <si>
    <t>Ames Goldsmith Corp.</t>
  </si>
  <si>
    <t>Augusta Plant</t>
  </si>
  <si>
    <t>Finished</t>
  </si>
  <si>
    <t>Augusta, GA</t>
  </si>
  <si>
    <t>Oxerra Americas, Inc</t>
  </si>
  <si>
    <t>Oxerra Group</t>
  </si>
  <si>
    <t>https://pubs.usgs.gov/myb/vol1/2022/myb1-2022-fluorspar.pdf</t>
  </si>
  <si>
    <t>Fluorspar</t>
  </si>
  <si>
    <t>Hydrofluoric acid</t>
  </si>
  <si>
    <t>Aurora, NC</t>
  </si>
  <si>
    <t>North Carolina</t>
  </si>
  <si>
    <t>Arkema</t>
  </si>
  <si>
    <t>Aurora Mine (Lee Creek Mine)</t>
  </si>
  <si>
    <t>Phosphate</t>
  </si>
  <si>
    <t>Phosphate Rock</t>
  </si>
  <si>
    <t>P content</t>
  </si>
  <si>
    <t>Nutrien Ltd.</t>
  </si>
  <si>
    <t>2022 Metallic Production by mine.pdf</t>
  </si>
  <si>
    <t>Doré</t>
  </si>
  <si>
    <t>Hawthorne, NV</t>
  </si>
  <si>
    <t>Klondex Aurora Mine</t>
  </si>
  <si>
    <t xml:space="preserve">Hecla Mining Co. </t>
  </si>
  <si>
    <t>Phosphoric acid</t>
  </si>
  <si>
    <t>PCS Phosphates - Aurora</t>
  </si>
  <si>
    <t>PCS Phosphate Company Inc</t>
  </si>
  <si>
    <t>New Michigan Gypsum Plant Opens - Rock Products Magazine</t>
  </si>
  <si>
    <t>Avery Quarry</t>
  </si>
  <si>
    <t>Alabaster, MI</t>
  </si>
  <si>
    <t>Michigan</t>
  </si>
  <si>
    <t>United States Gypsum Co.</t>
  </si>
  <si>
    <t>USG Corp.</t>
  </si>
  <si>
    <t>Back Forty Mine</t>
  </si>
  <si>
    <t>Stephenson, MI</t>
  </si>
  <si>
    <t>Gold Group Mining Inc.</t>
  </si>
  <si>
    <t>sk1300_b40_gold_resource_corp_filed_10_27_2023.pdf</t>
  </si>
  <si>
    <t>Zinc</t>
  </si>
  <si>
    <t>Zn content</t>
  </si>
  <si>
    <t>Back Forty Processing Plant</t>
  </si>
  <si>
    <t>Aluminum</t>
  </si>
  <si>
    <t>Smelter</t>
  </si>
  <si>
    <t>Al content</t>
  </si>
  <si>
    <t>Alcoa Inc.</t>
  </si>
  <si>
    <t>Copper 2021</t>
  </si>
  <si>
    <t>Bagdad Mine</t>
  </si>
  <si>
    <t>Yavapai, AZ</t>
  </si>
  <si>
    <t>Good news from Bagdad (the mine) - Canadian Mining Journal</t>
  </si>
  <si>
    <t>Bagdad, AZ</t>
  </si>
  <si>
    <t>https://www.fcx.com/operations/north-america</t>
  </si>
  <si>
    <t>Bagdad SX-EW</t>
  </si>
  <si>
    <t>Cathodes</t>
  </si>
  <si>
    <t>https://www.kinross.com/English/operations/default.aspx#americas-baldmountainusa</t>
  </si>
  <si>
    <t>Bald Mountain Mine</t>
  </si>
  <si>
    <t>Ely, NV</t>
  </si>
  <si>
    <t xml:space="preserve">Kinross Gold Corp. </t>
  </si>
  <si>
    <t>Bald Mountain Plant</t>
  </si>
  <si>
    <t>https://pubs.usgs.gov/of/2000/of00-425/chapters/15_Ballard.pdf</t>
  </si>
  <si>
    <t>Ballard Mine</t>
  </si>
  <si>
    <t>Soda Springs, ID</t>
  </si>
  <si>
    <t>Idaho</t>
  </si>
  <si>
    <t>Bayer Crop Science</t>
  </si>
  <si>
    <t>Bayer AG</t>
  </si>
  <si>
    <t>manganese 2023</t>
  </si>
  <si>
    <t>Baltimore Plant</t>
  </si>
  <si>
    <t>Baltimore, MD</t>
  </si>
  <si>
    <t>Maryland</t>
  </si>
  <si>
    <t>Vibrantz Technologies Inc.</t>
  </si>
  <si>
    <t>https://southstarbatterymetals.com/wp-content/uploads/2024/11/BamaStar-43-101-Technical-Report-November-2024.pdf</t>
  </si>
  <si>
    <t>BamaStar</t>
  </si>
  <si>
    <t>Graphite</t>
  </si>
  <si>
    <t>Goodwater, AL</t>
  </si>
  <si>
    <t>South Star Battery Metals Corp.</t>
  </si>
  <si>
    <t>Befesa</t>
  </si>
  <si>
    <t>Barnwell Facility</t>
  </si>
  <si>
    <t>Waelz Oxide</t>
  </si>
  <si>
    <t>Barnwell, SC</t>
  </si>
  <si>
    <t>South Carolina</t>
  </si>
  <si>
    <t>Befesa Holding US Inc.</t>
  </si>
  <si>
    <t>Befesa S.A.</t>
  </si>
  <si>
    <t>Mosaic Revises Guidance</t>
  </si>
  <si>
    <t>Bartow Plant</t>
  </si>
  <si>
    <t>Compounds</t>
  </si>
  <si>
    <t>Bartow, FL</t>
  </si>
  <si>
    <t>Florida</t>
  </si>
  <si>
    <t>The Mosaic Company</t>
  </si>
  <si>
    <t>Mosaic - Bartow</t>
  </si>
  <si>
    <t>https://www.whiterivernow.com/2024/11/05/arkansas-lime-company-celebrates-100th-year-at-limedale/</t>
  </si>
  <si>
    <t>Batesville Plant</t>
  </si>
  <si>
    <t>Batesville, AR</t>
  </si>
  <si>
    <t>Arkansas</t>
  </si>
  <si>
    <t>Arkansas Lime Co.</t>
  </si>
  <si>
    <t>United States Lime &amp; Minerals, Inc.</t>
  </si>
  <si>
    <t>Batesville Quarry</t>
  </si>
  <si>
    <t>Limestone</t>
  </si>
  <si>
    <t>Rhodia - Baton Rouge</t>
  </si>
  <si>
    <t>Baton Rouge Plant</t>
  </si>
  <si>
    <t>Baton Rouge, LA</t>
  </si>
  <si>
    <t>Ecovyst Inc.</t>
  </si>
  <si>
    <t>Battle Mountain</t>
  </si>
  <si>
    <t>Lander, NV</t>
  </si>
  <si>
    <t>Rhodia - Baytown</t>
  </si>
  <si>
    <t>Bayton Plant</t>
  </si>
  <si>
    <t>Bayton, TX</t>
  </si>
  <si>
    <t>Baytown Plant</t>
  </si>
  <si>
    <t>Baytown, TX</t>
  </si>
  <si>
    <t>Bear Lodge Project - Rare Element Resources</t>
  </si>
  <si>
    <t>Bear Lodge Mine</t>
  </si>
  <si>
    <t>Rare earths</t>
  </si>
  <si>
    <t>Rare-earth-oxide equivalent</t>
  </si>
  <si>
    <t>Sundance, WY</t>
  </si>
  <si>
    <t>Wyoming</t>
  </si>
  <si>
    <t>Rare Element Resources Ltd</t>
  </si>
  <si>
    <t>General Atomic Technologies Corp.</t>
  </si>
  <si>
    <t>Home - Riverside Specialty Chemicals Inc.</t>
  </si>
  <si>
    <t>Bear Plant</t>
  </si>
  <si>
    <t>Vanadium</t>
  </si>
  <si>
    <t>Ammonium Metavanadate, Electrolyte</t>
  </si>
  <si>
    <t>V content</t>
  </si>
  <si>
    <t>Bear, DE</t>
  </si>
  <si>
    <t>Delaware</t>
  </si>
  <si>
    <t>Riverside Specialty Chemicals</t>
  </si>
  <si>
    <t>DOD Announces Rare Earth Element Awards to Strengthen Domestic Industrial Base &gt; U.S. Department of War &gt; Release | U.S. Department of War</t>
  </si>
  <si>
    <t>Beatrice Facility</t>
  </si>
  <si>
    <t>Oxide</t>
  </si>
  <si>
    <t>NdPr, Tb</t>
  </si>
  <si>
    <t>Beatrice, NE</t>
  </si>
  <si>
    <t>Nebraska</t>
  </si>
  <si>
    <t>Rare Earth Salts</t>
  </si>
  <si>
    <t>Chemtrade - Beaumont</t>
  </si>
  <si>
    <t>Beaumont Plant</t>
  </si>
  <si>
    <t>Beaumont, TX</t>
  </si>
  <si>
    <t>Beaumont Site</t>
  </si>
  <si>
    <t>Nederland, TX</t>
  </si>
  <si>
    <t>Plaskolite LLC</t>
  </si>
  <si>
    <t>magnesium 2022</t>
  </si>
  <si>
    <t>Bellevue Plant</t>
  </si>
  <si>
    <t>Bellevue, OH</t>
  </si>
  <si>
    <t>PSW Group</t>
  </si>
  <si>
    <t>Berwind Coal Mine - Global Energy Monitor</t>
  </si>
  <si>
    <t>Berwind Mine Complex</t>
  </si>
  <si>
    <t>Coal</t>
  </si>
  <si>
    <t>Metallurgical</t>
  </si>
  <si>
    <t>Berwind, WV</t>
  </si>
  <si>
    <t>Ramaco Resources Inc.</t>
  </si>
  <si>
    <t>Bessemer City | Global</t>
  </si>
  <si>
    <t>Bessemer City Facility</t>
  </si>
  <si>
    <t>Lithium hydroxide</t>
  </si>
  <si>
    <t>Bessemer City, NC</t>
  </si>
  <si>
    <t>Rio Tinto Group</t>
  </si>
  <si>
    <t>Bessie Plant</t>
  </si>
  <si>
    <t>Diydrate</t>
  </si>
  <si>
    <t>Bessie, OK</t>
  </si>
  <si>
    <t>Betze-Post Mine</t>
  </si>
  <si>
    <t>Carlin, NV</t>
  </si>
  <si>
    <t>Nevada Gold Mines JV</t>
  </si>
  <si>
    <t>Barrick Mining Corp.</t>
  </si>
  <si>
    <t xml:space="preserve"> Newmont Corp.</t>
  </si>
  <si>
    <t>Betze-Post Gold Mine, Nevada - Mining Technology</t>
  </si>
  <si>
    <t>Talon Metals and Westmoreland Mining Sign Land Agreement to Progress North Dakota Minerals Processing Facility - Talon Metals Corp</t>
  </si>
  <si>
    <t>Beulah Battery Minerals Processing Facility</t>
  </si>
  <si>
    <t>Beulah, ND</t>
  </si>
  <si>
    <t>North Dakota</t>
  </si>
  <si>
    <t>Talon Metals Corp.</t>
  </si>
  <si>
    <t>https://d9-wret.s3.us-west-2.amazonaws.com/assets/palladium/production/s3fs-public/media/files/myb1-2022-feall-ERT.xlsx</t>
  </si>
  <si>
    <t>Beverly Plant</t>
  </si>
  <si>
    <t>Ferroalloys</t>
  </si>
  <si>
    <t>Ferrosilicon</t>
  </si>
  <si>
    <t>Si content</t>
  </si>
  <si>
    <t>Beverly, OH</t>
  </si>
  <si>
    <t>Beverly | Ferroglobe PLC</t>
  </si>
  <si>
    <t>Uranium Energy Corp Sweetwater Project Designated by U.S. Government for Fast-Track Permitting to Add In-Situ Recovery Capability, Creating the Largest Dual-Feed Uranium Facility in the U.S.</t>
  </si>
  <si>
    <t>Big Eagle (Green Mountain) Mine</t>
  </si>
  <si>
    <t>Jefferson City, WY</t>
  </si>
  <si>
    <t>Uranium Energy Corp.</t>
  </si>
  <si>
    <t>Big Ledge</t>
  </si>
  <si>
    <t>Elko, NV</t>
  </si>
  <si>
    <t>Drilling Mineral Industries, LLC</t>
  </si>
  <si>
    <t>NHMU fact sheet - LF.pdf</t>
  </si>
  <si>
    <t>Bingham Canyon Mine</t>
  </si>
  <si>
    <t>Kennecott Smelter</t>
  </si>
  <si>
    <t>Salt Lake City, UT</t>
  </si>
  <si>
    <t>Kennecott Utah Copper LLC</t>
  </si>
  <si>
    <t>https://nhmu.utah.edu/sites/default/files/fact-sheets/NHMU%20fact%20sheet%20-%20LF.pdf</t>
  </si>
  <si>
    <t>Investor archive | Global</t>
  </si>
  <si>
    <t>Selenium and Tellurium 2022</t>
  </si>
  <si>
    <t>Bishop Plant</t>
  </si>
  <si>
    <t>Bishop, CA</t>
  </si>
  <si>
    <t>California</t>
  </si>
  <si>
    <t>North Bay Resources Inc.</t>
  </si>
  <si>
    <t xml:space="preserve"> 1436132 B.C. Ltd.</t>
  </si>
  <si>
    <t>BLACK BUTTE COPPER PROJECT STUDY UPDATE</t>
  </si>
  <si>
    <t>Black Butte Mine</t>
  </si>
  <si>
    <t>White Sulphur Springs, MT</t>
  </si>
  <si>
    <t>Sandfire Resources Ltd.</t>
  </si>
  <si>
    <t>https://www.bhpioneer.com/covid-19/black-hawk-residents-evacuated-because-of-sinkholes/article_a2b8c4ba-8afe-11ea-8001-9fbfe5308c55.html</t>
  </si>
  <si>
    <t>Black Hawk Quarry</t>
  </si>
  <si>
    <t>Rapid City, SD</t>
  </si>
  <si>
    <t>South Dakota</t>
  </si>
  <si>
    <t>Dakota Plaster Co.</t>
  </si>
  <si>
    <t>https://www.carmeuse.com/eu-en/products-map/359</t>
  </si>
  <si>
    <t>Black River Plant</t>
  </si>
  <si>
    <t>Quicklime, hydrated lime</t>
  </si>
  <si>
    <t>Butler, KY</t>
  </si>
  <si>
    <t>https://www.msha.gov/data-reports/statistics/mines/az/black-rock-mine</t>
  </si>
  <si>
    <t>Black Rock Mine</t>
  </si>
  <si>
    <t>Littlefield, AZ</t>
  </si>
  <si>
    <t>CertainTeed, LLC</t>
  </si>
  <si>
    <t>Saint Gobain S.A.</t>
  </si>
  <si>
    <t>Federal Register :: Notice of Availability of Draft Environmental Impact Statement for the Proposed Blackfoot Bridge Mine, Idaho</t>
  </si>
  <si>
    <t>Blackfoot Bridge Mine</t>
  </si>
  <si>
    <t>Turner Mining Group</t>
  </si>
  <si>
    <t>gallium 2022</t>
  </si>
  <si>
    <t>Blanding Plant</t>
  </si>
  <si>
    <t>Gallium</t>
  </si>
  <si>
    <t>Primary, Secondary</t>
  </si>
  <si>
    <t>Ga content</t>
  </si>
  <si>
    <t>Blanding, UT</t>
  </si>
  <si>
    <t>Neo Performance Materials Inc.</t>
  </si>
  <si>
    <t>https://www.sec.gov/Archives/edgar/data/1691303/000119312526048914/hcc-20251231.htm</t>
  </si>
  <si>
    <t>Blue Creek No. 4 Mine</t>
  </si>
  <si>
    <t>Brookwood, AL</t>
  </si>
  <si>
    <t>Warrior Met Coal, Inc.</t>
  </si>
  <si>
    <t>Blue Moon - Blue Moon Metals Inc.</t>
  </si>
  <si>
    <t>Blue Moon Mine</t>
  </si>
  <si>
    <t>Hornitos, CA</t>
  </si>
  <si>
    <t>Blue Moon Metals Inc.</t>
  </si>
  <si>
    <t>https://www.gp.com/about-us/locations/kansas#location</t>
  </si>
  <si>
    <t>Blue Rapids Plant</t>
  </si>
  <si>
    <t>Blue Rapids, KS</t>
  </si>
  <si>
    <t>Kansas</t>
  </si>
  <si>
    <t>Georgia Pacific Corp.</t>
  </si>
  <si>
    <t>Blue Rapids Quarry</t>
  </si>
  <si>
    <t>https://www.idahogeology.org/pub/Staff_Reports/2000/S-00-15.pdf</t>
  </si>
  <si>
    <t>Boise-Rochester (Talache)</t>
  </si>
  <si>
    <t>Arsenic</t>
  </si>
  <si>
    <t>As content</t>
  </si>
  <si>
    <t>Sandpoint, ID</t>
  </si>
  <si>
    <t>Inactive</t>
  </si>
  <si>
    <t>Atlanta Gold Inc.</t>
  </si>
  <si>
    <t>https://ucore.com/ucore-updates-mineral-resource-estimate-and-technical-report-for-bokan-dotson-ridge-rare-earth-property/</t>
  </si>
  <si>
    <t>Bokan Mountain Mine</t>
  </si>
  <si>
    <t>Ketchikan, AK</t>
  </si>
  <si>
    <t>Alaska</t>
  </si>
  <si>
    <t>Ucore Rare Metals Inc.</t>
  </si>
  <si>
    <t>https://www.pitandquarry.com/mlc-to-revamp-dolomitic-lime-site-in-missouri/</t>
  </si>
  <si>
    <t>Bonne Terre Plant</t>
  </si>
  <si>
    <t>Bonne Terre, MO</t>
  </si>
  <si>
    <t>Missouri</t>
  </si>
  <si>
    <t>Mississippi Lime Co.</t>
  </si>
  <si>
    <t>HBM Holdings</t>
  </si>
  <si>
    <t>Bonne Terre Quarry</t>
  </si>
  <si>
    <t>Du Pont - El Paso</t>
  </si>
  <si>
    <t>Borderland Facility</t>
  </si>
  <si>
    <t>El Paso, TX</t>
  </si>
  <si>
    <t>American Industrial Partners</t>
  </si>
  <si>
    <t>Report.doc</t>
  </si>
  <si>
    <t>Borealis Mine</t>
  </si>
  <si>
    <t>Mineral, NV</t>
  </si>
  <si>
    <t>Borealis Mining Company Ltd.</t>
  </si>
  <si>
    <t>Borealis Plant</t>
  </si>
  <si>
    <t>Boron Facility</t>
  </si>
  <si>
    <t>Boron, CA</t>
  </si>
  <si>
    <t>https://www.riotinto.com/en/invest/reports/annual-report</t>
  </si>
  <si>
    <t>Boron</t>
  </si>
  <si>
    <t>Refined Borates</t>
  </si>
  <si>
    <t>Boric Acid, Borates</t>
  </si>
  <si>
    <t>B content</t>
  </si>
  <si>
    <t>U.S. Borax</t>
  </si>
  <si>
    <t>Bouse Junction Quarry</t>
  </si>
  <si>
    <t>Bouse Junction, OK</t>
  </si>
  <si>
    <t>Bowmanstown Plant</t>
  </si>
  <si>
    <t>Bowmanstown, PA</t>
  </si>
  <si>
    <t>Department of Defense Awards $26.4 Million for Low-Cost Domestic Production of High-Purity Niobium for Defense Applications &gt; U.S. Department of War &gt; Release | U.S. Department of War</t>
  </si>
  <si>
    <t>Boyertown Plant</t>
  </si>
  <si>
    <t>Niobium and tantalum</t>
  </si>
  <si>
    <t>Niobium</t>
  </si>
  <si>
    <t>Nb content</t>
  </si>
  <si>
    <t>Boyertown, PA</t>
  </si>
  <si>
    <t>Global Advanced Metals</t>
  </si>
  <si>
    <t>Global Advanced Metals Awarded DLA Contract For Tantalum Ingots</t>
  </si>
  <si>
    <t>Tantalum</t>
  </si>
  <si>
    <t>Ingot, Powder</t>
  </si>
  <si>
    <t>Ta content</t>
  </si>
  <si>
    <t>https://www.ferroglobe.com/static-files/98064c31-754a-4c29-9f6f-38f1669a3445</t>
  </si>
  <si>
    <t>Bridgeport Plant</t>
  </si>
  <si>
    <t>Bridgeport, AL</t>
  </si>
  <si>
    <t>sec.gov/Archives/edgar/data/1041548/000114420408031546/v115478_ex99-1.htm</t>
  </si>
  <si>
    <t>Briggs Mine</t>
  </si>
  <si>
    <t>Ridgecrest, CA</t>
  </si>
  <si>
    <t xml:space="preserve">DV Natural Resources, LLC </t>
  </si>
  <si>
    <t>Briggs Plant</t>
  </si>
  <si>
    <t>Bronsville</t>
  </si>
  <si>
    <t>Cameron, TX</t>
  </si>
  <si>
    <t>Milwhite Inc.</t>
  </si>
  <si>
    <t>Molybdenum Products | AAA Molybdenum Products, Inc.</t>
  </si>
  <si>
    <t>Broomfield Facility</t>
  </si>
  <si>
    <t>Broomfield, CO</t>
  </si>
  <si>
    <t>Colorado</t>
  </si>
  <si>
    <t>AAA Molybdenum Products, Inc.</t>
  </si>
  <si>
    <t>About | AAA Molybdenum Products, Inc.</t>
  </si>
  <si>
    <t>Tusaar-MRPR-01172024.pdf</t>
  </si>
  <si>
    <t>Broomfield Rare Earth Plant</t>
  </si>
  <si>
    <t>MREO</t>
  </si>
  <si>
    <t>Tusaar Corp.</t>
  </si>
  <si>
    <t>Brushy Creek Mine</t>
  </si>
  <si>
    <t>Lead</t>
  </si>
  <si>
    <t>Pb content</t>
  </si>
  <si>
    <t>Reynolds, MO</t>
  </si>
  <si>
    <t>The Doe Run Co.</t>
  </si>
  <si>
    <t>The Renco Group, Inc.</t>
  </si>
  <si>
    <t>https://doerun.com/what-we-do/mining-milling/</t>
  </si>
  <si>
    <t>Copper 2012</t>
  </si>
  <si>
    <t>Buchanan 1 Coal Mine - Global Energy Monitor</t>
  </si>
  <si>
    <t>Buchanan No. 1 Mine</t>
  </si>
  <si>
    <t>Oakwood, VA</t>
  </si>
  <si>
    <t>Virginia</t>
  </si>
  <si>
    <t>Coronado Global Resources Inc.</t>
  </si>
  <si>
    <t>Coronado Group LLC</t>
  </si>
  <si>
    <t>https://www.mmel.com.au/site/pdf/118509f6-1dfd-4e92-9102-7c281f6572e7/Positive-Scoping-Study-Validates-Buena-Vista-Iron-Project.pdf?Platform=ListPage</t>
  </si>
  <si>
    <t>Buena Vista Mine</t>
  </si>
  <si>
    <t>Iron Ore</t>
  </si>
  <si>
    <t>Fe content</t>
  </si>
  <si>
    <t>Lovelock, NV</t>
  </si>
  <si>
    <t>Magnum Mining and Exploration Limited</t>
  </si>
  <si>
    <t>PVS Chemical - Buffalo</t>
  </si>
  <si>
    <t>Buffalo Plant</t>
  </si>
  <si>
    <t>high-purity</t>
  </si>
  <si>
    <t>Buffalo, NY</t>
  </si>
  <si>
    <t>New York</t>
  </si>
  <si>
    <t>Buick Mill</t>
  </si>
  <si>
    <t>Boss, MO</t>
  </si>
  <si>
    <t>Hydrologic Investigations Concerning Lead Mining Issues in Southeastern Missouri</t>
  </si>
  <si>
    <t>Washington and Iron, MO</t>
  </si>
  <si>
    <t>Bixby, MO</t>
  </si>
  <si>
    <t>Buick Mine</t>
  </si>
  <si>
    <t>History - The Doe Run Company</t>
  </si>
  <si>
    <t>Buick Resource Recycling Facility</t>
  </si>
  <si>
    <t>Smelter, Refinery</t>
  </si>
  <si>
    <t>Alloy, Metal</t>
  </si>
  <si>
    <t>SLR Report Template July 2018</t>
  </si>
  <si>
    <t>Hanksville, UT</t>
  </si>
  <si>
    <t>Energy Fuels Inc.</t>
  </si>
  <si>
    <t>Bunker Hill Mining Corp. - News Releases</t>
  </si>
  <si>
    <t>Bunker Hill Mine</t>
  </si>
  <si>
    <t>Kellogg, ID</t>
  </si>
  <si>
    <t>Bunker Hill Mining Corp.</t>
  </si>
  <si>
    <t>Microsoft Word - Dewey Burdock 2024 S-K 1300 Technical Report Summary</t>
  </si>
  <si>
    <t>Burdock CPP</t>
  </si>
  <si>
    <t>Edgemont, SD</t>
  </si>
  <si>
    <t>enCore Energy Corp.</t>
  </si>
  <si>
    <t>Microsoft Word - Burke_Hollow_43-101_17_AK_12_14_17cy</t>
  </si>
  <si>
    <t>Burke Hollow</t>
  </si>
  <si>
    <t>Resin</t>
  </si>
  <si>
    <t>Woodsboro, TX</t>
  </si>
  <si>
    <t>Cleveland-Cliffs Burns Harbor steel plant - Global Energy Monitor</t>
  </si>
  <si>
    <t>Burns Harbor Coke Plant</t>
  </si>
  <si>
    <t>Coke</t>
  </si>
  <si>
    <t>Burns Harbor, IN</t>
  </si>
  <si>
    <t>Cleveland-Cliffs Inc.</t>
  </si>
  <si>
    <t>Burns Harbor Plant</t>
  </si>
  <si>
    <t>Burns Harbon, IN</t>
  </si>
  <si>
    <t>Du Pont - Burnside</t>
  </si>
  <si>
    <t>Burnside Plant</t>
  </si>
  <si>
    <t>Darrow, LA</t>
  </si>
  <si>
    <t>bauxite and alumina 2020</t>
  </si>
  <si>
    <t>Burnside Refinery</t>
  </si>
  <si>
    <t>Alumina</t>
  </si>
  <si>
    <t>Burnside, LA</t>
  </si>
  <si>
    <t>Almatis Holdings 2 B.V.</t>
  </si>
  <si>
    <t>Burnsville Plant</t>
  </si>
  <si>
    <t>Burnsville, MS</t>
  </si>
  <si>
    <t>Mississippi</t>
  </si>
  <si>
    <t>Rima Industrial S.A.</t>
  </si>
  <si>
    <t>CleanTech LLC.</t>
  </si>
  <si>
    <t>Butler Facility</t>
  </si>
  <si>
    <t>Direct-reduced iron</t>
  </si>
  <si>
    <t>Hot-briquetted iron</t>
  </si>
  <si>
    <t>Butler, IN</t>
  </si>
  <si>
    <t>Steel Dynamics, Inc</t>
  </si>
  <si>
    <t>Butler Plant</t>
  </si>
  <si>
    <t>Ferromolybdenum</t>
  </si>
  <si>
    <t>Butler, PA</t>
  </si>
  <si>
    <t>Yildirim Holding A.S.</t>
  </si>
  <si>
    <t>Vanadium 2023</t>
  </si>
  <si>
    <t>Ferrovanadium</t>
  </si>
  <si>
    <t>2025_2_13_South-Texas-Uranium-Project-Technical-Report_FINAL.pdf</t>
  </si>
  <si>
    <t>Butler Range ISR Mine</t>
  </si>
  <si>
    <t>Kenedy, TX</t>
  </si>
  <si>
    <t>Rec Silicon ASA – Annual report 2024</t>
  </si>
  <si>
    <t>Butte Plant</t>
  </si>
  <si>
    <t>Gas</t>
  </si>
  <si>
    <t>Saline Gas</t>
  </si>
  <si>
    <t>Butte, MT</t>
  </si>
  <si>
    <t>REC Silicon</t>
  </si>
  <si>
    <t>Hanwha Group</t>
  </si>
  <si>
    <t>Cadiz Pilot Plant</t>
  </si>
  <si>
    <t>Cadiz, OH</t>
  </si>
  <si>
    <t>Western Magnesium Inc.</t>
  </si>
  <si>
    <t>Acid Plant Database</t>
  </si>
  <si>
    <t>Cairo Plant</t>
  </si>
  <si>
    <t>Cairo, OH</t>
  </si>
  <si>
    <t>Calenergy Lithium Project</t>
  </si>
  <si>
    <t>Calipatria, CA</t>
  </si>
  <si>
    <t>BHE Renewables</t>
  </si>
  <si>
    <t>Berkshire Hathaway Energy</t>
  </si>
  <si>
    <t>Occidental Petroleum</t>
  </si>
  <si>
    <t>Calvert City Plant</t>
  </si>
  <si>
    <t>Calvert City, KY</t>
  </si>
  <si>
    <t>CC Metals and Alloys, LLC</t>
  </si>
  <si>
    <t>Georgian American Alloys Inc.</t>
  </si>
  <si>
    <t>Nickel 2021</t>
  </si>
  <si>
    <t>Cambridge Plant</t>
  </si>
  <si>
    <t>Other</t>
  </si>
  <si>
    <t>FeNiMoly</t>
  </si>
  <si>
    <t>Cambridge, OH</t>
  </si>
  <si>
    <t>AMG Critical Materials N.V.</t>
  </si>
  <si>
    <t>Camden Plant</t>
  </si>
  <si>
    <t>Camden, TN</t>
  </si>
  <si>
    <t>Tennessee</t>
  </si>
  <si>
    <t>MagPro LLC.</t>
  </si>
  <si>
    <t>Facilities | Ritchey Metals</t>
  </si>
  <si>
    <t>Canonsburg Facilities</t>
  </si>
  <si>
    <t>Alloy</t>
  </si>
  <si>
    <t>Canonsburg, PA</t>
  </si>
  <si>
    <t>Kreher Steel Co. LLC</t>
  </si>
  <si>
    <t>Triple-S Steel Holdings, Inc.</t>
  </si>
  <si>
    <t>Canton Plant</t>
  </si>
  <si>
    <t>Ferrotitanium</t>
  </si>
  <si>
    <t>Canton, OH</t>
  </si>
  <si>
    <t>Howmet Aerospace Inc.</t>
  </si>
  <si>
    <t>Carlin Trend Mines (Gold Quarry, Goldstar, Green Lantern, Leeville, Fallon, Rita K, Exodus, Pete Bajo, Ren)</t>
  </si>
  <si>
    <t>C:\Users\tmobrien\OneDrive - DOI\old Desktop\facilities\Carlota.pdf</t>
  </si>
  <si>
    <t>Carlota Mines</t>
  </si>
  <si>
    <t>Gila, AZ</t>
  </si>
  <si>
    <t>KGHM Polska Miedz S.A.</t>
  </si>
  <si>
    <t>Carlota SX-EW Plant</t>
  </si>
  <si>
    <t>s28.q4cdn.com/607153883/files/doc_financials/2023/ar/22a5383e-3bd9-44c0-a3a0-46ea1482496a.pdf</t>
  </si>
  <si>
    <t>Carlsbad East Mine</t>
  </si>
  <si>
    <t>Potash</t>
  </si>
  <si>
    <t>K2O content</t>
  </si>
  <si>
    <t>Carlsbad, NM</t>
  </si>
  <si>
    <t>New Mexico</t>
  </si>
  <si>
    <t>Intrepid Potash, Inc.</t>
  </si>
  <si>
    <t>Carlsbad East Plant</t>
  </si>
  <si>
    <t>0001618034-23-000003</t>
  </si>
  <si>
    <t>Carlsbad North</t>
  </si>
  <si>
    <t>Monoammonium Phosphate</t>
  </si>
  <si>
    <t>Carlsbad West</t>
  </si>
  <si>
    <t>Full 20F - CLEAN</t>
  </si>
  <si>
    <t>Carondelet Plant</t>
  </si>
  <si>
    <t>St. Louis, MO</t>
  </si>
  <si>
    <t>ICL Group Ltd.</t>
  </si>
  <si>
    <t>Cartersville Plant</t>
  </si>
  <si>
    <t>Cartersville, GA</t>
  </si>
  <si>
    <t>New Riverside Ochre Co. Inc</t>
  </si>
  <si>
    <t>Ecobat Resources Arizona Earns Third Consecutive VPP Star Certification - Ecobat</t>
  </si>
  <si>
    <t>Casa Grande Smelter</t>
  </si>
  <si>
    <t>Casa Grande, AZ</t>
  </si>
  <si>
    <t>Eco-Bat Technologies Usd Ltd.</t>
  </si>
  <si>
    <t>CastleMountain_FS_02262021.pdf</t>
  </si>
  <si>
    <t>Castle Mountain Mine</t>
  </si>
  <si>
    <t>San Bernadino, CA</t>
  </si>
  <si>
    <t xml:space="preserve">Equinox Gold Corp. </t>
  </si>
  <si>
    <t>Equinox Gold Corp.</t>
  </si>
  <si>
    <t>Castle Mountain Plant</t>
  </si>
  <si>
    <t>Bromine 2016</t>
  </si>
  <si>
    <t>Centeral Plant</t>
  </si>
  <si>
    <t xml:space="preserve">Bromine  </t>
  </si>
  <si>
    <t>Br content</t>
  </si>
  <si>
    <t>El Dorado, AK</t>
  </si>
  <si>
    <t>Lanxess</t>
  </si>
  <si>
    <t>https://www.blm.gov/press-release/blm-seeks-public-comment-diamond-k-gypsum-chalk-hills-quarry-extension-proposal</t>
  </si>
  <si>
    <t>Chalk Hills Quarry</t>
  </si>
  <si>
    <t>Castle Dale, UT</t>
  </si>
  <si>
    <t>Diamond K Gypsum, Inc.</t>
  </si>
  <si>
    <t>ACG Materials</t>
  </si>
  <si>
    <t>https://www.goldrichmining.com/media/downloads/IA/Goldrich-Mining-IA-2023.pdf</t>
  </si>
  <si>
    <t>Chandalar Mine</t>
  </si>
  <si>
    <t>Fines, Nuggets</t>
  </si>
  <si>
    <t>Yukon Flats, AK</t>
  </si>
  <si>
    <t>Goldrich Mining Co.</t>
  </si>
  <si>
    <t>Wacker Is New Polysilicon Market Leader | Bernreuter Research</t>
  </si>
  <si>
    <t>Charleston Plant</t>
  </si>
  <si>
    <t>Polysilicon</t>
  </si>
  <si>
    <t>Charleston, TN</t>
  </si>
  <si>
    <t>Walker Chemie AG</t>
  </si>
  <si>
    <t>Chatsworth</t>
  </si>
  <si>
    <t>Murray, GA</t>
  </si>
  <si>
    <t>CIMBAR Performance Minerals Inc.</t>
  </si>
  <si>
    <t>United Minerals and Properties Inc.</t>
  </si>
  <si>
    <t>Home -</t>
  </si>
  <si>
    <t>Chattenoga Facility</t>
  </si>
  <si>
    <t>Chattenooga, TN</t>
  </si>
  <si>
    <t>Allied Metal Company</t>
  </si>
  <si>
    <t>Allied-Metal-Permit-Application.pdf</t>
  </si>
  <si>
    <t>https://www.facebook.com/GeorgiaPacific/posts/we-have-made-the-difficult-decision-to-close-our-mcqueeney-texas-gypsum-facility/661052219384105/</t>
  </si>
  <si>
    <t>Cherry Mountain Quarry</t>
  </si>
  <si>
    <t>Fredericksburg, TX</t>
  </si>
  <si>
    <t>Georgia-Pacific Gypsum LLC</t>
  </si>
  <si>
    <t>Koch, Inc.</t>
  </si>
  <si>
    <t>EPA Facility Level GHG Emissions Data</t>
  </si>
  <si>
    <t>Chicago Facility</t>
  </si>
  <si>
    <t>Chicago, IL</t>
  </si>
  <si>
    <t>Illinois</t>
  </si>
  <si>
    <t>PVS Chemical - Chicago</t>
  </si>
  <si>
    <t>Chicago Plant</t>
  </si>
  <si>
    <t>Oleum</t>
  </si>
  <si>
    <t>Sulfur dioxide</t>
  </si>
  <si>
    <t>Sulfur trioxide</t>
  </si>
  <si>
    <t>Graphite Manufacturing Solutions - Superior Graphite</t>
  </si>
  <si>
    <t>Chicago Plant #1</t>
  </si>
  <si>
    <t>Manufactured</t>
  </si>
  <si>
    <t>Specialty</t>
  </si>
  <si>
    <t>Bedford Park, IL</t>
  </si>
  <si>
    <t>Superior Graphite</t>
  </si>
  <si>
    <t>ExxonMobil</t>
  </si>
  <si>
    <t>Chicago Plant #2</t>
  </si>
  <si>
    <t>Chicago Zinc Plant</t>
  </si>
  <si>
    <t>Alloy, Anode</t>
  </si>
  <si>
    <t>Imperial Group</t>
  </si>
  <si>
    <t>Chino Mine</t>
  </si>
  <si>
    <t>Grant, NM</t>
  </si>
  <si>
    <t>fcx-20211231</t>
  </si>
  <si>
    <t>Microsoft Word - 2023-MFASC-EXHIBITOR-HANDBOOK</t>
  </si>
  <si>
    <t>Chino Refinery</t>
  </si>
  <si>
    <t>Chino, CA</t>
  </si>
  <si>
    <t>Almanon Inc.</t>
  </si>
  <si>
    <t>Chino SX-EW Plant</t>
  </si>
  <si>
    <t>ex_423213.htm</t>
  </si>
  <si>
    <t>Christensen Ranch IRS Mine</t>
  </si>
  <si>
    <t>Moorcroft, WY</t>
  </si>
  <si>
    <t>46-Magnesium Compounds_1.indd</t>
  </si>
  <si>
    <t>Chula Vista Plant</t>
  </si>
  <si>
    <t>Chloride Brine</t>
  </si>
  <si>
    <t>MgO content</t>
  </si>
  <si>
    <t>Chula Vista, CA</t>
  </si>
  <si>
    <t>South Bay Salt Works</t>
  </si>
  <si>
    <t>Essential Energy Tour – Ecobat | Battery Council International</t>
  </si>
  <si>
    <t>City of Industry Smelter</t>
  </si>
  <si>
    <t>Ingot, Alloy</t>
  </si>
  <si>
    <t>City of Industry, CA</t>
  </si>
  <si>
    <t>Anovion Launches as a Leader in the North American Battery Materials Supply Chain Bringing Proven Anode Technologies and Over 140 Years of History in Synthetic Graphite Production | Pyrotek</t>
  </si>
  <si>
    <t>Clarksburg</t>
  </si>
  <si>
    <t>Clarksburg, WV</t>
  </si>
  <si>
    <t>Anovion</t>
  </si>
  <si>
    <t>Fine Zinc Powder - FZP - EverZinc</t>
  </si>
  <si>
    <t>Clarksville Facility</t>
  </si>
  <si>
    <t>Fine zinc powder</t>
  </si>
  <si>
    <t>Clarksville, TN</t>
  </si>
  <si>
    <t>Everzinc Corp.</t>
  </si>
  <si>
    <t>Clarksville Smelter</t>
  </si>
  <si>
    <t>Korea Zinc Company, Ltd.</t>
  </si>
  <si>
    <t>U.S. Government</t>
  </si>
  <si>
    <t>Private entity (generic)</t>
  </si>
  <si>
    <t>Germanium</t>
  </si>
  <si>
    <t>Ge content</t>
  </si>
  <si>
    <t>Precipitate</t>
  </si>
  <si>
    <t>Indium</t>
  </si>
  <si>
    <t>In content</t>
  </si>
  <si>
    <t>Cadmium</t>
  </si>
  <si>
    <t>Rods, Sticks</t>
  </si>
  <si>
    <t>Cd content</t>
  </si>
  <si>
    <t>Bismuth</t>
  </si>
  <si>
    <t>Bi content</t>
  </si>
  <si>
    <t>Antimony</t>
  </si>
  <si>
    <t>Sb content</t>
  </si>
  <si>
    <t>https://minedocs.com/17/Nyrstar_Fact_Sheet_Clarksville_2018.pdf</t>
  </si>
  <si>
    <t>Nyrstar - Clarksville</t>
  </si>
  <si>
    <t>Clairton Coke Works - Wikipedia</t>
  </si>
  <si>
    <t>Clarton Coke Works</t>
  </si>
  <si>
    <t>Clarion, PA</t>
  </si>
  <si>
    <t>U.S. Steel</t>
  </si>
  <si>
    <t>Nippon Steel Corp</t>
  </si>
  <si>
    <t>https://cmxgoldandsilver.com/wp-content/uploads/2024/01/Clayton-NI-43-101.pdf</t>
  </si>
  <si>
    <t>Clayton Mine</t>
  </si>
  <si>
    <t>Challis, ID</t>
  </si>
  <si>
    <t>CMX Gold &amp; Silver Corp.</t>
  </si>
  <si>
    <t>Climax Mine</t>
  </si>
  <si>
    <t>Leadville, CO</t>
  </si>
  <si>
    <t>https://d18rn0p25nwr6d.cloudfront.net/CIK-0000831259/70a55880-a8ad-4730-9658-be92fcd263de.pdf</t>
  </si>
  <si>
    <t>Tungsten 2021</t>
  </si>
  <si>
    <t>Clinton Facility</t>
  </si>
  <si>
    <t>Tungsten</t>
  </si>
  <si>
    <t>Calcium Tungstate, Sodium Tungstate</t>
  </si>
  <si>
    <t>W content</t>
  </si>
  <si>
    <t>Clinton, MD</t>
  </si>
  <si>
    <t>Chem-Met Co.</t>
  </si>
  <si>
    <t>Clinton Plant</t>
  </si>
  <si>
    <t>Clinton, NY</t>
  </si>
  <si>
    <t>Indium Corp.</t>
  </si>
  <si>
    <t>Final Results for the Year Ended 31 December 2022 – Company Announcement - FT.com</t>
  </si>
  <si>
    <t>Cobre Magnetite Stockpile</t>
  </si>
  <si>
    <t>Bayare, NM</t>
  </si>
  <si>
    <t>Strategic Minerals Plc.</t>
  </si>
  <si>
    <t>https://www.certainteed.com/western-mining-and-minerals</t>
  </si>
  <si>
    <t>Cody Quarry</t>
  </si>
  <si>
    <t>Cody, WY</t>
  </si>
  <si>
    <t>Lead in 1998</t>
  </si>
  <si>
    <t>College Grove Plant</t>
  </si>
  <si>
    <t>College Grove, TN</t>
  </si>
  <si>
    <t>Yechiu Metal Recycling Ltd.</t>
  </si>
  <si>
    <t>Ye Chiu Group</t>
  </si>
  <si>
    <t>Mersen inaugurates graphite manufacturing capacities in the USA</t>
  </si>
  <si>
    <t>Columbia</t>
  </si>
  <si>
    <t>Columbia, TN</t>
  </si>
  <si>
    <t>Mersen Group</t>
  </si>
  <si>
    <t>Cirba Solutions Selected for $200 Million Award Negotiations for Critical Materials Refining | Cirba Solutions</t>
  </si>
  <si>
    <t>Columbia Facility</t>
  </si>
  <si>
    <t>Lexington, SC</t>
  </si>
  <si>
    <t>Cirba Solutions</t>
  </si>
  <si>
    <t>The Heritage Group</t>
  </si>
  <si>
    <t>Stillwater-Operation-TRS-12312024.pdf</t>
  </si>
  <si>
    <t>Columbus Metallurgical Refinery</t>
  </si>
  <si>
    <t>Rhodium</t>
  </si>
  <si>
    <t>Mixed Filtercake</t>
  </si>
  <si>
    <t>Rh content</t>
  </si>
  <si>
    <t>Columbus, MT</t>
  </si>
  <si>
    <t>Columbus Metallurgical Smelter</t>
  </si>
  <si>
    <t>Matte</t>
  </si>
  <si>
    <t>COMSTOCK ANNOUNCES FULL YEAR 2022 RESULTS - Comstock Inc.</t>
  </si>
  <si>
    <t>Comstock Mine</t>
  </si>
  <si>
    <t>Virginia City, NV</t>
  </si>
  <si>
    <t>Comstock Inc.</t>
  </si>
  <si>
    <t>Comstock Plant</t>
  </si>
  <si>
    <t>Comstock/Mountain Lion Mine</t>
  </si>
  <si>
    <t>Ceder City, UT</t>
  </si>
  <si>
    <t>Iron Mountain Mines Inc.</t>
  </si>
  <si>
    <t>itafos-2022-aif-03-22-2023-ac-vfinal.pdf</t>
  </si>
  <si>
    <t>Conda Facility</t>
  </si>
  <si>
    <t>Itafos Inc.</t>
  </si>
  <si>
    <t>fluorspar 2022</t>
  </si>
  <si>
    <t>Fluorosilicic Acid</t>
  </si>
  <si>
    <t>Conda Mine</t>
  </si>
  <si>
    <t>https://www.montanaresources.com/about/</t>
  </si>
  <si>
    <t>Continental Mine</t>
  </si>
  <si>
    <t>Montana Resources LLP</t>
  </si>
  <si>
    <t>The Washington Companies</t>
  </si>
  <si>
    <t>Silverbow, MT</t>
  </si>
  <si>
    <t>Montana Resources</t>
  </si>
  <si>
    <t>sec.gov/Archives/edgar/data/839470/000110465924107335/tm2425743d1_ex96-1.htm</t>
  </si>
  <si>
    <t>Coosa Mine</t>
  </si>
  <si>
    <t>Rockford, AL</t>
  </si>
  <si>
    <t>Westwater Resources, Inc.</t>
  </si>
  <si>
    <t>Feasibility Study Update</t>
  </si>
  <si>
    <t>Copperwood Project</t>
  </si>
  <si>
    <t>Wakefield, MI</t>
  </si>
  <si>
    <t>Copperwood Resources Inc.</t>
  </si>
  <si>
    <t>Highland Copper Company Inc.</t>
  </si>
  <si>
    <t>Corpus Christi - CC</t>
  </si>
  <si>
    <t>Nueces, TX</t>
  </si>
  <si>
    <t>Corpus Christi - CIMBAR</t>
  </si>
  <si>
    <t>Corpus Christi - Halliburton</t>
  </si>
  <si>
    <t>Halliburton Co.</t>
  </si>
  <si>
    <t>Corpus Christi - TC</t>
  </si>
  <si>
    <t>Corpus Christi -CES</t>
  </si>
  <si>
    <t>CES Energy Solutions Corp.</t>
  </si>
  <si>
    <t>Cortez Hills Open Pit Mines (Pipeline Cross Roads, Cortez)</t>
  </si>
  <si>
    <t>Crescent Valley, NV</t>
  </si>
  <si>
    <t>Cortez Hills Underground Mines (Cortez Hills, Goldrush)</t>
  </si>
  <si>
    <t>Cortez Oxide Mill and heap leach facility</t>
  </si>
  <si>
    <t>Coyote</t>
  </si>
  <si>
    <t>Progressive Contracting Inc.</t>
  </si>
  <si>
    <t>https://americas-gold.com/operations/galena-complex/</t>
  </si>
  <si>
    <t>Crescent Mine</t>
  </si>
  <si>
    <t>Osburn, ID</t>
  </si>
  <si>
    <t>Americas Gold and Silver Co.</t>
  </si>
  <si>
    <t>Americas Gold and Silver Corp.</t>
  </si>
  <si>
    <t>https://www.lime.org/find-a-lime-plant/?categories=58&amp;pagenum=</t>
  </si>
  <si>
    <t>Cricket Mountain Plant</t>
  </si>
  <si>
    <t>Delta, UT</t>
  </si>
  <si>
    <t>Graymont Inc.</t>
  </si>
  <si>
    <t>https://www.ssrmining.com/_resources/reports/Technical-Report-CCV-2025-SK1300.pdf?v=051904</t>
  </si>
  <si>
    <t>Cripple Creek and Victor Gold Mine</t>
  </si>
  <si>
    <t>Teller, CO</t>
  </si>
  <si>
    <t>SSR Mining Inc.</t>
  </si>
  <si>
    <t>https://www.ssrmining.com/operations/production/cripple-creek-victor/</t>
  </si>
  <si>
    <t>Technical Report - CC&amp;V 2025 (SK1300)</t>
  </si>
  <si>
    <t>Cripple Creek District Plant</t>
  </si>
  <si>
    <t>Crow Butte Mine</t>
  </si>
  <si>
    <t>Crawford, NE</t>
  </si>
  <si>
    <t>Cameco Corporation</t>
  </si>
  <si>
    <t>Crow Butte Recovery Facility</t>
  </si>
  <si>
    <t>Cumberland Mine</t>
  </si>
  <si>
    <t>Waynesburg, PA</t>
  </si>
  <si>
    <t>Iron Senergy Holding, LLC</t>
  </si>
  <si>
    <t>Microsoft Word - CuMo_PEA_NI43-101_2CM027.001_20200525_rev.docx</t>
  </si>
  <si>
    <t>CuMo Mine</t>
  </si>
  <si>
    <t>Boise, ID</t>
  </si>
  <si>
    <t>Multi-Metal Dev. Ltd.</t>
  </si>
  <si>
    <t>https://www.azomining.com/suppliers.aspx?SupplierID=1234</t>
  </si>
  <si>
    <t>Cyril Mines (#2, #5)</t>
  </si>
  <si>
    <t>Cyril, OK</t>
  </si>
  <si>
    <t>Daneros</t>
  </si>
  <si>
    <t>IsoEnergy Ltd.</t>
  </si>
  <si>
    <t>Decatur Plant</t>
  </si>
  <si>
    <t>Decatur, AL</t>
  </si>
  <si>
    <t>Bailey-PSV Oxides, LLC</t>
  </si>
  <si>
    <t>Deer Park Facility</t>
  </si>
  <si>
    <t>Deer Park, TX</t>
  </si>
  <si>
    <t>Dow Chemical Co.</t>
  </si>
  <si>
    <t>https://wp-integraresources-2024.s3.ca-central-1.amazonaws.com/media/2026/02/Integra-DeLamar-43-101-FS-Report-FINAL.pdf</t>
  </si>
  <si>
    <t>DeLamar Mine</t>
  </si>
  <si>
    <t>Kuna, ID</t>
  </si>
  <si>
    <t>Integra Resources Corp.</t>
  </si>
  <si>
    <t>DeLisles Plant</t>
  </si>
  <si>
    <t>De Lisle, MS</t>
  </si>
  <si>
    <t>The Chemours Co.</t>
  </si>
  <si>
    <t>Delta Plant</t>
  </si>
  <si>
    <t>Delta, OH</t>
  </si>
  <si>
    <t>Commencement of commercial production at Delta - 07:00:09 01 Aug 2024 - KRS News article | London Stock Exchange</t>
  </si>
  <si>
    <t>Keras Resources Plc</t>
  </si>
  <si>
    <t>PhoSul LLC</t>
  </si>
  <si>
    <t>Denton-Rawhide Mine</t>
  </si>
  <si>
    <t>Fallon, NV</t>
  </si>
  <si>
    <t>Walker Lane Mining LLC.</t>
  </si>
  <si>
    <t>Denton-Rawhide Plant</t>
  </si>
  <si>
    <t>Depew Facility</t>
  </si>
  <si>
    <t>Ammonium Paratungstate, Oxide</t>
  </si>
  <si>
    <t>Depew, NY</t>
  </si>
  <si>
    <t>Buffalo Tungsten Inc.</t>
  </si>
  <si>
    <t>Sumitomo Electric Industries, Ltd.</t>
  </si>
  <si>
    <t>Sandvik</t>
  </si>
  <si>
    <t>B2159_SAR_20220815.pdf</t>
  </si>
  <si>
    <t>Detroit Facility</t>
  </si>
  <si>
    <t>Detroit, MI</t>
  </si>
  <si>
    <t>Arco Alloys Corp.</t>
  </si>
  <si>
    <t>Detroit Plant</t>
  </si>
  <si>
    <t>Kymera International</t>
  </si>
  <si>
    <t>Palladium Equity Partners</t>
  </si>
  <si>
    <t>Dewey Burdock Mine</t>
  </si>
  <si>
    <t>LSE_KRS_2022.pdf</t>
  </si>
  <si>
    <t>Diamond Creek</t>
  </si>
  <si>
    <t>Salt Lake, UT</t>
  </si>
  <si>
    <t>Diamond Gypsum Quarries (North and South)</t>
  </si>
  <si>
    <t>Watonga, OK</t>
  </si>
  <si>
    <t>Diamond Hill Mine – Montana Goldfields, Inc.</t>
  </si>
  <si>
    <t>Diamond Hill Mine</t>
  </si>
  <si>
    <t>Townsend, MT</t>
  </si>
  <si>
    <t>Eastern Resources, Inc.</t>
  </si>
  <si>
    <t>Elkhorn Goldfields LLC</t>
  </si>
  <si>
    <t>Helium 2023</t>
  </si>
  <si>
    <t>Dineh-Bi-Keyah Plant</t>
  </si>
  <si>
    <t>Helium</t>
  </si>
  <si>
    <t>Gaseous helium</t>
  </si>
  <si>
    <t>Apache, AZ</t>
  </si>
  <si>
    <t>Cimarron Midstream</t>
  </si>
  <si>
    <t>Glenfarne Group</t>
  </si>
  <si>
    <t>Doe Canyon Plant</t>
  </si>
  <si>
    <t>Grade-A helium</t>
  </si>
  <si>
    <t>Dolores, CO</t>
  </si>
  <si>
    <t>Air Products Corporation, Inc.</t>
  </si>
  <si>
    <t>Rhodia - Dominguez</t>
  </si>
  <si>
    <t>Dominguez Plant</t>
  </si>
  <si>
    <t>Carson, CA</t>
  </si>
  <si>
    <t>Don.indd</t>
  </si>
  <si>
    <t>Don Plant</t>
  </si>
  <si>
    <t>Ferilizer, Phosphates</t>
  </si>
  <si>
    <t>Smoky Canyon</t>
  </si>
  <si>
    <t>Pocatello, ID</t>
  </si>
  <si>
    <t>The Simplot Co.</t>
  </si>
  <si>
    <t>https://novagold.com/donlin-gold/project-overview/</t>
  </si>
  <si>
    <t>Donlin Mine</t>
  </si>
  <si>
    <t>Crooked Creek Village, AK</t>
  </si>
  <si>
    <t>NovaGold Resources Inc.</t>
  </si>
  <si>
    <t>Paulson &amp; Co. Inc.</t>
  </si>
  <si>
    <t>Bureau of Land Management: Should Cedar Canyon's Dry Creek gypsum mine be expanded? | News | stgeorgeutah.com</t>
  </si>
  <si>
    <t>Dry Creek Mine</t>
  </si>
  <si>
    <t>Cedar Canyon, UT</t>
  </si>
  <si>
    <t>Dunphy</t>
  </si>
  <si>
    <t>Eureka, NV</t>
  </si>
  <si>
    <t>DuPont</t>
  </si>
  <si>
    <t>Wilmington, DE</t>
  </si>
  <si>
    <t>Dyersburg</t>
  </si>
  <si>
    <t>Dyer, TN</t>
  </si>
  <si>
    <t>Gopher Resource Leading Federally Funded Projects to Reduce the Use of Fossil Coal in Recycling Process</t>
  </si>
  <si>
    <t>Eagan Refinery</t>
  </si>
  <si>
    <t>Rosemont, MN</t>
  </si>
  <si>
    <t>Minnesota</t>
  </si>
  <si>
    <t>Bridgepoint Group plc</t>
  </si>
  <si>
    <t>Eagan Smelter</t>
  </si>
  <si>
    <t>American Gypsum Eagle Mine, Gypsum, Colorado | DA Smith Drilling Company</t>
  </si>
  <si>
    <t>Eagle Mine</t>
  </si>
  <si>
    <t>Gypsum, CO</t>
  </si>
  <si>
    <t>American Gypsum Co.</t>
  </si>
  <si>
    <t>Eagle Materials Inc.</t>
  </si>
  <si>
    <t>Marquette, MI</t>
  </si>
  <si>
    <t>Eagle-TR-12312022.pdf</t>
  </si>
  <si>
    <t>East Boulder Mine</t>
  </si>
  <si>
    <t>Big Timber, MT</t>
  </si>
  <si>
    <t>Ro content</t>
  </si>
  <si>
    <t>10-K</t>
  </si>
  <si>
    <t>East Mine</t>
  </si>
  <si>
    <t>Cadmium 2019</t>
  </si>
  <si>
    <t>East Tennessee Mines (Young, Coy, Immel)</t>
  </si>
  <si>
    <t>Jefferson and Knox, TN</t>
  </si>
  <si>
    <t>Fact Sheet-Clarksville - Mar2017-v2.indd</t>
  </si>
  <si>
    <t>Zinc 2018</t>
  </si>
  <si>
    <t>https://www.graymont.com/locations/#map=42.408542%2C-71.124358%2C4z</t>
  </si>
  <si>
    <t>Eden Plant</t>
  </si>
  <si>
    <t>Eden, WI</t>
  </si>
  <si>
    <t>Wisconsin</t>
  </si>
  <si>
    <t>Standard Lithium Ltd. - News</t>
  </si>
  <si>
    <t>El Dorado Phase 1 Plant</t>
  </si>
  <si>
    <t>Standard Lithium Ltd.</t>
  </si>
  <si>
    <t>El Paso Refinery</t>
  </si>
  <si>
    <t>Slime</t>
  </si>
  <si>
    <t>https://www.sec.gov/Archives/edgar/data/831259/000083125923000013/fcx-20221231.htm</t>
  </si>
  <si>
    <t>Carbonate</t>
  </si>
  <si>
    <t>sec.gov/Archives/edgar/data/1687187/000110465923002700/metc-20211231xex96d2.htm</t>
  </si>
  <si>
    <t>Elk Creek Coal Mine</t>
  </si>
  <si>
    <t>Mingo, WV</t>
  </si>
  <si>
    <t>Microsoft Word - Rev 0 - NioCorp NI 43-101 Report - WIP_TSfinal-sh</t>
  </si>
  <si>
    <t>Elk Creek Mine</t>
  </si>
  <si>
    <t>Elk Creek, NE</t>
  </si>
  <si>
    <t>NioCorp Developments Ltd.</t>
  </si>
  <si>
    <t>Scandium</t>
  </si>
  <si>
    <t>Sc content</t>
  </si>
  <si>
    <t>Elk Creek Plant</t>
  </si>
  <si>
    <t>Ferroniobium</t>
  </si>
  <si>
    <t>Precious Metals Products | Colonial Metals</t>
  </si>
  <si>
    <t>Elkton Facility</t>
  </si>
  <si>
    <t>Elkton, MD</t>
  </si>
  <si>
    <t>Metal Refinery | Metal Refining | Colonial Metals</t>
  </si>
  <si>
    <t>Ellwood City Facility</t>
  </si>
  <si>
    <t>Ellwood City, PA</t>
  </si>
  <si>
    <t>American Zinc Recycling LLC</t>
  </si>
  <si>
    <t>Chromium</t>
  </si>
  <si>
    <t>Cr content</t>
  </si>
  <si>
    <t>beryllium 2022</t>
  </si>
  <si>
    <t>Elmore Facility</t>
  </si>
  <si>
    <t>Beryllium</t>
  </si>
  <si>
    <t>Alloy, Metal, Oxide</t>
  </si>
  <si>
    <t>Be content</t>
  </si>
  <si>
    <t>W</t>
  </si>
  <si>
    <t>Elmore, OH</t>
  </si>
  <si>
    <t>Materion Corp</t>
  </si>
  <si>
    <t>Solution Grade | empiremine</t>
  </si>
  <si>
    <t>Empire Mine</t>
  </si>
  <si>
    <t>Empire, NV</t>
  </si>
  <si>
    <t>Empire Mining Co.</t>
  </si>
  <si>
    <t>Mackay, ID</t>
  </si>
  <si>
    <t>Phoenix Copper Ltd.</t>
  </si>
  <si>
    <t>ExGen Resources Inc.</t>
  </si>
  <si>
    <t>https://wp-phoenixcopper-2024.s3.eu-west-2.amazonaws.com/media/2024/10/KonnexPFS.pdf</t>
  </si>
  <si>
    <t>Mineral Reserve Estimates</t>
  </si>
  <si>
    <t>Canton, NY</t>
  </si>
  <si>
    <t>Titan Mining Corp.</t>
  </si>
  <si>
    <t>REalloys, Inc. - Facilities</t>
  </si>
  <si>
    <t>Euclid Plant</t>
  </si>
  <si>
    <t>Euclid, OH</t>
  </si>
  <si>
    <t>Realloys, Inc</t>
  </si>
  <si>
    <t>Phoenix Tailings Opens Cutting-Edge U.S. Rare Earth Metallization Facility Entirely Independent From China | Phoenix Tailings</t>
  </si>
  <si>
    <t>Exeter Plant</t>
  </si>
  <si>
    <t>Exeter, NH</t>
  </si>
  <si>
    <t>New Hampshire</t>
  </si>
  <si>
    <t>Phoenix Tailings Inc.</t>
  </si>
  <si>
    <t>Nth Cycle Begins Operations of First Domestic Commercial-Scale Nickel and Cobalt Scrap Refining System in Fairfield, Ohio - Nth Cycle</t>
  </si>
  <si>
    <t>Fairfield Facility</t>
  </si>
  <si>
    <t>Fairfield, OH</t>
  </si>
  <si>
    <t>Nth Cycle</t>
  </si>
  <si>
    <t>Fairfield Plant</t>
  </si>
  <si>
    <t>Fairfield, AL</t>
  </si>
  <si>
    <t>Fallon Facility</t>
  </si>
  <si>
    <t>Carbide Powder</t>
  </si>
  <si>
    <t>Kennametal Inc.</t>
  </si>
  <si>
    <t>https://www.sec.gov/Archives/edgar/data/1061112/000104746904019129/a2136340z10-k.htm#:~:text=Table_content:%20header:%20%7C%20%7C%20Year%20Ended%20October,%7C%20Year%20Ended%20October%2031,:%2014,771%20%7C</t>
  </si>
  <si>
    <t>Fletcher Mine</t>
  </si>
  <si>
    <t>Bunker, MO</t>
  </si>
  <si>
    <t>Florence Mine</t>
  </si>
  <si>
    <t>Florence, AZ</t>
  </si>
  <si>
    <t>Florence Copper Inc.</t>
  </si>
  <si>
    <t>Taseko Mines Limited</t>
  </si>
  <si>
    <t>Mitsui &amp; Co., Ltd.</t>
  </si>
  <si>
    <t>Florence Plant</t>
  </si>
  <si>
    <t>Florence Smelter</t>
  </si>
  <si>
    <t>Florence, SC</t>
  </si>
  <si>
    <t>Clarios LLC</t>
  </si>
  <si>
    <t>Brookfield Business Partners</t>
  </si>
  <si>
    <t>https://wp-integraresources-2024.s3.ca-central-1.amazonaws.com/media/2024/11/fcgv-2024-07-12-technical-report-ni-43-101-florida-canyon.pdf</t>
  </si>
  <si>
    <t>Florida Canyon Mine</t>
  </si>
  <si>
    <t>Pershing, NV</t>
  </si>
  <si>
    <t>Florida Canyon Plant</t>
  </si>
  <si>
    <t>Florin</t>
  </si>
  <si>
    <t>Sacramento, CA</t>
  </si>
  <si>
    <t>Industrial Minerals Co.</t>
  </si>
  <si>
    <t>Document Display | NEPIS | US EPA</t>
  </si>
  <si>
    <t>Forest City Facility</t>
  </si>
  <si>
    <t>Forest City, MO</t>
  </si>
  <si>
    <t>Edison Group Cos. LLC</t>
  </si>
  <si>
    <t>5E Advanced Materials Reports Positive Progress, Unveils Strengthened Project Economics and Timeline to Final Investment Decision</t>
  </si>
  <si>
    <t>Fort Cady</t>
  </si>
  <si>
    <t>Boric Acid</t>
  </si>
  <si>
    <t>Newberry Springs, CA</t>
  </si>
  <si>
    <t>5N Plus Inc.</t>
  </si>
  <si>
    <t>2348c8d7-f04a-11ed-82f2-6e9c8c69ee5f.pdf</t>
  </si>
  <si>
    <t>Fort Dodge Plant</t>
  </si>
  <si>
    <t>Fort Dodge, IA</t>
  </si>
  <si>
    <t>Iowa</t>
  </si>
  <si>
    <t>Operations &amp; Projects - Kinross Gold Corporation</t>
  </si>
  <si>
    <t>Fort Knox Heap Leach Facilities (Walter Creek and Barnes Creek)</t>
  </si>
  <si>
    <t>Fairbanks, AK</t>
  </si>
  <si>
    <t>Fort Knox Mine</t>
  </si>
  <si>
    <t>Fort Madison Refinery</t>
  </si>
  <si>
    <t xml:space="preserve">Molybdenum  </t>
  </si>
  <si>
    <t>Fort Madison, IA</t>
  </si>
  <si>
    <t>https://www.westernsugar.com/who-we-are/our-facilities/fort-morgan-co-manufacturing-facility/</t>
  </si>
  <si>
    <t>Fort Morgan Processing Plant</t>
  </si>
  <si>
    <t>Fort Morgan, CO</t>
  </si>
  <si>
    <t>Western Sugar Cooperative Inc.</t>
  </si>
  <si>
    <t>The strategy behind Exurban's US smelter project - Resource Recycling</t>
  </si>
  <si>
    <t>Fort Wayne Smelter</t>
  </si>
  <si>
    <t>Metal, Alloy</t>
  </si>
  <si>
    <t>Fort Wayne, IN</t>
  </si>
  <si>
    <t>Exurban</t>
  </si>
  <si>
    <t>Cornerstone Chemical - Fortier</t>
  </si>
  <si>
    <t>Fortier Manufacturing Complex</t>
  </si>
  <si>
    <t>Westwego, LA</t>
  </si>
  <si>
    <t>Mosaic - Financials - Annual Reports</t>
  </si>
  <si>
    <t>Four Corners</t>
  </si>
  <si>
    <t>Bradley, FL</t>
  </si>
  <si>
    <t>https://www.basinelectric.com/About-Us/Organization/Subsidiaries/Wyoming-Lime-Producers/</t>
  </si>
  <si>
    <t>Frannie Lime Plant</t>
  </si>
  <si>
    <t>Frannie, WY</t>
  </si>
  <si>
    <t>Wyoming Lime Producers</t>
  </si>
  <si>
    <t>Dakota Coal Co.</t>
  </si>
  <si>
    <t>Aleon Metals: 52-Day Critical Minerals Sale Update</t>
  </si>
  <si>
    <t>Freeport Facility</t>
  </si>
  <si>
    <t>Freeport, TX</t>
  </si>
  <si>
    <t>Gladieux Metals Recycling LLC</t>
  </si>
  <si>
    <t>Aleon Metals</t>
  </si>
  <si>
    <t>C:ACROBAT3VOL196TEMPLATE.PDF</t>
  </si>
  <si>
    <t>Gabbs Mine</t>
  </si>
  <si>
    <t>Gabbs, NV</t>
  </si>
  <si>
    <t>Permier Magnesia, LLC</t>
  </si>
  <si>
    <t>Martin Marietta Materials, Inc.</t>
  </si>
  <si>
    <t>Gabbs Plant</t>
  </si>
  <si>
    <t>Magnesia</t>
  </si>
  <si>
    <t>https://americas-gold.com/site/assets/files/6067/nr20260121-1.pdf</t>
  </si>
  <si>
    <t>Galena Complex</t>
  </si>
  <si>
    <t>https://americas-gold.com/site/assets/files/6085/nr20260330b-1.pdf</t>
  </si>
  <si>
    <t>RioTinto | Kennecott - The Story of Refining Copper Ores Recovered from Bingham Canyon, Utah</t>
  </si>
  <si>
    <t>Refining Process - Noble Metal Services</t>
  </si>
  <si>
    <t>Geib Refinery</t>
  </si>
  <si>
    <t>Warwick, RI</t>
  </si>
  <si>
    <t>Geib Refining Corp.</t>
  </si>
  <si>
    <t>National Chain Group</t>
  </si>
  <si>
    <t>Geismar Facility</t>
  </si>
  <si>
    <t>Anhydrous Hydrofuoric Acid, Hydrofluoric acid</t>
  </si>
  <si>
    <t>Geismar, LA</t>
  </si>
  <si>
    <t>Honeywell International Inc.</t>
  </si>
  <si>
    <t>Innophos - Geismar</t>
  </si>
  <si>
    <t>Geismar Plant</t>
  </si>
  <si>
    <t>Innophos Inc.</t>
  </si>
  <si>
    <t>Genoa Plant</t>
  </si>
  <si>
    <t>Genoa, OH</t>
  </si>
  <si>
    <t>Southern Ionics Minerals Is Part of The Chemours Company | The Chemours Company</t>
  </si>
  <si>
    <t>Georgia Mines</t>
  </si>
  <si>
    <t>Jesup, GA</t>
  </si>
  <si>
    <t>Energy Fuels set to become rare earth producer in 2021 - MINING.COM</t>
  </si>
  <si>
    <t>Georgia-Florida Heavy Mineral Sands Deposits</t>
  </si>
  <si>
    <t>Jacksonville, FL</t>
  </si>
  <si>
    <t>Georgia and Florida</t>
  </si>
  <si>
    <t>Gibellini Vanadium Project</t>
  </si>
  <si>
    <t>Gibellini Mines (Gibellini and Louis Hill)</t>
  </si>
  <si>
    <t>CleanTech Vanadium Mining Corp.</t>
  </si>
  <si>
    <t>Gibellini Plant</t>
  </si>
  <si>
    <t>GMR Freeport Plant</t>
  </si>
  <si>
    <t>Gold Bar Facility</t>
  </si>
  <si>
    <t>McEwen Inc.</t>
  </si>
  <si>
    <t>2021_Gold_Bar_Feasibility_Study.pdf</t>
  </si>
  <si>
    <t xml:space="preserve">McEwen Inc. </t>
  </si>
  <si>
    <t>Gold Bar Mine</t>
  </si>
  <si>
    <t>GOLD ROAD Mining Corp</t>
  </si>
  <si>
    <t>Gold Road Mine</t>
  </si>
  <si>
    <t>Bullhead City, AZ</t>
  </si>
  <si>
    <t>Gold Road Inc.</t>
  </si>
  <si>
    <t>Gold Road Plant</t>
  </si>
  <si>
    <t>https://mineraalamos.com/our-assets/gold-rock/</t>
  </si>
  <si>
    <t>Gold Rock Mine</t>
  </si>
  <si>
    <t>Minera Alamos Inc.</t>
  </si>
  <si>
    <t>https://www.sec.gov/Archives/edgar/data/1030192/000165495426002560/idr_ex961.htm</t>
  </si>
  <si>
    <t>Golden Chest Mine</t>
  </si>
  <si>
    <t>Idaho Strategic Resources, Inc.</t>
  </si>
  <si>
    <t>Major Mines &amp; Projects | Golden Sunlight Mine</t>
  </si>
  <si>
    <t>Golden Sunlight Mine</t>
  </si>
  <si>
    <t>Whitehall, MT</t>
  </si>
  <si>
    <t>Goldstrike Roaster and Autoclave</t>
  </si>
  <si>
    <t>uec20220731_10ka.htm</t>
  </si>
  <si>
    <t>Goliad</t>
  </si>
  <si>
    <t>Goliad, TX</t>
  </si>
  <si>
    <t>https://pubs.usgs.gov/periodicals/mcs2022/mcs2022-bauxite-alumina.pdf</t>
  </si>
  <si>
    <t>Gramercy Refinery</t>
  </si>
  <si>
    <t>Powder</t>
  </si>
  <si>
    <t>Grammercy, LA</t>
  </si>
  <si>
    <t>New Day Aluminum LLC</t>
  </si>
  <si>
    <t>Concord Resources Holdings Ltd.</t>
  </si>
  <si>
    <t>PowerPoint Presentation</t>
  </si>
  <si>
    <t>Granite City</t>
  </si>
  <si>
    <t>Granite City, IL</t>
  </si>
  <si>
    <t>SunCoke Energy</t>
  </si>
  <si>
    <t>Preliminary Economic Assessment NI 43-101 Technical Report</t>
  </si>
  <si>
    <t>Humboldt, NV</t>
  </si>
  <si>
    <t>i-80 Gold Corp.</t>
  </si>
  <si>
    <t>Granite Creek Plant</t>
  </si>
  <si>
    <t>https://www.graphiteoneinc.com/wp-content/uploads/2025/04/NI-43101_FS_Report_20250422_Final.pdf</t>
  </si>
  <si>
    <t>Natural</t>
  </si>
  <si>
    <t>Flake</t>
  </si>
  <si>
    <t>Seward Peninsula, AK</t>
  </si>
  <si>
    <t>Graphite One Inc.</t>
  </si>
  <si>
    <t>ABOUT US – US Magnesium LLC</t>
  </si>
  <si>
    <t>US Magnesium Corp.</t>
  </si>
  <si>
    <t>Great Salt Lake Mine</t>
  </si>
  <si>
    <t>Brine</t>
  </si>
  <si>
    <t>Grantsville, UT</t>
  </si>
  <si>
    <t>Green Bay Plant</t>
  </si>
  <si>
    <t>Green Bay, WI</t>
  </si>
  <si>
    <t>https://www.alabamapigments.com/</t>
  </si>
  <si>
    <t>Green Pond Plant</t>
  </si>
  <si>
    <t>Green Pond, AL</t>
  </si>
  <si>
    <t>Alabama Pigments Co., LLC</t>
  </si>
  <si>
    <t>https://ir.hecla.com/Investors/annual-reports-filings/sec-filings-details/default.aspx?FilingId=19156252</t>
  </si>
  <si>
    <t>Greens Creek Mine</t>
  </si>
  <si>
    <t>Juneau, AK</t>
  </si>
  <si>
    <t>Greystone</t>
  </si>
  <si>
    <t>Gunnison Copper - Gunnison Copper Announces First Copper Sales from Johnson Camp Mine</t>
  </si>
  <si>
    <t>Gunnison Plant</t>
  </si>
  <si>
    <t>Benson, AZ</t>
  </si>
  <si>
    <t>Gunnison Copper Corp.</t>
  </si>
  <si>
    <t>Haile Mine</t>
  </si>
  <si>
    <t>Lancaster, SC</t>
  </si>
  <si>
    <t>OceanaGold Corp.</t>
  </si>
  <si>
    <t>Haile Recovery Plant</t>
  </si>
  <si>
    <t>Hamilton, MS</t>
  </si>
  <si>
    <t>Tronox Holding plc.</t>
  </si>
  <si>
    <t>Harley Dome Plant</t>
  </si>
  <si>
    <t>Grant, UT</t>
  </si>
  <si>
    <t>https://www.westvaultmining.com/_resources/reports/Technical-Report-Hasbrouck-Project.pdf?v=021410</t>
  </si>
  <si>
    <t>Hasbrouck Mine</t>
  </si>
  <si>
    <t>Tonopah, NV</t>
  </si>
  <si>
    <t>West Vault Mining Inc.</t>
  </si>
  <si>
    <t>Hasbrouck Plant</t>
  </si>
  <si>
    <t>Hastie Mine</t>
  </si>
  <si>
    <t>Cave-In-Rock, IL</t>
  </si>
  <si>
    <t>Hastie Mining and Trucking</t>
  </si>
  <si>
    <t>Haverhill 1 &amp; 2</t>
  </si>
  <si>
    <t>Franklin Furnace, OH</t>
  </si>
  <si>
    <t>Hawaii Refinery</t>
  </si>
  <si>
    <t>Oahu, HI</t>
  </si>
  <si>
    <t>Hawaii</t>
  </si>
  <si>
    <t>Island Energy Services LLC</t>
  </si>
  <si>
    <t>Molten</t>
  </si>
  <si>
    <t>Century Aluminum Company</t>
  </si>
  <si>
    <t>Hayden Smelter</t>
  </si>
  <si>
    <t>Hayden, AZ</t>
  </si>
  <si>
    <t>Reference News Release: U.S. EPA Requires ASARCO to Cut Toxic Emissions at 103-Year-Old Arizona Copper Smelter | Enforcement | US EPA</t>
  </si>
  <si>
    <t>0001421461-21-000011</t>
  </si>
  <si>
    <t>HB Mine</t>
  </si>
  <si>
    <t>HBI Plant</t>
  </si>
  <si>
    <t>Toledo, OH</t>
  </si>
  <si>
    <t>CTR geothermal lithium project recognized by US federal permitting program</t>
  </si>
  <si>
    <t>Hells Kitchen Critical Minerals and Power Project</t>
  </si>
  <si>
    <t>Controlled Thermal Resources LLC</t>
  </si>
  <si>
    <t>Controlled Thermal Resources Holdings Inc.</t>
  </si>
  <si>
    <t>Hemlock  Plant</t>
  </si>
  <si>
    <t>Hemlock, MI</t>
  </si>
  <si>
    <t>Hemlock Semiconductor Operations</t>
  </si>
  <si>
    <t>Corning Inc.</t>
  </si>
  <si>
    <t>Shin-Etsu Handotai</t>
  </si>
  <si>
    <t>Henderson, NV</t>
  </si>
  <si>
    <t>Precision Castparts Corp.</t>
  </si>
  <si>
    <t>Berkshire Hathaway</t>
  </si>
  <si>
    <t>Sponge</t>
  </si>
  <si>
    <t>Henderson Mine</t>
  </si>
  <si>
    <t>Henderson, CO</t>
  </si>
  <si>
    <t>https://investors.fcx.com/investors/news-releases/news-release-details/2023/Freeport-McMoRan-Reports-Fourth-Quarter-And-Year-Ended-2022-Results/default.aspx</t>
  </si>
  <si>
    <t>DOE: Under Secretary for Energy eXCHANGE: Teaming Partners</t>
  </si>
  <si>
    <t>Henderson Plant</t>
  </si>
  <si>
    <t>Dioxide, Oxide, Sulphate</t>
  </si>
  <si>
    <t>Borman Specialty Materials</t>
  </si>
  <si>
    <t>EMD Acquisition, LLC</t>
  </si>
  <si>
    <t>Elemental Boron - Borman</t>
  </si>
  <si>
    <t>Amorphous</t>
  </si>
  <si>
    <t>https://www.south32.net/docs/default-source/exchange-releases/hermosa-project-update-0x6e16b082af2a4715.pdf?sfvrsn=9a4bb0cc_0</t>
  </si>
  <si>
    <t>Hermosa HPMSM Plant</t>
  </si>
  <si>
    <t>Pategonia, AZ</t>
  </si>
  <si>
    <t>South32</t>
  </si>
  <si>
    <t>Hermosa Mine</t>
  </si>
  <si>
    <t>hermosa-project-update-0x428e857ed5e3eb3f.pdf</t>
  </si>
  <si>
    <t>Patagonia, AZ</t>
  </si>
  <si>
    <t>Hibbing Taconite</t>
  </si>
  <si>
    <t>Hibbing, MN</t>
  </si>
  <si>
    <t>Hibbing Taconite Company</t>
  </si>
  <si>
    <t xml:space="preserve"> United States Steel Corporation (Venturer) 14.7%</t>
  </si>
  <si>
    <t>Hibbing Taconite I Pellet Plant</t>
  </si>
  <si>
    <t>Pellets</t>
  </si>
  <si>
    <t>TOKAI CARBON CO., LTD. ANNUAL REPORT 2018</t>
  </si>
  <si>
    <t>Hickman</t>
  </si>
  <si>
    <t>Electrode</t>
  </si>
  <si>
    <t>Hickman, KY</t>
  </si>
  <si>
    <t>Tokai Carbon US Holdings Inc</t>
  </si>
  <si>
    <t>Tokai Carbon Co.</t>
  </si>
  <si>
    <t>Hiwassee Plant</t>
  </si>
  <si>
    <t>Hiwassee, VA</t>
  </si>
  <si>
    <t>Production begins at US uranium project - World Nuclear News</t>
  </si>
  <si>
    <t>Hobson Processing Facility</t>
  </si>
  <si>
    <t>Hobson, TX</t>
  </si>
  <si>
    <t>Hodgeman Plant</t>
  </si>
  <si>
    <t>Hodgeman, KS</t>
  </si>
  <si>
    <t>Hollister Mine</t>
  </si>
  <si>
    <t>Superior-Graphite-Press-Release_06-2023.pdf</t>
  </si>
  <si>
    <t>Hopkinsville Plant</t>
  </si>
  <si>
    <t>https://www.hoskinsent.com/solutions</t>
  </si>
  <si>
    <t>Hoskins Gypsum Quarry</t>
  </si>
  <si>
    <t>Hitchcock, OK</t>
  </si>
  <si>
    <t>Hoskins Gypsum Company LLC</t>
  </si>
  <si>
    <t>U.S. Vanadium Acquires Sole High-Purity Vanadium Producer in U.S. - U.S. VANADIUM</t>
  </si>
  <si>
    <t>Hot Springs Plant</t>
  </si>
  <si>
    <t>Oxide, electrolyte</t>
  </si>
  <si>
    <t>U.S. Vanadium LLC</t>
  </si>
  <si>
    <t>Harris, TX</t>
  </si>
  <si>
    <t>Houston, PA</t>
  </si>
  <si>
    <t>Perryman Co.</t>
  </si>
  <si>
    <t>Restart Demonstration Plant — REEcycle</t>
  </si>
  <si>
    <t>Houston Facility</t>
  </si>
  <si>
    <t>Houston, TX</t>
  </si>
  <si>
    <t>REEcycle Holdings Inc.</t>
  </si>
  <si>
    <t>P2 Search | US EPA</t>
  </si>
  <si>
    <t>Houston Plant</t>
  </si>
  <si>
    <t>Aterian Becomes the King of Zinc with Combination of U.S. Zinc with EverZinc</t>
  </si>
  <si>
    <t>Oxide, Powder</t>
  </si>
  <si>
    <t>Aterian Investment Partners LLC</t>
  </si>
  <si>
    <t>Rhodia - Houston</t>
  </si>
  <si>
    <t>https://investors.kennametal.com/static-files/8b63e9e3-30b0-41cc-b423-a0fb246edeee</t>
  </si>
  <si>
    <t>Huntsville Facility</t>
  </si>
  <si>
    <t>Metal Powder, Carbide Powder</t>
  </si>
  <si>
    <t>Huntsville, AL</t>
  </si>
  <si>
    <t>Technical Report, https://minerals.nv.gov/uploadedFiles/mineralsnvgov/content/Programs/Mining/2022%20Metallic%20Production%20by%20mine.pdf</t>
  </si>
  <si>
    <t>Hycroft Mine</t>
  </si>
  <si>
    <t>Humbolt and Pershing, NV</t>
  </si>
  <si>
    <t>Hycroft Mining Holding Corp.</t>
  </si>
  <si>
    <t>Humboldt and Pershing, NV</t>
  </si>
  <si>
    <t>Hycroft Plant</t>
  </si>
  <si>
    <t>IACX Otis Plant</t>
  </si>
  <si>
    <t>Rush, KS</t>
  </si>
  <si>
    <t>776611.pdf</t>
  </si>
  <si>
    <t>Idaho (Friday, Buffalo Gulch, Deadwood, Kimberly and Rescue Mines)</t>
  </si>
  <si>
    <t>kg</t>
  </si>
  <si>
    <t>Elk City, ID</t>
  </si>
  <si>
    <t>https://www.thenewswire.com/press-releases/1BjjFG0Km-jervois-releases-bfs-for-idaho-cobalt-operations.html</t>
  </si>
  <si>
    <t>Salmon, ID</t>
  </si>
  <si>
    <t>Jervois Global Ltd.</t>
  </si>
  <si>
    <t>Idaho Cobalt Operation</t>
  </si>
  <si>
    <t>https://americantungstencorp.com/project/ima-mine-project/</t>
  </si>
  <si>
    <t>IMA Mine</t>
  </si>
  <si>
    <t>American Tungsten Ltd.</t>
  </si>
  <si>
    <t>https://miningrecord.com/santa-fe-gold-acquires-fully-permitted-billali-jim-crow-and-imperial-mines/</t>
  </si>
  <si>
    <t>Imperial Mine</t>
  </si>
  <si>
    <t>Santa Fe Gold Corp.</t>
  </si>
  <si>
    <t>MP Materials starts producing neodymium magnets in the US - IEEE Spectrum</t>
  </si>
  <si>
    <t>Independence Facility</t>
  </si>
  <si>
    <t>Fort Worth, TX</t>
  </si>
  <si>
    <t>MP Materials Corp.</t>
  </si>
  <si>
    <t>NdFeB magnet</t>
  </si>
  <si>
    <t>https://www.lime.org/find-a-lime-plant/?categories=75&amp;pagenum=</t>
  </si>
  <si>
    <t>Indian Creek</t>
  </si>
  <si>
    <t>Indiana Harbor</t>
  </si>
  <si>
    <t>East Chicago, IN</t>
  </si>
  <si>
    <t>Ecobat Resources Indiana, Indianapolis - Ecobat</t>
  </si>
  <si>
    <t>Indianapolis Refinery</t>
  </si>
  <si>
    <t>Indianapolis, IN</t>
  </si>
  <si>
    <t>Indianapolis Smelter</t>
  </si>
  <si>
    <t>Alcoa Corp.</t>
  </si>
  <si>
    <t>Ione HMC Project - US Mine Corporation</t>
  </si>
  <si>
    <t>Ione Mine</t>
  </si>
  <si>
    <t>Ione, CA</t>
  </si>
  <si>
    <t>U.S. Mine Corporation</t>
  </si>
  <si>
    <t>Uranium Energy Corporation: Wyoming</t>
  </si>
  <si>
    <t>Irigaray Central Processing Plant</t>
  </si>
  <si>
    <t>Kaycee, WY</t>
  </si>
  <si>
    <t>https://www.electrabmc.com/_resources/reports/Iron-Creek-Tech-Report-2023-Final.pdf</t>
  </si>
  <si>
    <t>Iron Creek</t>
  </si>
  <si>
    <t>Electra Battery Materials Corp.</t>
  </si>
  <si>
    <t>Product - Mesabi Metallics</t>
  </si>
  <si>
    <t>Iron Range Mine</t>
  </si>
  <si>
    <t>Nashwauk, MN</t>
  </si>
  <si>
    <t>Essar Group</t>
  </si>
  <si>
    <t>Iron Range Pellet Plant</t>
  </si>
  <si>
    <t>Fortitude Gold: News Releases</t>
  </si>
  <si>
    <t>Isabella Pearl Mine</t>
  </si>
  <si>
    <t>Fortitude Gold Corp.</t>
  </si>
  <si>
    <t>Isabella Pearl Plant</t>
  </si>
  <si>
    <t>Jackpot (Green Mountain) Mine</t>
  </si>
  <si>
    <t>Jayhawk Plant</t>
  </si>
  <si>
    <t>Crude helium</t>
  </si>
  <si>
    <t>Grant, KS</t>
  </si>
  <si>
    <t>Scout Energy</t>
  </si>
  <si>
    <t>Jerritt Canyon Mine</t>
  </si>
  <si>
    <t xml:space="preserve">First Majestic Silver Corp. </t>
  </si>
  <si>
    <t>Jerritt Canyon Plant</t>
  </si>
  <si>
    <t>Jewell Coke</t>
  </si>
  <si>
    <t>Vansant, VA</t>
  </si>
  <si>
    <t>https://arlweb.msha.gov/FATALS/1999/FTL99M16.HTM</t>
  </si>
  <si>
    <t>Jumbo-Jensen Mine</t>
  </si>
  <si>
    <t>Sigurd, UT</t>
  </si>
  <si>
    <t>https://facilityexplorer.iowadnr.gov/FacilityExplorer/SiteDetail.aspx?facID=310401884</t>
  </si>
  <si>
    <t>Kaufman Quarry</t>
  </si>
  <si>
    <t xml:space="preserve">National Gypsum Co. </t>
  </si>
  <si>
    <t>Keetac</t>
  </si>
  <si>
    <t>Keewatin, MN</t>
  </si>
  <si>
    <t>Nippon Steel Corp.</t>
  </si>
  <si>
    <t>Westwater Resources, Inc., Operations - Kellyton Graphite Plant</t>
  </si>
  <si>
    <t>Kellyton Plant</t>
  </si>
  <si>
    <t>Kellyton, AL</t>
  </si>
  <si>
    <t>https://ndep.nv.gov/uploads/documents/20241009TM_0096107_Factsheet_Midas_1.pdf</t>
  </si>
  <si>
    <t>Ken Snyder Mine</t>
  </si>
  <si>
    <t>Klondex Midas Operations, Inc.</t>
  </si>
  <si>
    <t>Hecla Mining Co.</t>
  </si>
  <si>
    <t>Ammonium Perrhenat</t>
  </si>
  <si>
    <t>https://chptap.ornl.gov/profile/114/Kennecott_Utah_Copper_Smelter-Project_Profile.pdf</t>
  </si>
  <si>
    <t>Kennecott Utah Copper - Salt Lake City</t>
  </si>
  <si>
    <t>https://www.coeur.com/operations-projects/kensington-ak/default.aspx</t>
  </si>
  <si>
    <t>Kensington Mine</t>
  </si>
  <si>
    <t>Coeur Mining Inc.</t>
  </si>
  <si>
    <t>Coeur Mining, Inc.</t>
  </si>
  <si>
    <t>CleanTech Vanadium Mining Corp.- Emerging Critical Minerals Producer in the USA</t>
  </si>
  <si>
    <t>Kentucky-Illinois Project</t>
  </si>
  <si>
    <t>Crittenden and Livingston, KY</t>
  </si>
  <si>
    <t>CleanTech Vanadium Mining Crop.</t>
  </si>
  <si>
    <t>Keyes Plant</t>
  </si>
  <si>
    <t>Cimarron, OK</t>
  </si>
  <si>
    <t>Midstream Energy Services Company</t>
  </si>
  <si>
    <t>https://www.sec.gov/Archives/edgar/data/1168081/000121390023001137/ea171312-8k_deserthawk.htm</t>
  </si>
  <si>
    <t>Kiewit Mine</t>
  </si>
  <si>
    <t>Gold Hill, UT</t>
  </si>
  <si>
    <t xml:space="preserve">Desert Hawk Gold Corp. </t>
  </si>
  <si>
    <t>Unclear if still operating.</t>
  </si>
  <si>
    <t>https://www.titanminingcorp.com/news/news-releases/titan-launches-processing-facility-for-us-natural-flake-graphite-production-in-new-york</t>
  </si>
  <si>
    <t>Kilbourne Facility</t>
  </si>
  <si>
    <t>Fowler, NY</t>
  </si>
  <si>
    <t>https://www.energy.virginia.gov/public/documents/newsroom/2023/Press_Release_Lhoist_Fatality_Investigation_Completed20230620.pdf</t>
  </si>
  <si>
    <t>Kimballton Plant #1</t>
  </si>
  <si>
    <t>Kimballton, VA</t>
  </si>
  <si>
    <t>Lhoist North America</t>
  </si>
  <si>
    <t>https://www.energy.gov/sites/default/files/2025-01/draft-ea-2265-albemarle-25-01_0.pdf</t>
  </si>
  <si>
    <t>Kings Mountain Mine</t>
  </si>
  <si>
    <t>Kings Mountain, NC</t>
  </si>
  <si>
    <t>Albemarle Corp.</t>
  </si>
  <si>
    <t>Kings Mountain Plant</t>
  </si>
  <si>
    <t>enCore_AR2023_FINAL.pdf</t>
  </si>
  <si>
    <t>Kingsville Dome Mine</t>
  </si>
  <si>
    <t>Kingsville, TX</t>
  </si>
  <si>
    <t>Kingsville Dome Processing Facility</t>
  </si>
  <si>
    <t>Klondike II Mine</t>
  </si>
  <si>
    <t>Burna, KY</t>
  </si>
  <si>
    <t>La Sal Complex (Energy Queen, Redd Block, Beaver, La Sal, and Pandora mines)</t>
  </si>
  <si>
    <t>La Sal, UT</t>
  </si>
  <si>
    <t>LaBarge Plant</t>
  </si>
  <si>
    <t>Sweetwater, WY</t>
  </si>
  <si>
    <t>Ladder Creek Plant</t>
  </si>
  <si>
    <t>Cheyenne, CO</t>
  </si>
  <si>
    <t>Tumbleweed Midstream, LLC</t>
  </si>
  <si>
    <t>Lake Charles</t>
  </si>
  <si>
    <t>Calcasieu, LA</t>
  </si>
  <si>
    <t>USGC calcined petcoke producers close plants as Hurricane Laura approaches</t>
  </si>
  <si>
    <t>Lake Charles Manufacturing Complex</t>
  </si>
  <si>
    <t>Lake Charles, LA</t>
  </si>
  <si>
    <t>Philips 66</t>
  </si>
  <si>
    <t>Lake Charles Plant</t>
  </si>
  <si>
    <t>Kronos Worldwide</t>
  </si>
  <si>
    <t>ConocoPhillips - Westlake</t>
  </si>
  <si>
    <t>Lake Charles Refinery</t>
  </si>
  <si>
    <t>Westlake, Louisiana</t>
  </si>
  <si>
    <t>ConocoPhillips Co.</t>
  </si>
  <si>
    <t>Cirba Solutions Expands Ohio Lithium-Ion Processing Facility | Cirba Solutions</t>
  </si>
  <si>
    <t>Lancaster Facility</t>
  </si>
  <si>
    <t>Lancaster, OH</t>
  </si>
  <si>
    <t>https://www.cheneylime.com/</t>
  </si>
  <si>
    <t>Landmark Plant</t>
  </si>
  <si>
    <t>Alabaster, AL</t>
  </si>
  <si>
    <t>Cheney Lime and Cement Co.</t>
  </si>
  <si>
    <t>Rhenium 2019</t>
  </si>
  <si>
    <t>Langeloth Refinery</t>
  </si>
  <si>
    <t>Ammonium Perrhenat, Pellets</t>
  </si>
  <si>
    <t>Langeloth, PA</t>
  </si>
  <si>
    <t>Centerra Gold Inc.</t>
  </si>
  <si>
    <t>Alloy, Oxide, Sulfide</t>
  </si>
  <si>
    <t>Larose</t>
  </si>
  <si>
    <t>Lafourche, LA</t>
  </si>
  <si>
    <t>Las Vegas Plant</t>
  </si>
  <si>
    <t>https://www.linkedin.com/company/gypsum-resources</t>
  </si>
  <si>
    <t>Las Vegas Quarry</t>
  </si>
  <si>
    <t>Gypsum Resources LLC</t>
  </si>
  <si>
    <t>Environmental Solutions - Water, Air &amp; Soil Treatment | Carus</t>
  </si>
  <si>
    <t>Lasalle Facility</t>
  </si>
  <si>
    <t>Permanganate</t>
  </si>
  <si>
    <t>Lasalle, IL</t>
  </si>
  <si>
    <t>Carus LLC.</t>
  </si>
  <si>
    <t>Condy Holdings LLC</t>
  </si>
  <si>
    <t>Lawrence Plant</t>
  </si>
  <si>
    <t>Lawrence, KS</t>
  </si>
  <si>
    <t>Trecora acquires Chemtrade’s lubricant additives business Chemical Week • November 20/27</t>
  </si>
  <si>
    <t>Sulfide</t>
  </si>
  <si>
    <t>Trecora Specialties Chemical LLC</t>
  </si>
  <si>
    <t>Trecora LLC</t>
  </si>
  <si>
    <t>Leer Coal Mine - Global Energy Monitor</t>
  </si>
  <si>
    <t>Leer Mine</t>
  </si>
  <si>
    <t>Philippi, WV</t>
  </si>
  <si>
    <t>ICG Tygart Valley LLC.</t>
  </si>
  <si>
    <t>Core Natural Resources</t>
  </si>
  <si>
    <t>Leer South Coal Mine - Global Energy Monitor</t>
  </si>
  <si>
    <t>Leer South Mine</t>
  </si>
  <si>
    <t>Wolf Run Mining LLC.</t>
  </si>
  <si>
    <t>Felman Production | Felman Production</t>
  </si>
  <si>
    <t>Letart Plant</t>
  </si>
  <si>
    <t>Silicomanganese</t>
  </si>
  <si>
    <t>Letart, WV</t>
  </si>
  <si>
    <t>Felman Production, LLC</t>
  </si>
  <si>
    <t>Ferrosilicomanganese</t>
  </si>
  <si>
    <t>Ferromanganese</t>
  </si>
  <si>
    <t>Lewes Facility</t>
  </si>
  <si>
    <t>Hydroxide</t>
  </si>
  <si>
    <t>Lewes, DE</t>
  </si>
  <si>
    <t>SPI Pharma, Inc</t>
  </si>
  <si>
    <t>Associated British Foods</t>
  </si>
  <si>
    <t>Lewiston Facility</t>
  </si>
  <si>
    <t>Tungsten Metal</t>
  </si>
  <si>
    <t>Lewiston, ME</t>
  </si>
  <si>
    <t>Maine</t>
  </si>
  <si>
    <t>Elmet Technologies Inc.</t>
  </si>
  <si>
    <t>The Elmet Group</t>
  </si>
  <si>
    <t>Liberal Plant</t>
  </si>
  <si>
    <t>Seward, KS</t>
  </si>
  <si>
    <t>Du Pont - Bayway</t>
  </si>
  <si>
    <t>Linden Plant</t>
  </si>
  <si>
    <t>Linden, NJ</t>
  </si>
  <si>
    <t>New Jersey</t>
  </si>
  <si>
    <t>Lisbon Plant</t>
  </si>
  <si>
    <t>San Juan, UT</t>
  </si>
  <si>
    <t>GNG Parners LLC</t>
  </si>
  <si>
    <t>Allied Copper Signs Option Agreement To Acquire 100% of Stateline Property, CO/UT USA - Junior Mining Network</t>
  </si>
  <si>
    <t>Lisbon Valley Mining Co.</t>
  </si>
  <si>
    <t>Mariana Minerals</t>
  </si>
  <si>
    <t>Operations move ahead at gypsum mine</t>
  </si>
  <si>
    <t>Little Valley Mine</t>
  </si>
  <si>
    <t>Little Valley, UT</t>
  </si>
  <si>
    <t>Logansport Facility</t>
  </si>
  <si>
    <t>Iron oxide</t>
  </si>
  <si>
    <t>Waelz Iron Product</t>
  </si>
  <si>
    <t>Logansport, IN</t>
  </si>
  <si>
    <t>Waelz Sustainable Products</t>
  </si>
  <si>
    <t>Heritage Environmental Services</t>
  </si>
  <si>
    <t>Zinc Nacional SA</t>
  </si>
  <si>
    <t>i-80 Gold Lone Tree Autoclave Refurbishment Project</t>
  </si>
  <si>
    <t>Lone Tree Complex</t>
  </si>
  <si>
    <t>Long Canyon Heap Leach Plant</t>
  </si>
  <si>
    <t>Wells, NV</t>
  </si>
  <si>
    <t>Long Canyon Mine</t>
  </si>
  <si>
    <t>Golconda Gold: News</t>
  </si>
  <si>
    <t>Lordsburg Plant</t>
  </si>
  <si>
    <t>Lordsburg, NM</t>
  </si>
  <si>
    <t xml:space="preserve">Waterton Global Resource Management, Inc. </t>
  </si>
  <si>
    <t>Los Angeles Plant</t>
  </si>
  <si>
    <t>Los Angeles, CA</t>
  </si>
  <si>
    <t>ConocoPhillips - Wilmington</t>
  </si>
  <si>
    <t>Los Angeles Refinery</t>
  </si>
  <si>
    <t>Wilmington, CA</t>
  </si>
  <si>
    <t>https://www.ur-energy.com/news-media/press-releases/detail/343/ur-energy-releases-2022-year-end-results, https://www.ur-energy.com/news-media/press-releases/detail/343/ur-energy-releases-2022-year-end-results, U.S. Nuclear Regulatory Commission, 2009, Environmental impact statement for the Lost Creek ISR Project in Sweetwater County, Wyoming--Supplement to the generic environmental impact statement for in-situ leach uranium milling facilities:  U.S. Nuclear Regulatory Commission NUREG-1910, Supplement 3, 350 p.  available at http://www.nrc.gov/reading-rm/doc-collections/nuregs/staff/sr1910/s3/http://www.ur-energy.com/lost-creek/Kyle, J.I., and Maxwell, D.K., 2008, NI-43-101 preliminary assessment for the Lost Creek Project, Sweetwater County, Wyoming:  Prepared for Ur-Energy by Lyntek Inc., April 2, 2008.  [Filed with www.Sedar.com April 7, 2008.]  http://www.sedar.com/GetFile.do?lang=EN&amp;docClass=24&amp;issuerNo=00021840&amp;fileName=/csfsprod/data88/filings/01245570/00000001/C%3A%5CMyFiles%5CUr-Energy%5CFinal-Report.pdfWallis, C.S., 2006, Technical report on the Lost Creek Project, Wyoming:  Prepared for Ur-Energy by Roscoe Postle Associates Inc., June 15, 2006.  [Filed with www.Sedar.com July 14, 2006.]Gregory, R.W., Jones, R.W., Cottingham, K.D., 2010, Uranium map of Wyoming:  Wyoming State Geological Survey Map Series 94, scale 1:500,000.U.S. Nuclear Regulatory Commission, 2012, Lost Creek Site:  available at http://www.nrc.gov/info-finder/materials/uranium/licensed-facilities/lost-creek.html</t>
  </si>
  <si>
    <t>Lost Creek Mine</t>
  </si>
  <si>
    <t>Bairoil, WY</t>
  </si>
  <si>
    <t>Ur-Energy Inc.</t>
  </si>
  <si>
    <t>Lost Creek Plant</t>
  </si>
  <si>
    <t>https://hollowayag.com/holloways-90th-anniversary-this-next-year-is-going-to-be-big/</t>
  </si>
  <si>
    <t>Lost Hills Mine</t>
  </si>
  <si>
    <t>Lost Hills, CA</t>
  </si>
  <si>
    <t>H Lima Company Inc.</t>
  </si>
  <si>
    <t>H. M. Holloway, Inc.</t>
  </si>
  <si>
    <t>8e8cf1_0ad1ebad342b41c58b381101d2ddd6f1.pdf</t>
  </si>
  <si>
    <t>Lost Sheep Mine</t>
  </si>
  <si>
    <t>Fluorite</t>
  </si>
  <si>
    <t>Ares Strategic Mining Inc.</t>
  </si>
  <si>
    <t>Element 25 (HPMSM) | CSRS</t>
  </si>
  <si>
    <t>Louisiana HP MSM Project</t>
  </si>
  <si>
    <t>Ascension Parish, LA</t>
  </si>
  <si>
    <t>Element 25</t>
  </si>
  <si>
    <t>https://www.gp.com/about-us/locations/wyoming#location</t>
  </si>
  <si>
    <t>Lovell Plant</t>
  </si>
  <si>
    <t>Lovell, WY</t>
  </si>
  <si>
    <t>https://ir.hecla.com/News--Media/news-releases/news-details/2026/Hecla-Reports-Fourth-Quarter-and-Full-Year-2025-Results/default.aspx</t>
  </si>
  <si>
    <t>Lucky Friday Mine</t>
  </si>
  <si>
    <t>Shoshone, ID</t>
  </si>
  <si>
    <t>secondary-lead-smelting-as-an-integral-part-of-battery-manufacturing.pdf</t>
  </si>
  <si>
    <t>Lyon Station Refinery</t>
  </si>
  <si>
    <t>Lyon Station, PA</t>
  </si>
  <si>
    <t>East Penn Manufacturing Co., Inc.</t>
  </si>
  <si>
    <t>Lyon Station Smelter</t>
  </si>
  <si>
    <t>cobalt 2023</t>
  </si>
  <si>
    <t>Madison Mine</t>
  </si>
  <si>
    <t>Tailings</t>
  </si>
  <si>
    <t>Fredericktown, MO</t>
  </si>
  <si>
    <t>U.S. Strategic Metals, LLC</t>
  </si>
  <si>
    <t>Magnolia South Mine</t>
  </si>
  <si>
    <t>Bromine</t>
  </si>
  <si>
    <t>Document</t>
  </si>
  <si>
    <t>Magnolia South Plant</t>
  </si>
  <si>
    <t>Magnolia West Plant</t>
  </si>
  <si>
    <t>https://contangoore.com/wp-content/uploads/2026/04/689ce512a9bc53d2ded48ffe_Technical-Report.pdf</t>
  </si>
  <si>
    <t>Manh Choh Mine</t>
  </si>
  <si>
    <t>Tok, AK</t>
  </si>
  <si>
    <t xml:space="preserve"> Contango Ore, Inc.</t>
  </si>
  <si>
    <t>Manistee Facility</t>
  </si>
  <si>
    <t>Magnesia, Hydroxide</t>
  </si>
  <si>
    <t>Manistee, MI</t>
  </si>
  <si>
    <t>https://www.lime.org/find-a-lime-plant/?categories=&amp;pagenum=</t>
  </si>
  <si>
    <t>Maple Grove Plant</t>
  </si>
  <si>
    <t>Bettsville, OH</t>
  </si>
  <si>
    <t>Marietta</t>
  </si>
  <si>
    <t>Washington, OH</t>
  </si>
  <si>
    <t>Marietta Ferroalloy Plant</t>
  </si>
  <si>
    <t>Marietta, OH</t>
  </si>
  <si>
    <t>Eramet Group</t>
  </si>
  <si>
    <t>HCFeMn, Ref FeMn</t>
  </si>
  <si>
    <t>High-medium-, and low-carbon</t>
  </si>
  <si>
    <t>https://marietta.eramet.com/eramet/activities/market-and-products/</t>
  </si>
  <si>
    <t>Marietta Plant</t>
  </si>
  <si>
    <t>Energizer Holdings, Inc</t>
  </si>
  <si>
    <t>Technical Report Summary on the Marigold Complex, Nevada, USA</t>
  </si>
  <si>
    <t>Marigold Mine</t>
  </si>
  <si>
    <t>Valmy, NV</t>
  </si>
  <si>
    <t>https://www.ssrmining.com/operations/production/marigold/</t>
  </si>
  <si>
    <t>Marigold Plant</t>
  </si>
  <si>
    <t>ReElement Technologies Provides Update on Marion Rare Earth and Critical Mineral Refinery Buildout and Production Capacity | Morningstar</t>
  </si>
  <si>
    <t>Marion Plant</t>
  </si>
  <si>
    <t>Marion, IN</t>
  </si>
  <si>
    <t>ReElement Technologies Corp.</t>
  </si>
  <si>
    <t>Rhodia - Martinez</t>
  </si>
  <si>
    <t>Martinez Plant</t>
  </si>
  <si>
    <t>Martinez, CA</t>
  </si>
  <si>
    <t>Billet, Ingot, Slab</t>
  </si>
  <si>
    <t>Massena, NY</t>
  </si>
  <si>
    <t>materion-2023-annual-report.pdf</t>
  </si>
  <si>
    <t>Materion Refinery</t>
  </si>
  <si>
    <t>Materion Corp.</t>
  </si>
  <si>
    <t>corporate-presentation.pdf</t>
  </si>
  <si>
    <t>Maverick Kinetic Separation Sit</t>
  </si>
  <si>
    <t>Green River, UT</t>
  </si>
  <si>
    <t>Western Uranium &amp; Vanadium Corp.</t>
  </si>
  <si>
    <t>Eastern Alloys Inc.</t>
  </si>
  <si>
    <t>Maybrook Facility</t>
  </si>
  <si>
    <t>Maybrook, NY</t>
  </si>
  <si>
    <t>Aqua Metals, Inc. (AQMS) » Aqua Metals Provides Corporate Update</t>
  </si>
  <si>
    <t>McCarran Refinery</t>
  </si>
  <si>
    <t>McCarran, NV</t>
  </si>
  <si>
    <t>Aqua Metals, Inc.</t>
  </si>
  <si>
    <t>McCarran Smelter</t>
  </si>
  <si>
    <t>Valero - McKee Refinery</t>
  </si>
  <si>
    <t>McKee Refinery</t>
  </si>
  <si>
    <t>Sunray, TX</t>
  </si>
  <si>
    <t>Valero Energy Corp.</t>
  </si>
  <si>
    <t>https://www.kgs.ku.edu/Publications/Bulletins/133/04_blaine.html</t>
  </si>
  <si>
    <t>Medicine Lodge Plant</t>
  </si>
  <si>
    <t>Sun City, KS</t>
  </si>
  <si>
    <t>Meikle Mine</t>
  </si>
  <si>
    <t>Tuscarora, NV</t>
  </si>
  <si>
    <t>Memphis Plant</t>
  </si>
  <si>
    <t>Memphis, TN</t>
  </si>
  <si>
    <t>https://makominingcorp.com/projects/usa/production/moss-mine/</t>
  </si>
  <si>
    <t>Mako Mining Corp.</t>
  </si>
  <si>
    <t>https://www.equinoxgold.com/our-mines/mesquite-gold-mine/</t>
  </si>
  <si>
    <t>Mesquite Mine</t>
  </si>
  <si>
    <t>Brawley, CA</t>
  </si>
  <si>
    <t>Mesquite Processing Facility</t>
  </si>
  <si>
    <t>Messer Otis Plant</t>
  </si>
  <si>
    <t>Messer, LLC</t>
  </si>
  <si>
    <t>Metallix purchased by South African precious metals firm - Recycling Today</t>
  </si>
  <si>
    <t>Metallix Refinery</t>
  </si>
  <si>
    <t>Greenville, NC</t>
  </si>
  <si>
    <t>Metallix Refining, Inc.</t>
  </si>
  <si>
    <t>Miami Mine</t>
  </si>
  <si>
    <t>NORTH AMERICA | Freeport-McMoRan</t>
  </si>
  <si>
    <t>Miami Smelter</t>
  </si>
  <si>
    <t>Freeport - Miami Smelter</t>
  </si>
  <si>
    <t>Miami, AZ</t>
  </si>
  <si>
    <t>Miami SX-EW</t>
  </si>
  <si>
    <t>The U.S. Potash Project | Michigan Potash &amp; Salt Company (MPSC)</t>
  </si>
  <si>
    <t>Michigan Potash</t>
  </si>
  <si>
    <t>Evart Township, MI</t>
  </si>
  <si>
    <t>Michigan Potash and Salt Company</t>
  </si>
  <si>
    <t>Midas Mill</t>
  </si>
  <si>
    <t>Middle Tennessee Mines (Gordonsville and Cumberland)</t>
  </si>
  <si>
    <t>Smith, TN</t>
  </si>
  <si>
    <t>Germanium 2022</t>
  </si>
  <si>
    <t>Middletown</t>
  </si>
  <si>
    <t>Middletown, OH</t>
  </si>
  <si>
    <t>Ecobat Resources New York, Middletown - Ecobat</t>
  </si>
  <si>
    <t>Middletown Refinery</t>
  </si>
  <si>
    <t>Middletown, NY</t>
  </si>
  <si>
    <t>Middletown Smelter</t>
  </si>
  <si>
    <t>Midland Basin Carbonate Facility</t>
  </si>
  <si>
    <t>Midland Basin, TX</t>
  </si>
  <si>
    <t>LibertyStream Infrastructure Partners Inc.</t>
  </si>
  <si>
    <t>EPA-HQ-OAR-2006-0940-0022_content.pdf</t>
  </si>
  <si>
    <t>Midland Ind. Chicago Facility</t>
  </si>
  <si>
    <t>Midland Industries Inc.</t>
  </si>
  <si>
    <t>Milford Mine (OK mine)</t>
  </si>
  <si>
    <t>Milford, UT</t>
  </si>
  <si>
    <t>Milford Mining Company</t>
  </si>
  <si>
    <t>Horizon Corp.</t>
  </si>
  <si>
    <t>Milford SX-EW</t>
  </si>
  <si>
    <t>Zinc Chemicals and lubricants - EverZinc</t>
  </si>
  <si>
    <t>Millington Facility</t>
  </si>
  <si>
    <t>Millington, TN</t>
  </si>
  <si>
    <t>Recycling EAF Steel Dust</t>
  </si>
  <si>
    <t>Millport Facility</t>
  </si>
  <si>
    <t>Slag</t>
  </si>
  <si>
    <t>Millport, AL</t>
  </si>
  <si>
    <t>Steel Dust Recycling, LLC</t>
  </si>
  <si>
    <t>Atlantic Strategic Minerals - Appian Capital Advisory</t>
  </si>
  <si>
    <t>Millrun Mine and Concord Concentrator</t>
  </si>
  <si>
    <t>Heavy mineral sands</t>
  </si>
  <si>
    <t>Stoney Creek, VA</t>
  </si>
  <si>
    <t>Appian Capital Advisor LLP</t>
  </si>
  <si>
    <t>Milwaukee Plant</t>
  </si>
  <si>
    <t>Milwaukee, WI</t>
  </si>
  <si>
    <t>Dynamic Color Solutions, Inc.</t>
  </si>
  <si>
    <t>https://originmine.com/mineral-park/</t>
  </si>
  <si>
    <t>Mineral Park Mine</t>
  </si>
  <si>
    <t>Kingman, AZ</t>
  </si>
  <si>
    <t>Origin Mining Co.</t>
  </si>
  <si>
    <t>Mineral Park SX-EW</t>
  </si>
  <si>
    <t>https://minedocs.com/21/Mineral_Ridge_Expansion-TR-12222020.pdf</t>
  </si>
  <si>
    <t>Mineral Ridge Heap Leach Facility</t>
  </si>
  <si>
    <t>Loaded Carbon</t>
  </si>
  <si>
    <t>Esmeralda, NV</t>
  </si>
  <si>
    <t>Scorpio Gold Co.</t>
  </si>
  <si>
    <t>Mineral Ridge Mine</t>
  </si>
  <si>
    <t>5-Aluminum_1 -LinesTestCheckCovery.indd</t>
  </si>
  <si>
    <t>Minerva Facility</t>
  </si>
  <si>
    <t>Minerva, OH</t>
  </si>
  <si>
    <t>https://www.amalgamatedsugar.com/mini-cassia-factory/</t>
  </si>
  <si>
    <t>Mini-Cassia Plant</t>
  </si>
  <si>
    <t>Paul, ID</t>
  </si>
  <si>
    <t>Amalgamated Sugar Co.</t>
  </si>
  <si>
    <t>Minntac Mine</t>
  </si>
  <si>
    <t>Mountain Iron, MN</t>
  </si>
  <si>
    <t>Minntac Pellet Plant</t>
  </si>
  <si>
    <t>Minorca Mine</t>
  </si>
  <si>
    <t>Virginia, MN</t>
  </si>
  <si>
    <t>Minorca Pellet Plant</t>
  </si>
  <si>
    <t>Moab, UT</t>
  </si>
  <si>
    <t>CC_FactSheet_Monessen_022025.pdf</t>
  </si>
  <si>
    <t>Monessen Coke Plant</t>
  </si>
  <si>
    <t>Monessen, PA</t>
  </si>
  <si>
    <t>Cleveland-Cliffs Monessen Coke</t>
  </si>
  <si>
    <t>https://www.transatlanticminingcorp.com/wp-content/uploads/2026/01/26.01-Monitor_TR_Final.pdf</t>
  </si>
  <si>
    <t>Monitor Project</t>
  </si>
  <si>
    <t>Wallace, ID</t>
  </si>
  <si>
    <t>Transatlantic Mining Corp.</t>
  </si>
  <si>
    <t>American Cordillera Mining Corp</t>
  </si>
  <si>
    <t>Northern Adventures Llc</t>
  </si>
  <si>
    <t>Monroe</t>
  </si>
  <si>
    <t>Monroe, NC</t>
  </si>
  <si>
    <t>Montana Tunnels</t>
  </si>
  <si>
    <t>Jefferson City, MT</t>
  </si>
  <si>
    <t>Montana Tunnels Mine</t>
  </si>
  <si>
    <t>Montana Goldfields, Inc.</t>
  </si>
  <si>
    <t>https://www.montanagoldfieldsinc.com/montana-tunnels/</t>
  </si>
  <si>
    <t>SHG zinc</t>
  </si>
  <si>
    <t>Mooresboro, NC</t>
  </si>
  <si>
    <t>Mooresboro Plant</t>
  </si>
  <si>
    <t>Mooresboro Smelter</t>
  </si>
  <si>
    <t>Morenci Mine</t>
  </si>
  <si>
    <t>Greenlee, AZ</t>
  </si>
  <si>
    <t xml:space="preserve"> Sumitomo Metal Mining Co., Ltd.</t>
  </si>
  <si>
    <t>Morenci SX-EW</t>
  </si>
  <si>
    <t>Morgan City</t>
  </si>
  <si>
    <t>Baker Hughes Inc.</t>
  </si>
  <si>
    <t>SGL Carbon: Supplying graphite to customers around the globe | Business | The Paper</t>
  </si>
  <si>
    <t>Morganton</t>
  </si>
  <si>
    <t>Morganton, NC</t>
  </si>
  <si>
    <t>SGL Carbon GmbH</t>
  </si>
  <si>
    <t>Morgantown</t>
  </si>
  <si>
    <t>Morgantown, PA</t>
  </si>
  <si>
    <t>About REC Silicon | REC Silicon</t>
  </si>
  <si>
    <t>Moses Lake Plant</t>
  </si>
  <si>
    <t>Moses Lake, WA</t>
  </si>
  <si>
    <t>Moss Mine</t>
  </si>
  <si>
    <t>Major Mines &amp; Projects | Mountain Laurel Mine</t>
  </si>
  <si>
    <t>Mountain Laurel Mine</t>
  </si>
  <si>
    <t>Danville, WV</t>
  </si>
  <si>
    <t>Mingo Logan Coal LLC</t>
  </si>
  <si>
    <t>Mountain-Pass-TR-10012024.pdf</t>
  </si>
  <si>
    <t>Mountain Pass Mine</t>
  </si>
  <si>
    <t>Mountain Pass, CA</t>
  </si>
  <si>
    <t>Mountain Pass Processing Facility</t>
  </si>
  <si>
    <t>SEG+</t>
  </si>
  <si>
    <t>NdPr oxide</t>
  </si>
  <si>
    <t>NdPr</t>
  </si>
  <si>
    <t>Mountain Springs</t>
  </si>
  <si>
    <t>Mountain Springs, NV</t>
  </si>
  <si>
    <t>Mt Holly Smelter</t>
  </si>
  <si>
    <t>Mt. Holly, SC</t>
  </si>
  <si>
    <t>https://www.sec.gov/Archives/edgar/data/941174/000095014401004647/g68095e10-k405.txt</t>
  </si>
  <si>
    <t>Mt. Meigs Plant</t>
  </si>
  <si>
    <t>Montgomery, AL</t>
  </si>
  <si>
    <t>Mt. Vernon Plant</t>
  </si>
  <si>
    <t>Posey, IN</t>
  </si>
  <si>
    <t>Muncie Refinery</t>
  </si>
  <si>
    <t>Muncie, IN</t>
  </si>
  <si>
    <t>Muncie Smelter</t>
  </si>
  <si>
    <t>Mustang Mineral Processing Site</t>
  </si>
  <si>
    <t>Bedrock, CO</t>
  </si>
  <si>
    <t>National Plant</t>
  </si>
  <si>
    <t>DCP Midstream, LLC</t>
  </si>
  <si>
    <t>https://www.lime.org/find-a-lime-plant/?startrow=2</t>
  </si>
  <si>
    <t>Nelson Plant</t>
  </si>
  <si>
    <t>Peach Springs, AZ</t>
  </si>
  <si>
    <t>https://www.lime.org/find-a-lime-plant/?startrow=1</t>
  </si>
  <si>
    <t>Nelson Quarry</t>
  </si>
  <si>
    <t>Building the most sustainable (and scalable) battery materials process</t>
  </si>
  <si>
    <t>Nevada Campus</t>
  </si>
  <si>
    <t>Sparks, NV</t>
  </si>
  <si>
    <t>Redwood Materials</t>
  </si>
  <si>
    <t>Foil</t>
  </si>
  <si>
    <t>New Braunfels Plant</t>
  </si>
  <si>
    <t>New Braunfels, TX</t>
  </si>
  <si>
    <t>New Braunfels Quarry</t>
  </si>
  <si>
    <t>SDI La Farga to add second furnace | Latest Market News</t>
  </si>
  <si>
    <t>New Haven Refienry</t>
  </si>
  <si>
    <t>New Haven, IN</t>
  </si>
  <si>
    <t>La Farga Group S.A.</t>
  </si>
  <si>
    <t>Corporación Metalúrgica Catalana, S.L.</t>
  </si>
  <si>
    <t>New Iberia</t>
  </si>
  <si>
    <t>Iberia, LA</t>
  </si>
  <si>
    <t>New Jersey Plant</t>
  </si>
  <si>
    <t xml:space="preserve"> Hale Capital Management, L.P</t>
  </si>
  <si>
    <t>New Johnsonville, TN</t>
  </si>
  <si>
    <t>New Johnsonville Plant</t>
  </si>
  <si>
    <t>New Madrid</t>
  </si>
  <si>
    <t>New Madrid, MO</t>
  </si>
  <si>
    <t>Magnitude 7 Metals LLC</t>
  </si>
  <si>
    <t>https://investors.mosaicco.com/press-releases/news-details/2025/Mosaic-Revises-Guidance/default.aspx</t>
  </si>
  <si>
    <t>New Wales Plant</t>
  </si>
  <si>
    <t>Processed Phosphates</t>
  </si>
  <si>
    <t>Mulberry, FL</t>
  </si>
  <si>
    <t>Materion Corporation - Materion Announces $20M in Investments in Massachusetts Facility to Expand Capacity for the Semiconductor Industry</t>
  </si>
  <si>
    <t>Newton Facility</t>
  </si>
  <si>
    <t>Newton, MA</t>
  </si>
  <si>
    <t>BIS-2025-0021-0112_attachment_1.pdf</t>
  </si>
  <si>
    <t>Energy Fuels Inc.: Exhibit 99.1 - Filed by newsfilecorp.com, https://app.quotemedia.com/data/downloadFiling?webmasterId=101533&amp;ref=117322033&amp;type=PDF&amp;symbol=UUUU&amp;companyName=Energy+Fuels+Inc&amp;formType=10-K&amp;dateFiled=2023-03-08&amp;CK=1385849</t>
  </si>
  <si>
    <t>Nichols Ranch Mine</t>
  </si>
  <si>
    <t>Casper, WY</t>
  </si>
  <si>
    <t>Niles, OH</t>
  </si>
  <si>
    <t>https://www.newswire.ca/news-releases/fire-river-gold-corp-update-on-the-progress-of-the-nixon-fork-gold-mine-510247581.html</t>
  </si>
  <si>
    <t>Nixon Fork Mine</t>
  </si>
  <si>
    <t>McGrath, AK</t>
  </si>
  <si>
    <t>Waterton Global Resource Management, Inc</t>
  </si>
  <si>
    <t>Nixon Fork Plant</t>
  </si>
  <si>
    <t>Fire River resumes mining at Nixon Fork - North of 60 Mining News</t>
  </si>
  <si>
    <t>Noah Chemicals</t>
  </si>
  <si>
    <t>San Antonio, TX</t>
  </si>
  <si>
    <t>Noah Chemicals Corp.</t>
  </si>
  <si>
    <t>Metalor-USA_LBMA-Gold_Audit-report_2020_without-annex.pdf</t>
  </si>
  <si>
    <t>North Attleboro Plant</t>
  </si>
  <si>
    <t>North Attleboro, MA</t>
  </si>
  <si>
    <t>Metalor U.S.A. Refining Corp.</t>
  </si>
  <si>
    <t>Metalor Technologies International SA</t>
  </si>
  <si>
    <t>RB_5_MetalorGoldBars_22Feb:RB_5_MetalorGoldBars_22Feb</t>
  </si>
  <si>
    <t>Cameco Begins Production at North Butte - E &amp; MJ</t>
  </si>
  <si>
    <t>North Butte-Brown Ranch</t>
  </si>
  <si>
    <t>Wright, WY</t>
  </si>
  <si>
    <t>Hoover &amp; Strong</t>
  </si>
  <si>
    <t>North Chesterfield Refinery</t>
  </si>
  <si>
    <t>North Chesterfield, VA</t>
  </si>
  <si>
    <t>Hoover &amp; Strong Inc.</t>
  </si>
  <si>
    <t>North Compaction Plant</t>
  </si>
  <si>
    <t>Granules</t>
  </si>
  <si>
    <t>Electric Metals stock nearly triples on North Star manganese PEA - MINING.COM</t>
  </si>
  <si>
    <t>North Star HPMSM Plant</t>
  </si>
  <si>
    <t>Emily, MN</t>
  </si>
  <si>
    <t>Electric Metals</t>
  </si>
  <si>
    <t>North Star Mine</t>
  </si>
  <si>
    <t>FOLLOWING COMPLETION OF EXPANSION CONCEPT STUDIES HYPROMAG USA ADVANCES EXPANSION TO THREE STATES SUPPORTING A PATH TO TRIPLE U.S. RARE EARTH MAGNET CAPACITY BY 2029 - HyproMag USA</t>
  </si>
  <si>
    <t>Northlake Plant</t>
  </si>
  <si>
    <t>Northlake, TX</t>
  </si>
  <si>
    <t>HyProMag USA LLC</t>
  </si>
  <si>
    <t>HyProMag Ltd.</t>
  </si>
  <si>
    <t>CoTec</t>
  </si>
  <si>
    <t>Ni Content</t>
  </si>
  <si>
    <t>Hoyt Lakes, MN</t>
  </si>
  <si>
    <t>NewRange Copper Nickel LLC</t>
  </si>
  <si>
    <t>Teck Resources Limited</t>
  </si>
  <si>
    <t>Ni-Co Hydroxide</t>
  </si>
  <si>
    <t>NorthMet Mine</t>
  </si>
  <si>
    <t>Teck Resources Ltd.</t>
  </si>
  <si>
    <t>Pd Content</t>
  </si>
  <si>
    <t>NorthMet Plant</t>
  </si>
  <si>
    <t>Northshore Mine</t>
  </si>
  <si>
    <t>Babbitt, MN</t>
  </si>
  <si>
    <t>Northshore Pellet Plant</t>
  </si>
  <si>
    <t>IC Potash Announces the Results of a Preliminary Economic Assessment of Its Ochoa Polyhalite Project with a Capex of $368 Million, 28% IRR and an NPV of $1,197 Million</t>
  </si>
  <si>
    <t>Ochoa Mine</t>
  </si>
  <si>
    <t>Ochoa, NM</t>
  </si>
  <si>
    <t>PolyNatura Corp.</t>
  </si>
  <si>
    <t>Ochoa Plant</t>
  </si>
  <si>
    <t>Granule, Pellet</t>
  </si>
  <si>
    <t>Ochre Mine</t>
  </si>
  <si>
    <t>Ogden facility</t>
  </si>
  <si>
    <t>Ogden, UT</t>
  </si>
  <si>
    <t>Westinghouse Electric Co.</t>
  </si>
  <si>
    <t>Brookfield Corp.</t>
  </si>
  <si>
    <t>Metal, Sponge</t>
  </si>
  <si>
    <t>0001227654-22-000340</t>
  </si>
  <si>
    <t>Ogden Mine</t>
  </si>
  <si>
    <t>Compass Minerals International, Inc.</t>
  </si>
  <si>
    <t>Ogden Plant</t>
  </si>
  <si>
    <t>Sulfate of Potash</t>
  </si>
  <si>
    <t>Chloride</t>
  </si>
  <si>
    <t>Old Hickory Mine</t>
  </si>
  <si>
    <t>Marsulex - Oregon</t>
  </si>
  <si>
    <t>Oregon Plant</t>
  </si>
  <si>
    <t>Oregon, OH</t>
  </si>
  <si>
    <t>Osino</t>
  </si>
  <si>
    <t>Ozark</t>
  </si>
  <si>
    <t>Paden Plant</t>
  </si>
  <si>
    <t>Okfuskee, OK</t>
  </si>
  <si>
    <t>https://miningdataonline.com/property/1246/Palangana-Mine.aspx#:~:text=Palangana%20is%20advancing%20the%20fully,restart%20of%20uranium%20recovery%20operations</t>
  </si>
  <si>
    <t>Palangana</t>
  </si>
  <si>
    <t>Benavides, TX</t>
  </si>
  <si>
    <t>Care and maintenance</t>
  </si>
  <si>
    <t>Palmerton Facility</t>
  </si>
  <si>
    <t>Palmerton, PA</t>
  </si>
  <si>
    <t>BASF - Hannibal</t>
  </si>
  <si>
    <t>Palmyra Plant</t>
  </si>
  <si>
    <t>Palmyra, MO</t>
  </si>
  <si>
    <t>BASF Corp.</t>
  </si>
  <si>
    <t>minedocs.com/24/Pan-TR-12312022.pdf</t>
  </si>
  <si>
    <t>Pan Mine</t>
  </si>
  <si>
    <t>White Pine, NV</t>
  </si>
  <si>
    <t>https://minedocs.com/24/Pan-TR-12312022.pdf</t>
  </si>
  <si>
    <t>Pan Plant</t>
  </si>
  <si>
    <t>Paradine Mill, Inc.</t>
  </si>
  <si>
    <t>Pardine Plant</t>
  </si>
  <si>
    <t>Radersburg, MT</t>
  </si>
  <si>
    <t xml:space="preserve">Winston Gold Corp. </t>
  </si>
  <si>
    <t>https://www.carmeuse.com/eu-en/products-map</t>
  </si>
  <si>
    <t>Pelican Plant</t>
  </si>
  <si>
    <t>Pend Oreille</t>
  </si>
  <si>
    <t>Metaline Falls, WA</t>
  </si>
  <si>
    <t>Phoenix Mines (Phoenix and Iron Canyon)</t>
  </si>
  <si>
    <t>Battle Mountain, NV</t>
  </si>
  <si>
    <t>Phoenix Recovery Facilities</t>
  </si>
  <si>
    <t>Phoenix SX-EW</t>
  </si>
  <si>
    <t>https://www.graymont.com/locations/#location_id=3161&amp;map=40.768000%2C-114.116000%2C8z</t>
  </si>
  <si>
    <t>Pilot Peak Plant</t>
  </si>
  <si>
    <t>West Wendover, NV</t>
  </si>
  <si>
    <t>Pinson Mine</t>
  </si>
  <si>
    <t>Winnemucca, NV</t>
  </si>
  <si>
    <t>Pinson Recovery Plant</t>
  </si>
  <si>
    <t>https://minedocs.com/21/PintoValley_TR_06112021.pdf</t>
  </si>
  <si>
    <t>Pinto Valley Mine</t>
  </si>
  <si>
    <t>Capstone Copper Corp.</t>
  </si>
  <si>
    <t>Pinto Valley SX-EW</t>
  </si>
  <si>
    <t>Energy Fuels - Pinyon Plain Uranium Mine</t>
  </si>
  <si>
    <t>Pinyon Plain Mine</t>
  </si>
  <si>
    <t>Tusayan, AZ</t>
  </si>
  <si>
    <t>Pioneer Mine</t>
  </si>
  <si>
    <t>Martin Midstream - Plainview</t>
  </si>
  <si>
    <t>Plainview Plant</t>
  </si>
  <si>
    <t>Plainview, TX</t>
  </si>
  <si>
    <t>Martin Resource Management Corp.</t>
  </si>
  <si>
    <t>Plant 4 Concentrator</t>
  </si>
  <si>
    <t>Grand Rapids, MN</t>
  </si>
  <si>
    <t>MagIron LLC</t>
  </si>
  <si>
    <t xml:space="preserve"> CoTec Holdings Corp.</t>
  </si>
  <si>
    <t>https://www.michigansugar.com/products/co-products/sugarbeet-lime/</t>
  </si>
  <si>
    <t>Plant at Bay City</t>
  </si>
  <si>
    <t>Bay City, MI</t>
  </si>
  <si>
    <t>Michigan Sugar Co.</t>
  </si>
  <si>
    <t>https://landresources.montana.edu/fertilizerfacts/html/FF80.html</t>
  </si>
  <si>
    <t>Plant at Billings</t>
  </si>
  <si>
    <t>Billings, MT</t>
  </si>
  <si>
    <t>https://www.osha.gov/ords/imis/establishment.inspection_detail?id=1799762.015</t>
  </si>
  <si>
    <t>Brooksville, FL</t>
  </si>
  <si>
    <t>https://www.carmeuse.com/eu-en/products-map/354</t>
  </si>
  <si>
    <t>Plant at Buffington</t>
  </si>
  <si>
    <t>Buffington, IN</t>
  </si>
  <si>
    <t>Plant at Calhoun</t>
  </si>
  <si>
    <t>Calhoun, TN</t>
  </si>
  <si>
    <t>Domtar Corp.</t>
  </si>
  <si>
    <t>https://www.paperfirst.info/resolute-announces-indefinite-idling-of-pulp-and-paper-operations-at-calhoun-tn-mill/</t>
  </si>
  <si>
    <t>https://www.michigansugar.com/wp-content/uploads/2026/03/Lime-Program-Prices-and-Procedures.pdf</t>
  </si>
  <si>
    <t>Plant at Caro</t>
  </si>
  <si>
    <t>Caro, MI</t>
  </si>
  <si>
    <t>https://www.uslm.com/USLM_Cleburne.html</t>
  </si>
  <si>
    <t>Plant at Cleburne</t>
  </si>
  <si>
    <t>Cleburne, TX</t>
  </si>
  <si>
    <t>https://www.michigansugar.com/about-us/locations/</t>
  </si>
  <si>
    <t xml:space="preserve">Plant at Croswell </t>
  </si>
  <si>
    <t>Croswell, MI</t>
  </si>
  <si>
    <t>Plant at Grand River</t>
  </si>
  <si>
    <t>Grand River, OH</t>
  </si>
  <si>
    <t>https://www.oldcastleapg.com/our-locations/</t>
  </si>
  <si>
    <t>Plant at Lee</t>
  </si>
  <si>
    <t>Lee, MA</t>
  </si>
  <si>
    <t>Oldcastle APG</t>
  </si>
  <si>
    <t>CRH Group</t>
  </si>
  <si>
    <t>Plant at Longview</t>
  </si>
  <si>
    <t>Longview, AL</t>
  </si>
  <si>
    <t>Plant at Luttrell</t>
  </si>
  <si>
    <t>Luttrell, TN</t>
  </si>
  <si>
    <t>Plant at Macon</t>
  </si>
  <si>
    <t>Macon, GA</t>
  </si>
  <si>
    <t>https://www.carmeuse.com/eu-en/products-map/348</t>
  </si>
  <si>
    <t>Plant at Manitowoc</t>
  </si>
  <si>
    <t>Manitowoc, WI</t>
  </si>
  <si>
    <t>Plant at Maysville</t>
  </si>
  <si>
    <t>Maysville, KY</t>
  </si>
  <si>
    <t>Plant at Millersville</t>
  </si>
  <si>
    <t>Millersville, OH</t>
  </si>
  <si>
    <t>https://www.amalgamatedsugar.com/nampa-factory/</t>
  </si>
  <si>
    <t>Plant at Nampa</t>
  </si>
  <si>
    <t>Nampa, ID</t>
  </si>
  <si>
    <t>Plant at River Rouge</t>
  </si>
  <si>
    <t>River Rouge, MI</t>
  </si>
  <si>
    <t>https://www.westernsugar.com/who-we-are/our-facilities/scottsbluff-ne-manufacturing-facility/</t>
  </si>
  <si>
    <t>Plant at Scottsbluff</t>
  </si>
  <si>
    <t>Scottsbluff, NE</t>
  </si>
  <si>
    <t>https://www.usg.com/en-US/about-usg/locations/manufacturing-plants</t>
  </si>
  <si>
    <t>Plant at Sperry</t>
  </si>
  <si>
    <t>Sperry, IA</t>
  </si>
  <si>
    <t>https://www.mlc.com/locations/</t>
  </si>
  <si>
    <t>Plant at Ste. Genevieve</t>
  </si>
  <si>
    <t>Ste. Genevieve, MO</t>
  </si>
  <si>
    <t>Plant at Strasburg</t>
  </si>
  <si>
    <t>Strasburg, VA</t>
  </si>
  <si>
    <t>https://www.amalgamatedsugar.com/twin-falls-factory/</t>
  </si>
  <si>
    <t>Plant at Twin Falls</t>
  </si>
  <si>
    <t>Twin Falls, ID</t>
  </si>
  <si>
    <t>Plant at Verona</t>
  </si>
  <si>
    <t>Verona, KY</t>
  </si>
  <si>
    <t>Plant at Winchester</t>
  </si>
  <si>
    <t>Winchester, VA</t>
  </si>
  <si>
    <t>https://magnesiaspecialties.com/company/about</t>
  </si>
  <si>
    <t>Plant at Woodville</t>
  </si>
  <si>
    <t>Woodville, OH</t>
  </si>
  <si>
    <t>Martin Marietta Magnesia Specialties, LLC</t>
  </si>
  <si>
    <t>https://wyomingsugar.com/</t>
  </si>
  <si>
    <t>Plant at Worland</t>
  </si>
  <si>
    <t>Worland, WY</t>
  </si>
  <si>
    <t>Wyoming Sugar LLC</t>
  </si>
  <si>
    <t>https://mlc.com/mississippi-lime-completes-acquisition-of-southern-lime-begins-integration-of-the-calera-alabama-based-business-2/</t>
  </si>
  <si>
    <t>Plant in Calera</t>
  </si>
  <si>
    <t>Calera, AL</t>
  </si>
  <si>
    <t>https://www.crystalsugar.com/about-our-cooperative/locations/</t>
  </si>
  <si>
    <t>Crookston, MN</t>
  </si>
  <si>
    <t>American Crystal Sugar Co.</t>
  </si>
  <si>
    <t>https://www.linwoodmining.com/facilities/</t>
  </si>
  <si>
    <t>Plant in Davenport</t>
  </si>
  <si>
    <t>Davenport, IA</t>
  </si>
  <si>
    <t>Linwood Mining and Minerals Corp.</t>
  </si>
  <si>
    <t>McCarthy-Bush Corp.</t>
  </si>
  <si>
    <t>Plant in Drayton</t>
  </si>
  <si>
    <t>Drayton, ND</t>
  </si>
  <si>
    <t>Plant in East Grand Forks</t>
  </si>
  <si>
    <t>East Grand Forks, MN</t>
  </si>
  <si>
    <t>Plant in Hillsboro</t>
  </si>
  <si>
    <t>Hillsboro, ND</t>
  </si>
  <si>
    <t>Plant in Montevallo</t>
  </si>
  <si>
    <t>Montevallo, AL</t>
  </si>
  <si>
    <t>Plant in Moorhead</t>
  </si>
  <si>
    <t>Moorhead, MN</t>
  </si>
  <si>
    <t>https://www.certainteed.com/about-us/locations</t>
  </si>
  <si>
    <t>Plant in Nashville</t>
  </si>
  <si>
    <t>Nashville, AR</t>
  </si>
  <si>
    <t>https://www.graymont.com/locations/#location_id=7212&amp;map=45.623359%2C-122.782892%2C8z</t>
  </si>
  <si>
    <t>Plant in Portland</t>
  </si>
  <si>
    <t>Portland, OR</t>
  </si>
  <si>
    <t>https://greerlimestone.com/</t>
  </si>
  <si>
    <t>Plant in Riverton</t>
  </si>
  <si>
    <t>Riverton, WV</t>
  </si>
  <si>
    <t>Greer Lime Co.</t>
  </si>
  <si>
    <t>Greer Industries, Inc.</t>
  </si>
  <si>
    <t>https://www.sugarproducer.com/2024/05/update-sidney-sugars-incorporated-to</t>
  </si>
  <si>
    <t>Plant in Sidney</t>
  </si>
  <si>
    <t>Sidney, MT</t>
  </si>
  <si>
    <t>Sidney Sugars Inc.</t>
  </si>
  <si>
    <t>Plant in Southard</t>
  </si>
  <si>
    <t>Southard, OK</t>
  </si>
  <si>
    <t>Plant in Sweetwater</t>
  </si>
  <si>
    <t>Sweetwater, TX</t>
  </si>
  <si>
    <t>https://www.graymont.com/locations/#location_id=3137&amp;map=47.269347%2C-122.392029%2C8z</t>
  </si>
  <si>
    <t>Plant in Tacoma</t>
  </si>
  <si>
    <t>Tacoma, WA</t>
  </si>
  <si>
    <t>https://www.mdf.coop/lime-information</t>
  </si>
  <si>
    <t>Plant in Wahpeton</t>
  </si>
  <si>
    <t>Wahpeton, ND</t>
  </si>
  <si>
    <t>MinnDak Farmers Cooperative</t>
  </si>
  <si>
    <t>https://www.rhimagnesita.com/north-america/</t>
  </si>
  <si>
    <t>Plant in York</t>
  </si>
  <si>
    <t>York, Pennsylvania</t>
  </si>
  <si>
    <t>Magnesita Refractories Co.</t>
  </si>
  <si>
    <t>https://www.icpds.com/assets/CUP20-0016-IS22-0021-USG-Plaster-City-Quarry-APPENDIX--E.pdf</t>
  </si>
  <si>
    <t>Plaster City Plant</t>
  </si>
  <si>
    <t>Plaster City, CA</t>
  </si>
  <si>
    <t>Plaster City Quarry</t>
  </si>
  <si>
    <t>Pleasant Gap Plant</t>
  </si>
  <si>
    <t>Bellefonte, PA</t>
  </si>
  <si>
    <t>Pogo Operations | Northern Star</t>
  </si>
  <si>
    <t>Pogo Mine</t>
  </si>
  <si>
    <t>Eastern Interior Region, AK</t>
  </si>
  <si>
    <t>Northern Star Resources Ltd.</t>
  </si>
  <si>
    <t>Pogo Processing Plant</t>
  </si>
  <si>
    <t>Port Arthur Refinery</t>
  </si>
  <si>
    <t>Port Neches, TX</t>
  </si>
  <si>
    <t>INEOS Calabrian</t>
  </si>
  <si>
    <t>Ecovyst</t>
  </si>
  <si>
    <t>Port Inland Plant</t>
  </si>
  <si>
    <t>Gulliver, MI</t>
  </si>
  <si>
    <t>Portage Plant</t>
  </si>
  <si>
    <t>Portage, IN</t>
  </si>
  <si>
    <t>Rhenium - Titan International, Inc.</t>
  </si>
  <si>
    <t>Pottstown Facility</t>
  </si>
  <si>
    <t>Pottstown, PA</t>
  </si>
  <si>
    <t>Titan International Inc.</t>
  </si>
  <si>
    <t>https://www.westernsugar.com/who-we-are/our-facilities/lovell-wy-manufacturing-facility/</t>
  </si>
  <si>
    <t>Processing Plant at Lovell</t>
  </si>
  <si>
    <t>LPO Announces Conditional Commitment for Project ATLiS for Lithium Hydroxide Production in California | Department of Energy</t>
  </si>
  <si>
    <t>Project Atlis</t>
  </si>
  <si>
    <t>Energysouce Minerals LLC</t>
  </si>
  <si>
    <t>69dcb7caacc18dfdd52202e2_Aclara - Integrated Value Chain press release.pdf</t>
  </si>
  <si>
    <t>Project Dynamo</t>
  </si>
  <si>
    <t>Terbium (Tb)</t>
  </si>
  <si>
    <t>Tb content</t>
  </si>
  <si>
    <t>Calcasieu Parish, LA</t>
  </si>
  <si>
    <t>Aclara Resources Inc.</t>
  </si>
  <si>
    <t>Tb only</t>
  </si>
  <si>
    <t>Ferrodysprosium (80% Dy: 20% Fe)</t>
  </si>
  <si>
    <t>Dy content</t>
  </si>
  <si>
    <t>Dysprosium (Dy)</t>
  </si>
  <si>
    <t>Dy only</t>
  </si>
  <si>
    <t>NdPr content</t>
  </si>
  <si>
    <t>NdPr only</t>
  </si>
  <si>
    <t>geostatsystems.com/documents/NI43-101_TR_Integrated-Feasibility-Study_Pumpkin-Hollow-Project_July092015.pdf</t>
  </si>
  <si>
    <t>Pumpkin Hollow Mine</t>
  </si>
  <si>
    <t>Yerington, NV</t>
  </si>
  <si>
    <t>Kinterra Capital Corp.</t>
  </si>
  <si>
    <t>Purity Zinc Metals | Zinc Dust Manufacturer</t>
  </si>
  <si>
    <t>Purity Zinc Clarksville Facility</t>
  </si>
  <si>
    <t>Purity Zinc Metals LLC</t>
  </si>
  <si>
    <t>North American Zinc Co.</t>
  </si>
  <si>
    <t>Quapaw Ge Facility</t>
  </si>
  <si>
    <t>Tetrachloride</t>
  </si>
  <si>
    <t>Quapaw, OK</t>
  </si>
  <si>
    <t>Umicore Optical Materials USA</t>
  </si>
  <si>
    <t>Umicore</t>
  </si>
  <si>
    <t>Quapaw Ga Plant</t>
  </si>
  <si>
    <t>Gallium trichloride</t>
  </si>
  <si>
    <t>Quincy Plant</t>
  </si>
  <si>
    <t>Quincy, IL</t>
  </si>
  <si>
    <t>https://www.goldroyalty.com/portfolio/railroad-pinion/</t>
  </si>
  <si>
    <t>Orla Mining Ltd.</t>
  </si>
  <si>
    <t>GoldMining Inc.</t>
  </si>
  <si>
    <t>https://archive.epa.gov/epawaste/nonhaz/industrial/special/web/pdf/goldch5.pdf</t>
  </si>
  <si>
    <t>Rain Facility</t>
  </si>
  <si>
    <t>Newmont Corp.</t>
  </si>
  <si>
    <t>https://petelien.com/locations/</t>
  </si>
  <si>
    <t>Rapid City Complex</t>
  </si>
  <si>
    <t>Pete Lien &amp; Sons, Inc.</t>
  </si>
  <si>
    <t>About</t>
  </si>
  <si>
    <t>Rasmussen Valley</t>
  </si>
  <si>
    <t>https://d9-wret.s3.us-west-2.amazonaws.com/assets/palladium/production/mineral-pubs/silver/880495.pdf</t>
  </si>
  <si>
    <t>Ray Mine</t>
  </si>
  <si>
    <t>Pinal, AZ</t>
  </si>
  <si>
    <t>Mine Tales: Ray mining district has history of more than a century</t>
  </si>
  <si>
    <t>https://pubs.usgs.gov/myb/vol1/2018/myb1-2018-copper.pdf</t>
  </si>
  <si>
    <t>RAY SX-EW</t>
  </si>
  <si>
    <t>Red Dog Mine</t>
  </si>
  <si>
    <t>Northwest Artic Borough, AK</t>
  </si>
  <si>
    <t>Teck Announces 2024 Production and 2025 Guidance Update</t>
  </si>
  <si>
    <t>https://www.teck.com/media/2025-Annual-Report.pdf</t>
  </si>
  <si>
    <t>Alaska mining industry overview - Rocking the Arctic (presentation): Association for Mineral Exploration Roundup 2025, Vancouver, BC, Canada, January 20-23, 2025</t>
  </si>
  <si>
    <t>Du Pont - Red Lion</t>
  </si>
  <si>
    <t>Red Lion Plant</t>
  </si>
  <si>
    <t>Delaware City, DE</t>
  </si>
  <si>
    <t>Red Rocks Plant</t>
  </si>
  <si>
    <t>Las Animas, CO</t>
  </si>
  <si>
    <t>Blue Star Helium, Ltd</t>
  </si>
  <si>
    <t>Bonita Capital Corp., https://minerals.nv.gov/uploadedFiles/mineralsnvgov/content/Programs/Mining/2022%20Metallic%20Production%20by%20mine.pdf</t>
  </si>
  <si>
    <t>Relief Canyon Facility</t>
  </si>
  <si>
    <t>Relief Canyon Mine</t>
  </si>
  <si>
    <t>https://smbsc.com/</t>
  </si>
  <si>
    <t>Renville Plant</t>
  </si>
  <si>
    <t>Renville, MN</t>
  </si>
  <si>
    <t>Southern Minnesota Beet Sugar Coop.</t>
  </si>
  <si>
    <t>Southern Minnesota Beet Sugar Corp.</t>
  </si>
  <si>
    <t>https://mshascan.com/mine/republic-pit-south-3400256</t>
  </si>
  <si>
    <t>Republic Pit</t>
  </si>
  <si>
    <t>Duke, OK</t>
  </si>
  <si>
    <t>Project Overview – Resolution Copper</t>
  </si>
  <si>
    <t>Resolution Mine</t>
  </si>
  <si>
    <t>Superior, AZ</t>
  </si>
  <si>
    <t xml:space="preserve"> BHP Group Limited</t>
  </si>
  <si>
    <t>Revenue-Virginius</t>
  </si>
  <si>
    <t>Ouray, CO</t>
  </si>
  <si>
    <t>Aurcana Silver Corp.</t>
  </si>
  <si>
    <t>Thorin Resources Inc.</t>
  </si>
  <si>
    <t>Microsoft Word - Reward 2024 FS NI 43-101 Technical Report_Rev K (final).docx</t>
  </si>
  <si>
    <t>Reward Mine</t>
  </si>
  <si>
    <t>Lone Pine, NV</t>
  </si>
  <si>
    <t>Augusta Gold Corp.</t>
  </si>
  <si>
    <t>AngloGold Ashanti Holdings Inc.</t>
  </si>
  <si>
    <t>Reward Recovery Plant</t>
  </si>
  <si>
    <t>02952628.pdf</t>
  </si>
  <si>
    <t>Rhyolite Ridge Mine</t>
  </si>
  <si>
    <t>Goldfield, NV</t>
  </si>
  <si>
    <t>ioneer Ltd.</t>
  </si>
  <si>
    <t>Rhyolite Ridge Plant</t>
  </si>
  <si>
    <t>Carbonate, Hydroxide</t>
  </si>
  <si>
    <t>Richland</t>
  </si>
  <si>
    <t>Richland, WA</t>
  </si>
  <si>
    <t>General Chemical - Richmond</t>
  </si>
  <si>
    <t>Richmond Plant</t>
  </si>
  <si>
    <t>Richmond, CA</t>
  </si>
  <si>
    <t>https://www.aurubis.com/dam/jcr:a1012ca0-be19-4f6c-aac1-068d385d6e14/20250922_Factsheet%20Richmond.pdf</t>
  </si>
  <si>
    <t>Richmond Smelter</t>
  </si>
  <si>
    <t>Blister</t>
  </si>
  <si>
    <t>Hephzibah, GA</t>
  </si>
  <si>
    <t>Aurubis AG</t>
  </si>
  <si>
    <t>Our graphite electrode production facilities | Resonac Graphite</t>
  </si>
  <si>
    <t>Ridgeville</t>
  </si>
  <si>
    <t>Ridgeville, SC</t>
  </si>
  <si>
    <t>Resonac</t>
  </si>
  <si>
    <t>graphite 2022</t>
  </si>
  <si>
    <t>Riverside facility</t>
  </si>
  <si>
    <t>Riverside, TN</t>
  </si>
  <si>
    <t>NOVONIX</t>
  </si>
  <si>
    <t>Chemtrade - Riverton</t>
  </si>
  <si>
    <t>Riverton Plant</t>
  </si>
  <si>
    <t>Riverton, WY</t>
  </si>
  <si>
    <t>Riverview Plant</t>
  </si>
  <si>
    <t>Riverview, FL</t>
  </si>
  <si>
    <t>Roasting Facility</t>
  </si>
  <si>
    <t/>
  </si>
  <si>
    <t>Robesonia Plant</t>
  </si>
  <si>
    <t>Robesonia, PA</t>
  </si>
  <si>
    <t>Li-Cycle secures 100 percent offtake agreement with Glencore for MHP - Recycling Today</t>
  </si>
  <si>
    <t>Rochester Hub Facility</t>
  </si>
  <si>
    <t>Rochester, NY</t>
  </si>
  <si>
    <t>CoeurMiningInc_Rochester_TechnicalReport_Dec16_2020.pdf</t>
  </si>
  <si>
    <t>Rochester Mine</t>
  </si>
  <si>
    <t>Rochester Plant</t>
  </si>
  <si>
    <t>Rock Creek Plant</t>
  </si>
  <si>
    <t>Hutchinson, TX</t>
  </si>
  <si>
    <t>Phosphates.indd</t>
  </si>
  <si>
    <t>Rock Springs Plant</t>
  </si>
  <si>
    <t>MAP</t>
  </si>
  <si>
    <t>Vernal Mine</t>
  </si>
  <si>
    <t>Rock Springs, WY</t>
  </si>
  <si>
    <t>Filed CD Notice of Lodging and Attached (Redacted) Proposed CD.pdf</t>
  </si>
  <si>
    <t>Rockport Plant</t>
  </si>
  <si>
    <t>Rockport, IN</t>
  </si>
  <si>
    <t>Rockwood Facility</t>
  </si>
  <si>
    <t>Rockwood, TN</t>
  </si>
  <si>
    <t>Rodeo Mine</t>
  </si>
  <si>
    <t>Flint Hills Resources - Rosemount</t>
  </si>
  <si>
    <t>Rosemont Plant</t>
  </si>
  <si>
    <t>Flint Hills Resources L.P.</t>
  </si>
  <si>
    <t>Rosita Central Processing Plant</t>
  </si>
  <si>
    <t>Freer, TX</t>
  </si>
  <si>
    <t>Rosita South Cadena ISR Mine</t>
  </si>
  <si>
    <t>Microsoft PowerPoint - 20220815 - PEN Corporate Presentation_post DFS_FINAL</t>
  </si>
  <si>
    <t>Ross and Kendrick Mines</t>
  </si>
  <si>
    <t>Oshoto, WY</t>
  </si>
  <si>
    <t>Peninsula Energy Limited</t>
  </si>
  <si>
    <t>Ross Processing Facility</t>
  </si>
  <si>
    <t>Rossi Mine</t>
  </si>
  <si>
    <t>Roswell Plant</t>
  </si>
  <si>
    <t>Chaves, NM</t>
  </si>
  <si>
    <t>https://buildingclean.org/manufacturers/facility/10220</t>
  </si>
  <si>
    <t>Rotan Quarry</t>
  </si>
  <si>
    <t>Rotan, TX</t>
  </si>
  <si>
    <t>https://www.kinross.com/news-and-investors/news-releases/press-release-details/2023/Kinross-reports-2022-fourth-quarter-and-full-year-results/default.aspx</t>
  </si>
  <si>
    <t>Round Mountain Mine</t>
  </si>
  <si>
    <t>Nye, NV</t>
  </si>
  <si>
    <t>Round Mountain Plant</t>
  </si>
  <si>
    <t>titanium 2019</t>
  </si>
  <si>
    <t>Rowley, UT</t>
  </si>
  <si>
    <t>Proposal Letter</t>
  </si>
  <si>
    <t>Ruby Hill Mines</t>
  </si>
  <si>
    <t>Entegris Increases Manufacturing Capacity For High-Performance Materials | Entegris</t>
  </si>
  <si>
    <t>Russelville</t>
  </si>
  <si>
    <t>Entegris Inc.</t>
  </si>
  <si>
    <t>Graham, AZ</t>
  </si>
  <si>
    <t>Salisbury</t>
  </si>
  <si>
    <t>Salisbury, NC</t>
  </si>
  <si>
    <t>Salt Lake</t>
  </si>
  <si>
    <t>Chevron Corp.</t>
  </si>
  <si>
    <t>Asahi Refining - Asahi Refining</t>
  </si>
  <si>
    <t>Salt Lake Asahi Refinery</t>
  </si>
  <si>
    <t>Sanborn, NY</t>
  </si>
  <si>
    <t>Gemini Industries Inc/CA - Company Profile and News - Bloomberg Markets</t>
  </si>
  <si>
    <t>Santa Ana Refinery</t>
  </si>
  <si>
    <t>Santa Ana, CA</t>
  </si>
  <si>
    <t>Gemini Industries Inc.</t>
  </si>
  <si>
    <t>Recyclers try new ways to process spent catalysts</t>
  </si>
  <si>
    <t>PGMPaperDraft_11_27_2025.pdf</t>
  </si>
  <si>
    <t>Santa Fe Springs Plant</t>
  </si>
  <si>
    <t>Santa Fe Springs, CA</t>
  </si>
  <si>
    <t>Heraeus Metal Processing LLC</t>
  </si>
  <si>
    <t>Heraeus Group</t>
  </si>
  <si>
    <t>Powerlab, Inc.: Terrell, TX 75160</t>
  </si>
  <si>
    <t>Savanna Plant</t>
  </si>
  <si>
    <t>Savanna, IN</t>
  </si>
  <si>
    <t>Powerlab Inc.</t>
  </si>
  <si>
    <t>Scottsboro Facility</t>
  </si>
  <si>
    <t>Scottsboro, AL</t>
  </si>
  <si>
    <t>Main Plant / Sales Office | Sabin Metal</t>
  </si>
  <si>
    <t>Scottsville Refinery</t>
  </si>
  <si>
    <t>Scottsville, NY</t>
  </si>
  <si>
    <t>Sabin Metal Corp</t>
  </si>
  <si>
    <t>GrafTech International Ltd. Downgraded To 'CC'</t>
  </si>
  <si>
    <t>Needle Coke</t>
  </si>
  <si>
    <t>Port Lavaca, TX</t>
  </si>
  <si>
    <t>Seadrift Coke L.P.</t>
  </si>
  <si>
    <t>GrafTech International</t>
  </si>
  <si>
    <t>100</t>
  </si>
  <si>
    <t>Non Ferrous Metals |</t>
  </si>
  <si>
    <t>Seattle Plant</t>
  </si>
  <si>
    <t>Seattle, WA</t>
  </si>
  <si>
    <t>Non-Ferrous Metals Inc.</t>
  </si>
  <si>
    <t>Sebewaing, MI</t>
  </si>
  <si>
    <t>Sebree Smelter</t>
  </si>
  <si>
    <t>Billet</t>
  </si>
  <si>
    <t>Sebree, KY</t>
  </si>
  <si>
    <t>Ferroglobe Announces Restart of Second Silicon Metal Furnace at the Selma Facility in the United States | Ferroglobe PLC</t>
  </si>
  <si>
    <t>Selma Plant</t>
  </si>
  <si>
    <t>Selma, AL</t>
  </si>
  <si>
    <t>https://www.basf.com/us/en/pages/contracted-services/site-specific/Seneca</t>
  </si>
  <si>
    <t>Seneca Refinery</t>
  </si>
  <si>
    <t>Seneca, SC</t>
  </si>
  <si>
    <t>2025.6.20-Peak-Minerals-Teaser.pdf</t>
  </si>
  <si>
    <t>Sevier Playa Mine</t>
  </si>
  <si>
    <t>EMR Capital Pty. Ltd</t>
  </si>
  <si>
    <t>Sevier Playa Plant</t>
  </si>
  <si>
    <t>minedocs.com/12/Shafter_PEA_07112018.pdf</t>
  </si>
  <si>
    <t>Alpine, TX</t>
  </si>
  <si>
    <t>Red Metal Report - Metal Center News - Solutions for Profitable Distribution</t>
  </si>
  <si>
    <t>Shelby Smelter</t>
  </si>
  <si>
    <t>Shelby, NC</t>
  </si>
  <si>
    <t>Ames Copper Group, LLC</t>
  </si>
  <si>
    <t>Sher-Han Plant</t>
  </si>
  <si>
    <t>Hansford, TX</t>
  </si>
  <si>
    <t>UR-Energy-2015-Shirley-Basin-PEA_Final.pdf</t>
  </si>
  <si>
    <t>Shirley Basin ISR Mine</t>
  </si>
  <si>
    <t>Shoals Quarry</t>
  </si>
  <si>
    <t>Shoals, IN</t>
  </si>
  <si>
    <t>Shootaring Canyon Mill</t>
  </si>
  <si>
    <t>Ticaboo, UT</t>
  </si>
  <si>
    <t>Anfield Resources Holding Corp.</t>
  </si>
  <si>
    <t>Chemtrade - Shreveport</t>
  </si>
  <si>
    <t>Shreveport Sulfuric Acid Plant</t>
  </si>
  <si>
    <t>Shreveport, LA</t>
  </si>
  <si>
    <t>Sierrita Mine</t>
  </si>
  <si>
    <t>Sierrita SX-EW Plant</t>
  </si>
  <si>
    <t>Silver Bell Mine</t>
  </si>
  <si>
    <t>Silver Bell SX-EW</t>
  </si>
  <si>
    <t>Silver Peak, NV</t>
  </si>
  <si>
    <t xml:space="preserve">Lithium  </t>
  </si>
  <si>
    <t>SMC – Ucore Rare Metals Inc.</t>
  </si>
  <si>
    <t>SMC Louisiana Refinery</t>
  </si>
  <si>
    <t>Alexandria, LA</t>
  </si>
  <si>
    <t>Smith Ranch-Highland | Cameco, https://www.eia.gov/uranium/production/quarterly/qupdtable4.php#:~:text=Table_title:%20Domestic%20Uranium%20Production%20Report%20%2D%20Quarterly,capacity%20(pounds%20U3O8%20per%20year):%202%2C000%2C000%20%7C</t>
  </si>
  <si>
    <t>Smith Ranch-Highland Mine</t>
  </si>
  <si>
    <t>Glenrock, WY</t>
  </si>
  <si>
    <t>Smith Ranch-Highland Recovery Plant</t>
  </si>
  <si>
    <t>Smoky Canyon Mine | The Center for Land Use Interpretation</t>
  </si>
  <si>
    <t>Afton, ID</t>
  </si>
  <si>
    <t>wp-andeanpm-2023.s3.ca-central-1.amazonaws.com/media/2024/02/28203450/Soledad-Mountain-Technical-Report-2023-31Jan24-FINAL.pdf</t>
  </si>
  <si>
    <t>Kern, CA</t>
  </si>
  <si>
    <t>Andean Precious Metals Corp.</t>
  </si>
  <si>
    <t>PMB Parners LP</t>
  </si>
  <si>
    <t>Soledad Mountain Plant</t>
  </si>
  <si>
    <t>South Carolina Campus</t>
  </si>
  <si>
    <t>South Fort Meade Mine</t>
  </si>
  <si>
    <t>Bowling Green, FL</t>
  </si>
  <si>
    <t>South Pasture</t>
  </si>
  <si>
    <t>South Plant</t>
  </si>
  <si>
    <t>2022-Annual-Report.pdf</t>
  </si>
  <si>
    <t>Spor Mountain Mine</t>
  </si>
  <si>
    <t>Juab County, UT</t>
  </si>
  <si>
    <t>Spor Mountain Plant</t>
  </si>
  <si>
    <t>2025 Feasibility Study - Solidus Resources, LLC</t>
  </si>
  <si>
    <t>Spring Valley Heap Leach</t>
  </si>
  <si>
    <t>Lyon, NV</t>
  </si>
  <si>
    <t>Waterton Global Resource Management, Inc.</t>
  </si>
  <si>
    <t>Spring Valley Mine</t>
  </si>
  <si>
    <t>Spruce Pine HPQ Mine</t>
  </si>
  <si>
    <t>Quartz</t>
  </si>
  <si>
    <t>High-purity quartz</t>
  </si>
  <si>
    <t>Spruce Pine, NC</t>
  </si>
  <si>
    <t>Imerys</t>
  </si>
  <si>
    <t>Norsk Mineral</t>
  </si>
  <si>
    <t>Sibelco announces a major expansion of its Spruce Pine (USA) high purity quartz operations </t>
  </si>
  <si>
    <t>Spruce Pine Mine</t>
  </si>
  <si>
    <t>Sibelco</t>
  </si>
  <si>
    <t>Microsoft Word - SGL Carbon 2024 GB Master 19032025_1430_EN.docx</t>
  </si>
  <si>
    <t>St Marys</t>
  </si>
  <si>
    <t>St. Marys, PA</t>
  </si>
  <si>
    <t>https://www.uslm.com/USLM_Oklahoma.html</t>
  </si>
  <si>
    <t>St. Clair Plant</t>
  </si>
  <si>
    <t>St. Clair, OK</t>
  </si>
  <si>
    <t>St. Clair Quarry</t>
  </si>
  <si>
    <t>St. Gabriel</t>
  </si>
  <si>
    <t>St. Gabriel, LA</t>
  </si>
  <si>
    <t>Koura</t>
  </si>
  <si>
    <t>Orbia</t>
  </si>
  <si>
    <t>St. George Facility</t>
  </si>
  <si>
    <t>St. George, UT</t>
  </si>
  <si>
    <t>St. James Parish Plant</t>
  </si>
  <si>
    <t>Convent, LA</t>
  </si>
  <si>
    <t>Nucor Corp.</t>
  </si>
  <si>
    <t>St. Johns Plant</t>
  </si>
  <si>
    <t>Proton Green, LLC</t>
  </si>
  <si>
    <t>Solvay S.A.</t>
  </si>
  <si>
    <t>US Strategic Metals: Solving The Critical Battery Materials Supply Chain Puzzle - US Strategic Metals</t>
  </si>
  <si>
    <t>St. Louis Plant</t>
  </si>
  <si>
    <t>St Louis, MO</t>
  </si>
  <si>
    <t>Platinum-Group Metals 2021</t>
  </si>
  <si>
    <t>St. Louis Refinery</t>
  </si>
  <si>
    <t>Hauser &amp; Miller Co.</t>
  </si>
  <si>
    <t>Professional Gold and Silver Refinery - W.E. Mowrey Est. 1899</t>
  </si>
  <si>
    <t>St. Paul Refinery</t>
  </si>
  <si>
    <t>Bar, Coin, Shot</t>
  </si>
  <si>
    <t>St. Paul, MN</t>
  </si>
  <si>
    <t>W.E. Mowrey Co.</t>
  </si>
  <si>
    <t>Bar, Shot</t>
  </si>
  <si>
    <t>https://permitting.mdaqmd.ca.gov/facility/view/3707</t>
  </si>
  <si>
    <t>Standard Mine</t>
  </si>
  <si>
    <t>Blythe, CA</t>
  </si>
  <si>
    <t>Double D Mining, LLC</t>
  </si>
  <si>
    <t>Ecology Holdings</t>
  </si>
  <si>
    <t>sec.gov/Archives/edgar/data/1526243/000110465922069319/tm2217499d1_ex96-1.htm</t>
  </si>
  <si>
    <t>Stibnite Mines</t>
  </si>
  <si>
    <t>Yellow Pine, ID</t>
  </si>
  <si>
    <t>Perpetua Resources Corp.</t>
  </si>
  <si>
    <t>Stibnite Plant</t>
  </si>
  <si>
    <t>Stillwater Mine</t>
  </si>
  <si>
    <t>Nye, MT</t>
  </si>
  <si>
    <t>Stoney Creek Mineral Separation Plant</t>
  </si>
  <si>
    <t>Concentrator</t>
  </si>
  <si>
    <t>Technical_Report_Sunday_Mine_Complex.pdf</t>
  </si>
  <si>
    <t>Sunday Complex Mines (Sunday, Carnation, St. Jude, West Sunday, Topaz)</t>
  </si>
  <si>
    <t>Slick Rock, CO</t>
  </si>
  <si>
    <t>Sunray Plant</t>
  </si>
  <si>
    <t>Moore, TX</t>
  </si>
  <si>
    <t>Energy Transfer</t>
  </si>
  <si>
    <t>Microsoft Word - SSMC Sunshine Updated TR_FINAL_OSC updates_01292020_withtables.docx</t>
  </si>
  <si>
    <t>Sunshine Antimony Plant</t>
  </si>
  <si>
    <t xml:space="preserve">Antimony  </t>
  </si>
  <si>
    <t>Sunshine Silver Mining &amp; Refining Corp.</t>
  </si>
  <si>
    <t>Sunshine Mine</t>
  </si>
  <si>
    <t>Sunshine Refinery</t>
  </si>
  <si>
    <t>Superior Plant</t>
  </si>
  <si>
    <t>Superior, WI</t>
  </si>
  <si>
    <t>Standard Lithium Ltd. - South West Arkansas</t>
  </si>
  <si>
    <t>SWA Project Mine</t>
  </si>
  <si>
    <t>Equinor</t>
  </si>
  <si>
    <t>SWA Project Plant</t>
  </si>
  <si>
    <t>The five largest lead mines in US</t>
  </si>
  <si>
    <t>https://www.gp.com/about-us/locations/texas#location</t>
  </si>
  <si>
    <t>Sweetwater Complex</t>
  </si>
  <si>
    <t>Copper in 1998</t>
  </si>
  <si>
    <t>Sweetwater Mine</t>
  </si>
  <si>
    <t>Sweetwater Mine (Red Desert)</t>
  </si>
  <si>
    <t>Sweetwater Plant</t>
  </si>
  <si>
    <t>Rawlins, WY</t>
  </si>
  <si>
    <t>Recycling Plant – American Battery Technology Company</t>
  </si>
  <si>
    <t>Tahoe-Reno Li-Ion Battery Reycling Plant</t>
  </si>
  <si>
    <t>Tamarack</t>
  </si>
  <si>
    <t>Tamarack, MN</t>
  </si>
  <si>
    <t>Rio Tinto</t>
  </si>
  <si>
    <t>Gopher Resource Smelter/Battery Recycling Plant | Harris</t>
  </si>
  <si>
    <t>Tampa Refinery</t>
  </si>
  <si>
    <t>Tampa, FL</t>
  </si>
  <si>
    <t>Bridgepoint Group plc.</t>
  </si>
  <si>
    <t>Tampa Smelter</t>
  </si>
  <si>
    <t>ABC Coke - Drummond Co.</t>
  </si>
  <si>
    <t>Tarrant Plant</t>
  </si>
  <si>
    <t>Tarrant, AL</t>
  </si>
  <si>
    <t>ABC Coke</t>
  </si>
  <si>
    <t>Drummond Company</t>
  </si>
  <si>
    <t>https://www.researchgate.net/figure/Location-of-the-Tawas-quarry-and-samples-used-in-this-research-a-The-red-box-shows_fig2_333145244</t>
  </si>
  <si>
    <t>Tawas Mine</t>
  </si>
  <si>
    <t>Tawas City, MI</t>
  </si>
  <si>
    <t>Terrel Plant</t>
  </si>
  <si>
    <t>Terrell, TX</t>
  </si>
  <si>
    <t>About Us – Conecsus LLC – Global "Green" Metals Recycler</t>
  </si>
  <si>
    <t>Terrell Facility</t>
  </si>
  <si>
    <t>Conecsus LLC.</t>
  </si>
  <si>
    <t>Mastermelt Group</t>
  </si>
  <si>
    <t>Tin</t>
  </si>
  <si>
    <t>Sn content</t>
  </si>
  <si>
    <t>Texas HBI Plant</t>
  </si>
  <si>
    <t>Portland, TX</t>
  </si>
  <si>
    <t>ArcelorMittal SA</t>
  </si>
  <si>
    <t>NewLAC-ThackerPassFeasibilityStudyNI43-101-October2023.pdf</t>
  </si>
  <si>
    <t>Orovada, NV</t>
  </si>
  <si>
    <t>Lithium Americas Corp.</t>
  </si>
  <si>
    <t>Carbonate, Sulfates</t>
  </si>
  <si>
    <t>https://www.asarco.com/mines/</t>
  </si>
  <si>
    <t>The Mission Complex (Eisenhower, Pima, San Xavier Mines)</t>
  </si>
  <si>
    <t>ASARCO</t>
  </si>
  <si>
    <t>Products – High-Purity Silicon America Corporation</t>
  </si>
  <si>
    <t>Theodore Plant</t>
  </si>
  <si>
    <t>Theodore, AL</t>
  </si>
  <si>
    <t>SUMCO Corp.</t>
  </si>
  <si>
    <t>https://www.usantimony.com/uamy-production-facilities</t>
  </si>
  <si>
    <t>Thompson Falls Smelter</t>
  </si>
  <si>
    <t>Thompson Falls, MT</t>
  </si>
  <si>
    <t>United States Antimony Corporation</t>
  </si>
  <si>
    <t>https://d9-wret.s3.us-west-2.amazonaws.com/assets/palladium/production/s3fs-public/media/files/myb1-2023-feore-ert.xlsx</t>
  </si>
  <si>
    <t>Tilden</t>
  </si>
  <si>
    <t>Ishpeming, MI</t>
  </si>
  <si>
    <t>Nathan Trotter breaks ground on US tin smelter - International Tin Association</t>
  </si>
  <si>
    <t>Tin Ridge Plant</t>
  </si>
  <si>
    <t>Coatesville, VA</t>
  </si>
  <si>
    <t>Nathan Trotter &amp; Co.</t>
  </si>
  <si>
    <t>Eureka, UT</t>
  </si>
  <si>
    <t>Osisko Development Corp.</t>
  </si>
  <si>
    <t>IRA, energy transition to spur Western silicon metal production and consumption - Fastmarkets</t>
  </si>
  <si>
    <t>Tiptonville Plant</t>
  </si>
  <si>
    <t>Tiptonville, TN</t>
  </si>
  <si>
    <t>Sinova Global</t>
  </si>
  <si>
    <t>Vision Blue Resources</t>
  </si>
  <si>
    <t>Scoping-Study-June-30.pdf</t>
  </si>
  <si>
    <t>Titan Mine</t>
  </si>
  <si>
    <t>IperionX</t>
  </si>
  <si>
    <t>IperionX - September 2025 Quarterly Report - IperionX</t>
  </si>
  <si>
    <t>Metal, Powder</t>
  </si>
  <si>
    <t>South Boston, VA</t>
  </si>
  <si>
    <t>Tocito Dome Plant</t>
  </si>
  <si>
    <t>San Juan, NM</t>
  </si>
  <si>
    <t>Navajo Transitional Energy Company</t>
  </si>
  <si>
    <t>Copper in 1996</t>
  </si>
  <si>
    <t>Tohono Mine</t>
  </si>
  <si>
    <t>North Komelik, AZ</t>
  </si>
  <si>
    <t>Tohono SX-EW Plant</t>
  </si>
  <si>
    <t>American Battery Technology Company Publishes Milestone Pre-Feasibility Study Accelerating Commercialization of its Tonopah Flats Lithium Project, One of the Largest Lithium Resources in the United States – American Battery Technology Company</t>
  </si>
  <si>
    <t>Tonopah Flats Mine</t>
  </si>
  <si>
    <t>Tonopah Flats Plant</t>
  </si>
  <si>
    <t>Tonopah Plant</t>
  </si>
  <si>
    <t xml:space="preserve">American Clean Resources Group, Inc. </t>
  </si>
  <si>
    <t>Granite Peak Resources, LLC.</t>
  </si>
  <si>
    <t>IsoEnergy Limited. | Tony M</t>
  </si>
  <si>
    <t>Tony M Mine</t>
  </si>
  <si>
    <t>Towanda Facility</t>
  </si>
  <si>
    <t>Ammonium Paratungstate, Ammonium metatungstate, Oxide, Metal Powder, Carbide Powder</t>
  </si>
  <si>
    <t>Towanda, PA</t>
  </si>
  <si>
    <t>Plansee Holdings AG</t>
  </si>
  <si>
    <t>Trail Ridge/Trail Ridge South Mines</t>
  </si>
  <si>
    <t>Starke, FL</t>
  </si>
  <si>
    <t>Boron 2012</t>
  </si>
  <si>
    <t>Boric Acid, Borax</t>
  </si>
  <si>
    <t>Trona, CA</t>
  </si>
  <si>
    <t>Searles Valley Minerals</t>
  </si>
  <si>
    <t>Nirma Ltd.</t>
  </si>
  <si>
    <t>EPA-HQ-OAR-2004-0373-0027_content.pdf</t>
  </si>
  <si>
    <t>Troy Smelter</t>
  </si>
  <si>
    <t>Troy, AL</t>
  </si>
  <si>
    <t>Sanders Lead Company, Inc.</t>
  </si>
  <si>
    <t>Chemtrade - Tulsa</t>
  </si>
  <si>
    <t>Tulsa Plant</t>
  </si>
  <si>
    <t>Tulsa, OK</t>
  </si>
  <si>
    <t>Turquoise Ridge Facilities (Juniper Oxide Mill, Sage Autoclave, Heap Leach)</t>
  </si>
  <si>
    <t>Golconda, NV</t>
  </si>
  <si>
    <t>Turquoise Ridge Mines (Underground and Surface)</t>
  </si>
  <si>
    <t>https://www.annualreports.com/HostedData/AnnualReportArchive/b/NYSE_ABX_2014.pdf</t>
  </si>
  <si>
    <t>Silver City, NM</t>
  </si>
  <si>
    <t>https://freeportinnewmexico.com/</t>
  </si>
  <si>
    <t>Tyrone Mine</t>
  </si>
  <si>
    <t>Tyrone SX-EW</t>
  </si>
  <si>
    <t>Ulysses Plant</t>
  </si>
  <si>
    <t>Linde plc.</t>
  </si>
  <si>
    <t>United Precious Metals Refining – steady growth since 1988 - Southern Jewelry News</t>
  </si>
  <si>
    <t>United Precious Metal Refinery</t>
  </si>
  <si>
    <t>Alden, NY</t>
  </si>
  <si>
    <t>United Precious Metal Refining, Inc.</t>
  </si>
  <si>
    <t>United Taconite Mine</t>
  </si>
  <si>
    <t>Evaleth, MN</t>
  </si>
  <si>
    <t>United Taconite Pellet Plant</t>
  </si>
  <si>
    <t>Upper Springs Creek - Brevard ISR Mine</t>
  </si>
  <si>
    <t>Upper Springs Creek - Brown Area ISR Mine</t>
  </si>
  <si>
    <t>Rare Element Resources Provides Rare Earth Demonstration Plant Update - Rare Element Resources</t>
  </si>
  <si>
    <t>Upton Processing Facility</t>
  </si>
  <si>
    <t>Upton, YW</t>
  </si>
  <si>
    <t>Vallejo</t>
  </si>
  <si>
    <t>Vallejo, CA</t>
  </si>
  <si>
    <t>Microsoft Word - Velvet-Wood_Slick_Rock_Shootaring_43-101_Final March 6 2023</t>
  </si>
  <si>
    <t>Velvet-Wood Mines</t>
  </si>
  <si>
    <t>https://mshascan.com/mine/ventucopa-quarry-0405481</t>
  </si>
  <si>
    <t>Ventucopa Quarry</t>
  </si>
  <si>
    <t>Ventucopa, CA</t>
  </si>
  <si>
    <t>https://static.azdeq.gov/pn/%e2%80%a2%20Old%20-%20Check%20then%20remove/190213_pcc_tsd.pdf</t>
  </si>
  <si>
    <t>Verde Gypsum Mine</t>
  </si>
  <si>
    <t>Camp Verde, AZ</t>
  </si>
  <si>
    <t>Phoenix Cement Co.</t>
  </si>
  <si>
    <t>Salt River Materials Group</t>
  </si>
  <si>
    <t>Today’s (and Tomorrow’s?) Phosphate - Utah Geological Survey</t>
  </si>
  <si>
    <t>Vernal, UT</t>
  </si>
  <si>
    <t>42-Lead.indd</t>
  </si>
  <si>
    <t>Viburnum Mine #29</t>
  </si>
  <si>
    <t>Viburnum, MO</t>
  </si>
  <si>
    <t>Site Profile - VTLHR OU2 - City of Viburnum PRP Non-Time Critical - EPA OSC Response</t>
  </si>
  <si>
    <t>Viburnum Mine #35 (Casteel Mine)</t>
  </si>
  <si>
    <t>Vidalia Active Anode Material Facility</t>
  </si>
  <si>
    <t>Vidalia Plant</t>
  </si>
  <si>
    <t>Vidalia, LA</t>
  </si>
  <si>
    <t>Syrah Resources Limited</t>
  </si>
  <si>
    <t>COMSTOCK METALS AWARDED TAX ABATEMENT FROM THE NEVADA GOVERNOR’S OFFICE OF ECONOMIC DEVELOPMENT - Comstock Inc.</t>
  </si>
  <si>
    <t>Virginia City Pilot Plant</t>
  </si>
  <si>
    <t>Virginia Division</t>
  </si>
  <si>
    <t>Alpha Metallurgical Resources Inc.</t>
  </si>
  <si>
    <t>CLF_CC_FactSheet_Warren_62024.pdf</t>
  </si>
  <si>
    <t>Warren Coke Plant</t>
  </si>
  <si>
    <t>Warren, OH</t>
  </si>
  <si>
    <t>Cleveland-Cliffs Warren Coke</t>
  </si>
  <si>
    <t>Warren Plant</t>
  </si>
  <si>
    <t>Warrick Smelter</t>
  </si>
  <si>
    <t>Evansville, IN</t>
  </si>
  <si>
    <t>Heraeus Precious Metals adds a smelter to its recycling capabilities</t>
  </si>
  <si>
    <t>Wartburg Smelter</t>
  </si>
  <si>
    <t>Wartburg, TN</t>
  </si>
  <si>
    <t>Weirton Plant</t>
  </si>
  <si>
    <t>Weirton, WV</t>
  </si>
  <si>
    <t>Wellsville</t>
  </si>
  <si>
    <t>Columbiana, OH</t>
  </si>
  <si>
    <t>Wendover, UT</t>
  </si>
  <si>
    <t>Wendover Plant</t>
  </si>
  <si>
    <t>Chloride, Chloride Brine</t>
  </si>
  <si>
    <t>Tin Technology &amp; Refining: Comprehensive Scrap Tin Recycling Services</t>
  </si>
  <si>
    <t>West Chester Plant</t>
  </si>
  <si>
    <t>West Chester, PA</t>
  </si>
  <si>
    <t>Tin Technology &amp; Refining Capabilities: Advanced Tin Recycling &amp; Processing</t>
  </si>
  <si>
    <t>jm-inc-rppg-compliance-report-fy2024-25-2-pdf</t>
  </si>
  <si>
    <t>West Deptford Refinery</t>
  </si>
  <si>
    <t>West Deptford, PA</t>
  </si>
  <si>
    <t>Johnson Matthey plc</t>
  </si>
  <si>
    <t>West Elk Coal Mine - Global Energy Monitor</t>
  </si>
  <si>
    <t>West Elk Mine</t>
  </si>
  <si>
    <t>Somerset, CO</t>
  </si>
  <si>
    <t>Mountain Coal Company LLC</t>
  </si>
  <si>
    <t>West Plant</t>
  </si>
  <si>
    <t>West Virginia Operations</t>
  </si>
  <si>
    <t>Logan, WV</t>
  </si>
  <si>
    <t>Western Milling Llc » Projects » Home</t>
  </si>
  <si>
    <t>Western Milling Plant</t>
  </si>
  <si>
    <t>Sodaville, NV</t>
  </si>
  <si>
    <t>Western Milling LLC</t>
  </si>
  <si>
    <t>Great Western Mining Corporation PLC</t>
  </si>
  <si>
    <t>Muletown Enterprizes LLC</t>
  </si>
  <si>
    <t>wharf-2017.pdf</t>
  </si>
  <si>
    <t>Wharf Mine</t>
  </si>
  <si>
    <t>Lawrence, SD</t>
  </si>
  <si>
    <t>Wharf Plant</t>
  </si>
  <si>
    <t>Energy Fuels - Uranium Mining &amp; Energy - Standby Mines</t>
  </si>
  <si>
    <t>Whirlwind Mine</t>
  </si>
  <si>
    <t>Gateway, CO</t>
  </si>
  <si>
    <t>https://geoinfo.nmt.edu/resources/minerals/industrial/home.html</t>
  </si>
  <si>
    <t>White Mesa Mine</t>
  </si>
  <si>
    <t>White Mesa, NM</t>
  </si>
  <si>
    <t>White Mesa Plant</t>
  </si>
  <si>
    <t>V2O5 content</t>
  </si>
  <si>
    <t>UUUU (Energy Fuels Inc) (10-K) 2023-03-08.pdf_.pdf</t>
  </si>
  <si>
    <t>White Springs Mine (Swift Creek Mine)</t>
  </si>
  <si>
    <t>White Springs, FL</t>
  </si>
  <si>
    <t>White Springs Plant</t>
  </si>
  <si>
    <t>Phospahte</t>
  </si>
  <si>
    <t>Whitehall</t>
  </si>
  <si>
    <t>Whitehall, MI</t>
  </si>
  <si>
    <t>West Corporation | Sabin Metal</t>
  </si>
  <si>
    <t>Williston Refinery</t>
  </si>
  <si>
    <t>Williston, ND</t>
  </si>
  <si>
    <t>Wingate Mine</t>
  </si>
  <si>
    <t>Myakka City, FL</t>
  </si>
  <si>
    <t>https://asmi.az.gov/sites/default/files/2026-04/2026%205.21%20PUBLIC%20MEETING%20AGENDA%20National%20Gypsum.pdf</t>
  </si>
  <si>
    <t>Winkelman Quarry</t>
  </si>
  <si>
    <t>Winkelman, AZ</t>
  </si>
  <si>
    <t>Winston Salem Plant</t>
  </si>
  <si>
    <t>Winston Salem, NC</t>
  </si>
  <si>
    <t>AMG Advanced Metallurgical Group N.V. Completes Feasibility Study To Expand Spent Catalyst Processing Capacity - AMG Vanadium</t>
  </si>
  <si>
    <t>Zanesville Plant</t>
  </si>
  <si>
    <t>Zanesville, OH</t>
  </si>
  <si>
    <t>metric tons</t>
  </si>
  <si>
    <t>Fields</t>
  </si>
  <si>
    <t>Explanation</t>
  </si>
  <si>
    <t>Abbreviation</t>
  </si>
  <si>
    <t>Symbol</t>
  </si>
  <si>
    <t>ounces</t>
  </si>
  <si>
    <t>Ag</t>
  </si>
  <si>
    <t>Al</t>
  </si>
  <si>
    <t>carats</t>
  </si>
  <si>
    <t>As</t>
  </si>
  <si>
    <t>Year of publication</t>
  </si>
  <si>
    <t>Kilograms</t>
  </si>
  <si>
    <t>Au</t>
  </si>
  <si>
    <t>Specific year that data was input into database</t>
  </si>
  <si>
    <t>Thousand metric tons</t>
  </si>
  <si>
    <t>B</t>
  </si>
  <si>
    <t>Name of mine, quarry, or plant</t>
  </si>
  <si>
    <t>million mt</t>
  </si>
  <si>
    <t>Million metric tons</t>
  </si>
  <si>
    <t>Be</t>
  </si>
  <si>
    <t>Description of facility, either "Mines or Quarries" or "Mineral Processing Plant"</t>
  </si>
  <si>
    <t>Not Available</t>
  </si>
  <si>
    <t>Bi</t>
  </si>
  <si>
    <t>&lt;null&gt;</t>
  </si>
  <si>
    <t>No notes</t>
  </si>
  <si>
    <t>Br</t>
  </si>
  <si>
    <r>
      <t xml:space="preserve">Level 2 </t>
    </r>
    <r>
      <rPr>
        <sz val="12"/>
        <rFont val="Aptos Narrow"/>
        <family val="2"/>
        <scheme val="minor"/>
      </rPr>
      <t>(Commodity)</t>
    </r>
  </si>
  <si>
    <t>Commodity name</t>
  </si>
  <si>
    <t>C</t>
  </si>
  <si>
    <t>Capacity is for multiple facilities</t>
  </si>
  <si>
    <t>Cd</t>
  </si>
  <si>
    <r>
      <t xml:space="preserve">Level 3 </t>
    </r>
    <r>
      <rPr>
        <sz val="12"/>
        <rFont val="Aptos Narrow"/>
        <family val="2"/>
        <scheme val="minor"/>
      </rPr>
      <t>(Type)</t>
    </r>
  </si>
  <si>
    <t>Feature type</t>
  </si>
  <si>
    <t>Estimate</t>
  </si>
  <si>
    <t>Co</t>
  </si>
  <si>
    <t>Production phase per commodity</t>
  </si>
  <si>
    <t>Cr</t>
  </si>
  <si>
    <t>Form of the product</t>
  </si>
  <si>
    <t>Cu</t>
  </si>
  <si>
    <t>Fe</t>
  </si>
  <si>
    <t>Iron</t>
  </si>
  <si>
    <t>Ga</t>
  </si>
  <si>
    <t>Ge</t>
  </si>
  <si>
    <t>Hf</t>
  </si>
  <si>
    <t>Y' or 'N' if a single facility has multple rows due to producing multiple commodities. Each of these rows (for each commodity produced by the facility) should have the same FeatureUID (for the facility producing multiple commodities)</t>
  </si>
  <si>
    <t>In</t>
  </si>
  <si>
    <t>Y' or 'N' if a single facility has multple rows due to producing multiple products. Each of these rows (for each product produced by the facility) should have the same FeatureUID (for the facility producing multiple product)</t>
  </si>
  <si>
    <t>Ir</t>
  </si>
  <si>
    <t>Numerical capacity value</t>
  </si>
  <si>
    <t>K2O</t>
  </si>
  <si>
    <t>Potassium oxide</t>
  </si>
  <si>
    <t>Capacity unit (abbreviated)</t>
  </si>
  <si>
    <t>Li</t>
  </si>
  <si>
    <t>Facility note (this column can contain multiple letters. Separate with a comma (ex: C, E, G)</t>
  </si>
  <si>
    <t>Mg</t>
  </si>
  <si>
    <t>Facilities that share capacity (List FeatureUID for all facilities that share the reported capacity)</t>
  </si>
  <si>
    <t>Mn</t>
  </si>
  <si>
    <t>Mo</t>
  </si>
  <si>
    <t>Nb</t>
  </si>
  <si>
    <t>Ni</t>
  </si>
  <si>
    <t>P</t>
  </si>
  <si>
    <t>Phosphorus</t>
  </si>
  <si>
    <t>Pb</t>
  </si>
  <si>
    <t>Pd</t>
  </si>
  <si>
    <t>The largest subnational administrative unit of a country (Province or State)</t>
  </si>
  <si>
    <t>Pt</t>
  </si>
  <si>
    <t>Name of first-level administrative division.</t>
  </si>
  <si>
    <t>Re</t>
  </si>
  <si>
    <t>Major operating company of feature</t>
  </si>
  <si>
    <t>Rh</t>
  </si>
  <si>
    <t xml:space="preserve">Major Equity owner 1 (descending order of Equity percentage) </t>
  </si>
  <si>
    <t>Ru</t>
  </si>
  <si>
    <t>Equity percentage</t>
  </si>
  <si>
    <t>Sb</t>
  </si>
  <si>
    <t>Major Equity owner 2</t>
  </si>
  <si>
    <t>Sc</t>
  </si>
  <si>
    <t>Se</t>
  </si>
  <si>
    <t>Major Equity owner 3</t>
  </si>
  <si>
    <t>Si</t>
  </si>
  <si>
    <t>Sn</t>
  </si>
  <si>
    <t>Major Equity owner 4</t>
  </si>
  <si>
    <t>Ta</t>
  </si>
  <si>
    <t>Te</t>
  </si>
  <si>
    <t>Major Equity owner 5</t>
  </si>
  <si>
    <t>Ti</t>
  </si>
  <si>
    <t>TiO2</t>
  </si>
  <si>
    <t>Titanium dioxide, rutile</t>
  </si>
  <si>
    <t>Major Equity owner 6</t>
  </si>
  <si>
    <t>U</t>
  </si>
  <si>
    <t>U3O8</t>
  </si>
  <si>
    <t>Triuranium octoxide, 'yellowcake'</t>
  </si>
  <si>
    <t>Major Equity owner 7</t>
  </si>
  <si>
    <t>V</t>
  </si>
  <si>
    <t>V2O5</t>
  </si>
  <si>
    <t>Vanadium oxide, shcherbinaite</t>
  </si>
  <si>
    <t>Major Equity owner 8</t>
  </si>
  <si>
    <t>Zn</t>
  </si>
  <si>
    <t>Major Equity owner 9</t>
  </si>
  <si>
    <t>Zr</t>
  </si>
  <si>
    <t>Link for where information can be found.</t>
  </si>
  <si>
    <t>Second link for where information can be found.</t>
  </si>
  <si>
    <t>Brooksville Plant</t>
  </si>
  <si>
    <t>Brooksville Quarry</t>
  </si>
  <si>
    <t>Plant at Crookston</t>
  </si>
  <si>
    <t>American Crystal Sugar Company | Crookston, MN, Factory</t>
  </si>
  <si>
    <t>Indiana Harbor, IN</t>
  </si>
  <si>
    <t>ArcelorMittal</t>
  </si>
  <si>
    <t>Indiana Harbor :: Cleveland-Cliffs Inc. (CLF)</t>
  </si>
  <si>
    <t>Linwood Plant</t>
  </si>
  <si>
    <t>Linwood, IA</t>
  </si>
  <si>
    <t>Linwood Mining &amp; Minerals Corp.</t>
  </si>
  <si>
    <t>Home - Linwood Mining &amp; Minerals Corporation</t>
  </si>
  <si>
    <t>Roberta Plant</t>
  </si>
  <si>
    <t>Quicklime, high-calcium hydrated lime</t>
  </si>
  <si>
    <t>Colera, AL</t>
  </si>
  <si>
    <t>Summit Materials Inc</t>
  </si>
  <si>
    <t>Argos USA LLC</t>
  </si>
  <si>
    <t>Sebewaing Plant</t>
  </si>
  <si>
    <t>AML for Producers and Plants of Lime Used in Soil Stabilization or Aggregate Lime Treatment in HMA</t>
  </si>
  <si>
    <t>Stockton Plant</t>
  </si>
  <si>
    <t>Stockton, CA</t>
  </si>
  <si>
    <t>Quicklime, dolomitic quicklime, high-calcium hydrated lime</t>
  </si>
  <si>
    <t>Dolomitic quicklime</t>
  </si>
  <si>
    <t>High-calcium quicklime, high-calcium hydrated lime</t>
  </si>
  <si>
    <t>High-calcium quicklime</t>
  </si>
  <si>
    <t>High-calcium hydrated lime</t>
  </si>
  <si>
    <t>USA0001</t>
  </si>
  <si>
    <t>High-calcium quicklime, dolomitic quicklime, high-calcium hydrated lime</t>
  </si>
  <si>
    <t>idcplg</t>
  </si>
  <si>
    <t>USA0002</t>
  </si>
  <si>
    <t>USA0003</t>
  </si>
  <si>
    <t>USA0004</t>
  </si>
  <si>
    <t>USA0005</t>
  </si>
  <si>
    <t>USA0006</t>
  </si>
  <si>
    <t>USA0007</t>
  </si>
  <si>
    <t>Dolomitic hydrate, dolomitic quicklime</t>
  </si>
  <si>
    <t>USA0008</t>
  </si>
  <si>
    <t>USA0009</t>
  </si>
  <si>
    <t>USA0010</t>
  </si>
  <si>
    <t>USA0011</t>
  </si>
  <si>
    <t>USA0012</t>
  </si>
  <si>
    <t>USA0013</t>
  </si>
  <si>
    <t>USA0014</t>
  </si>
  <si>
    <t>USA0015</t>
  </si>
  <si>
    <t>USA0016</t>
  </si>
  <si>
    <t>USA0017</t>
  </si>
  <si>
    <t>USA0018</t>
  </si>
  <si>
    <t>USA0019</t>
  </si>
  <si>
    <t>USA0020</t>
  </si>
  <si>
    <t>USA0021</t>
  </si>
  <si>
    <t>USA0022</t>
  </si>
  <si>
    <t>USA0023</t>
  </si>
  <si>
    <t>USA0024</t>
  </si>
  <si>
    <t>USA0025</t>
  </si>
  <si>
    <t>USA0026</t>
  </si>
  <si>
    <t>USA0027</t>
  </si>
  <si>
    <t>USA0028</t>
  </si>
  <si>
    <t>USA0029</t>
  </si>
  <si>
    <t>USA0030</t>
  </si>
  <si>
    <t>USA0031</t>
  </si>
  <si>
    <t>USA0032</t>
  </si>
  <si>
    <t>USA0033</t>
  </si>
  <si>
    <t>Aurora Refinery</t>
  </si>
  <si>
    <t>USA0034</t>
  </si>
  <si>
    <t>USA0035</t>
  </si>
  <si>
    <t>USA0036</t>
  </si>
  <si>
    <t>USA0037</t>
  </si>
  <si>
    <t>USA0038</t>
  </si>
  <si>
    <t>USA0039</t>
  </si>
  <si>
    <t>USA0040</t>
  </si>
  <si>
    <t>USA0041</t>
  </si>
  <si>
    <t>USA0042</t>
  </si>
  <si>
    <t>USA0043</t>
  </si>
  <si>
    <t>USA0044</t>
  </si>
  <si>
    <t>USA0045</t>
  </si>
  <si>
    <t>USA0046</t>
  </si>
  <si>
    <t>USA0047</t>
  </si>
  <si>
    <t>USA0048</t>
  </si>
  <si>
    <t>USA0049</t>
  </si>
  <si>
    <t>USA0050</t>
  </si>
  <si>
    <t>USA0051</t>
  </si>
  <si>
    <t>USA0052</t>
  </si>
  <si>
    <t>USA0053</t>
  </si>
  <si>
    <t>USA0054</t>
  </si>
  <si>
    <t>USA0055</t>
  </si>
  <si>
    <t>USA0056</t>
  </si>
  <si>
    <t>USA0057</t>
  </si>
  <si>
    <t>USA0058</t>
  </si>
  <si>
    <t>USA0059</t>
  </si>
  <si>
    <t>USA0060</t>
  </si>
  <si>
    <t>USA0061</t>
  </si>
  <si>
    <t>USA0062</t>
  </si>
  <si>
    <t>USA0063</t>
  </si>
  <si>
    <t>USA0064</t>
  </si>
  <si>
    <t>USA0065</t>
  </si>
  <si>
    <t>USA0066</t>
  </si>
  <si>
    <t>USA0067</t>
  </si>
  <si>
    <t>USA0068</t>
  </si>
  <si>
    <t>USA0069</t>
  </si>
  <si>
    <t>USA0070</t>
  </si>
  <si>
    <t>USA0071</t>
  </si>
  <si>
    <t>USA0072</t>
  </si>
  <si>
    <t>USA0073</t>
  </si>
  <si>
    <t>USA0074</t>
  </si>
  <si>
    <t>USA0075</t>
  </si>
  <si>
    <t>USA0076</t>
  </si>
  <si>
    <t>USA0077</t>
  </si>
  <si>
    <t>USA0078</t>
  </si>
  <si>
    <t>USA0079</t>
  </si>
  <si>
    <t>USA0080</t>
  </si>
  <si>
    <t>USA0081</t>
  </si>
  <si>
    <t>USA0082</t>
  </si>
  <si>
    <t>USA0083</t>
  </si>
  <si>
    <t>Bullfrog Mine</t>
  </si>
  <si>
    <t>High-calcium quicklime, high-calcium hydrated lime, dolomitic quicklime</t>
  </si>
  <si>
    <t>High-calcium quicklime, dolomitic quicklime</t>
  </si>
  <si>
    <t>Dolomitic quicklime, refractory, dead-burned dolomite</t>
  </si>
  <si>
    <t>Dolomitic quicklime, dolomitic hydrate</t>
  </si>
  <si>
    <t>Refractory, dead-burned dolomite</t>
  </si>
  <si>
    <t>High-calcium quicklime, high-calcium hydrated lime, dolomitic hydrate</t>
  </si>
  <si>
    <t>Albany Facility</t>
  </si>
  <si>
    <t>Silver Peak Mine</t>
  </si>
  <si>
    <t>Silver Peak Plant</t>
  </si>
  <si>
    <t>Detroit FeTi Plant</t>
  </si>
  <si>
    <t>Henderson Ti Plant</t>
  </si>
  <si>
    <t>Houston Barite Plant</t>
  </si>
  <si>
    <t>Houston Ti Plant</t>
  </si>
  <si>
    <t>Houston Smelter</t>
  </si>
  <si>
    <t>Houston Refinery</t>
  </si>
  <si>
    <t>Lancaster Smelter</t>
  </si>
  <si>
    <t>Lisbon Valley Mine</t>
  </si>
  <si>
    <t>Lisbon Valley Recovery Plant</t>
  </si>
  <si>
    <t>Mako Mining Merrill-Crowe plant</t>
  </si>
  <si>
    <t>Moab Mine</t>
  </si>
  <si>
    <t>Railroad-Pinion Project Processing Facility</t>
  </si>
  <si>
    <t>Railroad-Pinion Project Mine</t>
  </si>
  <si>
    <t>Robinson Mine</t>
  </si>
  <si>
    <t>Safford &amp; Lone Star Mines</t>
  </si>
  <si>
    <t>Safford Plant</t>
  </si>
  <si>
    <t>Soledad Mountain Mine</t>
  </si>
  <si>
    <t>St. Louis HF plant</t>
  </si>
  <si>
    <t>Thacker Pass Mine</t>
  </si>
  <si>
    <t>Thacker Pass Recovery Plant</t>
  </si>
  <si>
    <t>Tintic Mine</t>
  </si>
  <si>
    <t>Kiewit Heap Leach Recovery Facility</t>
  </si>
  <si>
    <t>Environmental Notification Bulletin Board, Kiewit Mine</t>
  </si>
  <si>
    <t>IperionX Titanium Production Facility</t>
  </si>
  <si>
    <t>Westend Plant</t>
  </si>
  <si>
    <t>Shafter Recovery Plant</t>
  </si>
  <si>
    <t>Shafter Mine</t>
  </si>
  <si>
    <t>Massena West Smelter</t>
  </si>
  <si>
    <t>Rio Tinto achieves battery grade lithium production at Boron plant | Global</t>
  </si>
  <si>
    <t>USA0084</t>
  </si>
  <si>
    <t>USA0085</t>
  </si>
  <si>
    <t>USA0086</t>
  </si>
  <si>
    <t>USA0087</t>
  </si>
  <si>
    <t>USA0088</t>
  </si>
  <si>
    <t>USA0089</t>
  </si>
  <si>
    <t>USA0090</t>
  </si>
  <si>
    <t>USA0091</t>
  </si>
  <si>
    <t>USA0092</t>
  </si>
  <si>
    <t>USA0093</t>
  </si>
  <si>
    <t>USA0094</t>
  </si>
  <si>
    <t>USA0095</t>
  </si>
  <si>
    <t>USA0096</t>
  </si>
  <si>
    <t>USA0097</t>
  </si>
  <si>
    <t>USA0098</t>
  </si>
  <si>
    <t>USA0099</t>
  </si>
  <si>
    <t>USA0100</t>
  </si>
  <si>
    <t>USA0101</t>
  </si>
  <si>
    <t>USA0102</t>
  </si>
  <si>
    <t>USA0103</t>
  </si>
  <si>
    <t>USA0104</t>
  </si>
  <si>
    <t>USA0105</t>
  </si>
  <si>
    <t>USA0106</t>
  </si>
  <si>
    <t>USA0107</t>
  </si>
  <si>
    <t>USA0108</t>
  </si>
  <si>
    <t>USA0109</t>
  </si>
  <si>
    <t>USA0110</t>
  </si>
  <si>
    <t>USA0111</t>
  </si>
  <si>
    <t>USA0112</t>
  </si>
  <si>
    <t>USA0113</t>
  </si>
  <si>
    <t>USA0114</t>
  </si>
  <si>
    <t>USA0115</t>
  </si>
  <si>
    <t>USA0116</t>
  </si>
  <si>
    <t>USA0117</t>
  </si>
  <si>
    <t>USA0118</t>
  </si>
  <si>
    <t>USA0119</t>
  </si>
  <si>
    <t>USA0120</t>
  </si>
  <si>
    <t>USA0121</t>
  </si>
  <si>
    <t>USA0122</t>
  </si>
  <si>
    <t>USA0123</t>
  </si>
  <si>
    <t>USA0124</t>
  </si>
  <si>
    <t>USA0125</t>
  </si>
  <si>
    <t>USA0126</t>
  </si>
  <si>
    <t>USA0127</t>
  </si>
  <si>
    <t>USA0128</t>
  </si>
  <si>
    <t>USA0129</t>
  </si>
  <si>
    <t>USA0130</t>
  </si>
  <si>
    <t>USA0131</t>
  </si>
  <si>
    <t>USA0132</t>
  </si>
  <si>
    <t>USA0133</t>
  </si>
  <si>
    <t>USA0134</t>
  </si>
  <si>
    <t>USA0135</t>
  </si>
  <si>
    <t>USA0136</t>
  </si>
  <si>
    <t>USA0137</t>
  </si>
  <si>
    <t>USA0138</t>
  </si>
  <si>
    <t>USA0139</t>
  </si>
  <si>
    <t>USA0140</t>
  </si>
  <si>
    <t>USA0141</t>
  </si>
  <si>
    <t>USA0142</t>
  </si>
  <si>
    <t>USA0143</t>
  </si>
  <si>
    <t>USA0144</t>
  </si>
  <si>
    <t>USA0145</t>
  </si>
  <si>
    <t>USA0146</t>
  </si>
  <si>
    <t>USA0147</t>
  </si>
  <si>
    <t>USA0148</t>
  </si>
  <si>
    <t>USA0149</t>
  </si>
  <si>
    <t>USA0150</t>
  </si>
  <si>
    <t>USA0151</t>
  </si>
  <si>
    <t>USA0152</t>
  </si>
  <si>
    <t>USA0153</t>
  </si>
  <si>
    <t>USA0154</t>
  </si>
  <si>
    <t>USA0155</t>
  </si>
  <si>
    <t>USA0156</t>
  </si>
  <si>
    <t>USA0157</t>
  </si>
  <si>
    <t>USA0158</t>
  </si>
  <si>
    <t>USA0159</t>
  </si>
  <si>
    <t>USA0160</t>
  </si>
  <si>
    <t>USA0161</t>
  </si>
  <si>
    <t>USA0162</t>
  </si>
  <si>
    <t>USA0163</t>
  </si>
  <si>
    <t>USA0164</t>
  </si>
  <si>
    <t>USA0165</t>
  </si>
  <si>
    <t>USA0166</t>
  </si>
  <si>
    <t>USA0167</t>
  </si>
  <si>
    <t>USA0168</t>
  </si>
  <si>
    <t>USA0169</t>
  </si>
  <si>
    <t>USA0170</t>
  </si>
  <si>
    <t>USA0171</t>
  </si>
  <si>
    <t>USA0172</t>
  </si>
  <si>
    <t>USA0173</t>
  </si>
  <si>
    <t>USA0174</t>
  </si>
  <si>
    <t>USA0175</t>
  </si>
  <si>
    <t>USA0176</t>
  </si>
  <si>
    <t>USA0177</t>
  </si>
  <si>
    <t>USA0178</t>
  </si>
  <si>
    <t>USA0179</t>
  </si>
  <si>
    <t>USA0180</t>
  </si>
  <si>
    <t>USA0181</t>
  </si>
  <si>
    <t>USA0182</t>
  </si>
  <si>
    <t>USA0183</t>
  </si>
  <si>
    <t>USA0184</t>
  </si>
  <si>
    <t>USA0185</t>
  </si>
  <si>
    <t>USA0186</t>
  </si>
  <si>
    <t>USA0187</t>
  </si>
  <si>
    <t>USA0188</t>
  </si>
  <si>
    <t>USA0189</t>
  </si>
  <si>
    <t>USA0190</t>
  </si>
  <si>
    <t>USA0191</t>
  </si>
  <si>
    <t>USA0192</t>
  </si>
  <si>
    <t>USA0193</t>
  </si>
  <si>
    <t>USA0194</t>
  </si>
  <si>
    <t>USA0195</t>
  </si>
  <si>
    <t>USA0196</t>
  </si>
  <si>
    <t>USA0197</t>
  </si>
  <si>
    <t>USA0198</t>
  </si>
  <si>
    <t>USA0199</t>
  </si>
  <si>
    <t>USA0200</t>
  </si>
  <si>
    <t>USA0201</t>
  </si>
  <si>
    <t>USA0202</t>
  </si>
  <si>
    <t>Delta Iron Oxide Plant</t>
  </si>
  <si>
    <t>USA0203</t>
  </si>
  <si>
    <t>USA0204</t>
  </si>
  <si>
    <t>USA0205</t>
  </si>
  <si>
    <t>USA0206</t>
  </si>
  <si>
    <t>USA0207</t>
  </si>
  <si>
    <t>USA0208</t>
  </si>
  <si>
    <t>USA0209</t>
  </si>
  <si>
    <t>USA0210</t>
  </si>
  <si>
    <t>USA0211</t>
  </si>
  <si>
    <t>USA0212</t>
  </si>
  <si>
    <t>USA0213</t>
  </si>
  <si>
    <t>USA0214</t>
  </si>
  <si>
    <t>USA0215</t>
  </si>
  <si>
    <t>USA0216</t>
  </si>
  <si>
    <t>USA0217</t>
  </si>
  <si>
    <t>USA0218</t>
  </si>
  <si>
    <t>USA0219</t>
  </si>
  <si>
    <t>USA0220</t>
  </si>
  <si>
    <t>USA0221</t>
  </si>
  <si>
    <t>USA0222</t>
  </si>
  <si>
    <t>USA0223</t>
  </si>
  <si>
    <t>USA0224</t>
  </si>
  <si>
    <t>USA0225</t>
  </si>
  <si>
    <t>USA0226</t>
  </si>
  <si>
    <t>USA0227</t>
  </si>
  <si>
    <t>USA0228</t>
  </si>
  <si>
    <t>USA0229</t>
  </si>
  <si>
    <t>USA0230</t>
  </si>
  <si>
    <t>USA0231</t>
  </si>
  <si>
    <t>USA0232</t>
  </si>
  <si>
    <t>USA0233</t>
  </si>
  <si>
    <t>USA0234</t>
  </si>
  <si>
    <t>USA0235</t>
  </si>
  <si>
    <t>USA0236</t>
  </si>
  <si>
    <t>USA0237</t>
  </si>
  <si>
    <t>Empire Gypsum Mine</t>
  </si>
  <si>
    <t>Empire State Mine</t>
  </si>
  <si>
    <t>USA0238</t>
  </si>
  <si>
    <t>USA0239</t>
  </si>
  <si>
    <t>USA0240</t>
  </si>
  <si>
    <t>USA0241</t>
  </si>
  <si>
    <t>USA0242</t>
  </si>
  <si>
    <t>USA0243</t>
  </si>
  <si>
    <t>USA0244</t>
  </si>
  <si>
    <t>USA0245</t>
  </si>
  <si>
    <t>USA0246</t>
  </si>
  <si>
    <t>USA0247</t>
  </si>
  <si>
    <t>USA0248</t>
  </si>
  <si>
    <t>USA0249</t>
  </si>
  <si>
    <t>USA0250</t>
  </si>
  <si>
    <t>USA0251</t>
  </si>
  <si>
    <t>USA0252</t>
  </si>
  <si>
    <t>USA0253</t>
  </si>
  <si>
    <t>USA0254</t>
  </si>
  <si>
    <t>USA0255</t>
  </si>
  <si>
    <t>USA0256</t>
  </si>
  <si>
    <t>USA0257</t>
  </si>
  <si>
    <t>USA0258</t>
  </si>
  <si>
    <t>USA0259</t>
  </si>
  <si>
    <t>USA0260</t>
  </si>
  <si>
    <t>USA0261</t>
  </si>
  <si>
    <t>USA0262</t>
  </si>
  <si>
    <t>USA0263</t>
  </si>
  <si>
    <t>USA0264</t>
  </si>
  <si>
    <t>USA0265</t>
  </si>
  <si>
    <t>Kennecott Refinery</t>
  </si>
  <si>
    <t>USA0266</t>
  </si>
  <si>
    <t>USA0267</t>
  </si>
  <si>
    <t>USA0268</t>
  </si>
  <si>
    <t>USA0269</t>
  </si>
  <si>
    <t>USA0270</t>
  </si>
  <si>
    <t>USA0271</t>
  </si>
  <si>
    <t>USA0272</t>
  </si>
  <si>
    <t>USA0273</t>
  </si>
  <si>
    <t>USA0274</t>
  </si>
  <si>
    <t>USA0275</t>
  </si>
  <si>
    <t>USA0276</t>
  </si>
  <si>
    <t>USA0277</t>
  </si>
  <si>
    <t>USA0278</t>
  </si>
  <si>
    <t>USA0279</t>
  </si>
  <si>
    <t>USA0280</t>
  </si>
  <si>
    <t>USA0281</t>
  </si>
  <si>
    <t>USA0282</t>
  </si>
  <si>
    <t>USA0283</t>
  </si>
  <si>
    <t>USA0284</t>
  </si>
  <si>
    <t>USA0285</t>
  </si>
  <si>
    <t>USA0286</t>
  </si>
  <si>
    <t>USA0287</t>
  </si>
  <si>
    <t>Granite Creek Open Pit Mine</t>
  </si>
  <si>
    <t>Granite Creek Underground Mine</t>
  </si>
  <si>
    <t>USA0288</t>
  </si>
  <si>
    <t>USA0289</t>
  </si>
  <si>
    <t>USA0290</t>
  </si>
  <si>
    <t>USA0291</t>
  </si>
  <si>
    <t>USA0292</t>
  </si>
  <si>
    <t>USA0294</t>
  </si>
  <si>
    <t>USA0295</t>
  </si>
  <si>
    <t>USA0296</t>
  </si>
  <si>
    <t>Great Salt Lake Plant</t>
  </si>
  <si>
    <t>USA0297</t>
  </si>
  <si>
    <t>USA0298</t>
  </si>
  <si>
    <t>USA0299</t>
  </si>
  <si>
    <t>USA0300</t>
  </si>
  <si>
    <t>USA0301</t>
  </si>
  <si>
    <t>USA0302</t>
  </si>
  <si>
    <t>USA0303</t>
  </si>
  <si>
    <t>Hamilton Plant</t>
  </si>
  <si>
    <t>USA0304</t>
  </si>
  <si>
    <t>USA0305</t>
  </si>
  <si>
    <t>USA0306</t>
  </si>
  <si>
    <t>USA0307</t>
  </si>
  <si>
    <t>USA0308</t>
  </si>
  <si>
    <t>USA0309</t>
  </si>
  <si>
    <t>USA0310</t>
  </si>
  <si>
    <t>USA0311</t>
  </si>
  <si>
    <t>USA0312</t>
  </si>
  <si>
    <t>USA0313</t>
  </si>
  <si>
    <t>USA0314</t>
  </si>
  <si>
    <t>USA0315</t>
  </si>
  <si>
    <t>USA0316</t>
  </si>
  <si>
    <t>USA0317</t>
  </si>
  <si>
    <t>USA0318</t>
  </si>
  <si>
    <t>USA0319</t>
  </si>
  <si>
    <t>USA0320</t>
  </si>
  <si>
    <t>USA0321</t>
  </si>
  <si>
    <t>USA0322</t>
  </si>
  <si>
    <t>USA0323</t>
  </si>
  <si>
    <t>USA0324</t>
  </si>
  <si>
    <t>USA0325</t>
  </si>
  <si>
    <t>USA0326</t>
  </si>
  <si>
    <t>USA0327</t>
  </si>
  <si>
    <t>USA0328</t>
  </si>
  <si>
    <t>USA0329</t>
  </si>
  <si>
    <t>USA0330</t>
  </si>
  <si>
    <t>USA0331</t>
  </si>
  <si>
    <t>USA0332</t>
  </si>
  <si>
    <t>USA0333</t>
  </si>
  <si>
    <t>USA0334</t>
  </si>
  <si>
    <t>USA0335</t>
  </si>
  <si>
    <t>USA0336</t>
  </si>
  <si>
    <t>USA0337</t>
  </si>
  <si>
    <t>USA0338</t>
  </si>
  <si>
    <t>USA0339</t>
  </si>
  <si>
    <t>USA0340</t>
  </si>
  <si>
    <t>USA0341</t>
  </si>
  <si>
    <t>USA0342</t>
  </si>
  <si>
    <t>USA0343</t>
  </si>
  <si>
    <t>USA0344</t>
  </si>
  <si>
    <t>USA0345</t>
  </si>
  <si>
    <t>Indiana Harbor Coke Plant</t>
  </si>
  <si>
    <t>USA0346</t>
  </si>
  <si>
    <t>USA0347</t>
  </si>
  <si>
    <t>USA0348</t>
  </si>
  <si>
    <t>USA0349</t>
  </si>
  <si>
    <t>USA0350</t>
  </si>
  <si>
    <t>USA0351</t>
  </si>
  <si>
    <t>USA0352</t>
  </si>
  <si>
    <t>USA0353</t>
  </si>
  <si>
    <t>USA0354</t>
  </si>
  <si>
    <t>USA0355</t>
  </si>
  <si>
    <t>USA0356</t>
  </si>
  <si>
    <t>USA0357</t>
  </si>
  <si>
    <t>USA0358</t>
  </si>
  <si>
    <t>USA0359</t>
  </si>
  <si>
    <t>USA0360</t>
  </si>
  <si>
    <t>USA0361</t>
  </si>
  <si>
    <t>USA0362</t>
  </si>
  <si>
    <t>USA0363</t>
  </si>
  <si>
    <t>USA0364</t>
  </si>
  <si>
    <t>USA0365</t>
  </si>
  <si>
    <t>USA0366</t>
  </si>
  <si>
    <t>USA0367</t>
  </si>
  <si>
    <t>USA0368</t>
  </si>
  <si>
    <t>USA0369</t>
  </si>
  <si>
    <t>USA0370</t>
  </si>
  <si>
    <t>USA0371</t>
  </si>
  <si>
    <t>USA0372</t>
  </si>
  <si>
    <t>USA0373</t>
  </si>
  <si>
    <t>USA0374</t>
  </si>
  <si>
    <t>USA0375</t>
  </si>
  <si>
    <t>USA0376</t>
  </si>
  <si>
    <t>USA0377</t>
  </si>
  <si>
    <t>USA0378</t>
  </si>
  <si>
    <t>USA0379</t>
  </si>
  <si>
    <t>USA0380</t>
  </si>
  <si>
    <t>USA0381</t>
  </si>
  <si>
    <t>USA0382</t>
  </si>
  <si>
    <t>USA0383</t>
  </si>
  <si>
    <t>USA0384</t>
  </si>
  <si>
    <t>USA0385</t>
  </si>
  <si>
    <t>USA0386</t>
  </si>
  <si>
    <t>USA0387</t>
  </si>
  <si>
    <t>USA0388</t>
  </si>
  <si>
    <t>Thompson Creek Mine</t>
  </si>
  <si>
    <t>Clayton, ID</t>
  </si>
  <si>
    <t>Centerra Gold Announces Thompson Creek Feasibility Study</t>
  </si>
  <si>
    <t>USA0389</t>
  </si>
  <si>
    <t>USA0390</t>
  </si>
  <si>
    <t>USA0391</t>
  </si>
  <si>
    <t>USA0392</t>
  </si>
  <si>
    <t>USA0393</t>
  </si>
  <si>
    <t>ICL Lawrence Plant</t>
  </si>
  <si>
    <t>USA0394</t>
  </si>
  <si>
    <t>USA0395</t>
  </si>
  <si>
    <t>USA0396</t>
  </si>
  <si>
    <t>USA0397</t>
  </si>
  <si>
    <t>USA0398</t>
  </si>
  <si>
    <t>USA0399</t>
  </si>
  <si>
    <t>USA0400</t>
  </si>
  <si>
    <t>USA0401</t>
  </si>
  <si>
    <t>USA0402</t>
  </si>
  <si>
    <t>USA0403</t>
  </si>
  <si>
    <t>USA0404</t>
  </si>
  <si>
    <t>USA0405</t>
  </si>
  <si>
    <t>USA0406</t>
  </si>
  <si>
    <t>USA0407</t>
  </si>
  <si>
    <t>USA0408</t>
  </si>
  <si>
    <t>USA0409</t>
  </si>
  <si>
    <t>USA0410</t>
  </si>
  <si>
    <t>USA0411</t>
  </si>
  <si>
    <t>USA0412</t>
  </si>
  <si>
    <t>USA0413</t>
  </si>
  <si>
    <t>USA0414</t>
  </si>
  <si>
    <t>USA0415</t>
  </si>
  <si>
    <t>USA0416</t>
  </si>
  <si>
    <t>USA0417</t>
  </si>
  <si>
    <t>USA0418</t>
  </si>
  <si>
    <t>USA0419</t>
  </si>
  <si>
    <t>USA0420</t>
  </si>
  <si>
    <t>USA0421</t>
  </si>
  <si>
    <t>USA0422</t>
  </si>
  <si>
    <t>USA0423</t>
  </si>
  <si>
    <t>USA0424</t>
  </si>
  <si>
    <t>USA0425</t>
  </si>
  <si>
    <t>USA0426</t>
  </si>
  <si>
    <t>USA0427</t>
  </si>
  <si>
    <t>USA0428</t>
  </si>
  <si>
    <t>USA0429</t>
  </si>
  <si>
    <t>USA0430</t>
  </si>
  <si>
    <t>USA0431</t>
  </si>
  <si>
    <t>USA0432</t>
  </si>
  <si>
    <t>USA0433</t>
  </si>
  <si>
    <t>USA0434</t>
  </si>
  <si>
    <t>USA0435</t>
  </si>
  <si>
    <t>USA0436</t>
  </si>
  <si>
    <t>USA0437</t>
  </si>
  <si>
    <t>USA0438</t>
  </si>
  <si>
    <t>USA0439</t>
  </si>
  <si>
    <t>USA0440</t>
  </si>
  <si>
    <t>USA0441</t>
  </si>
  <si>
    <t>USA0442</t>
  </si>
  <si>
    <t>USA0443</t>
  </si>
  <si>
    <t>USA0444</t>
  </si>
  <si>
    <t>USA0445</t>
  </si>
  <si>
    <t>USA0446</t>
  </si>
  <si>
    <t>USA0447</t>
  </si>
  <si>
    <t>USA0448</t>
  </si>
  <si>
    <t>USA0449</t>
  </si>
  <si>
    <t>USA0450</t>
  </si>
  <si>
    <t>USA0451</t>
  </si>
  <si>
    <t>USA0452</t>
  </si>
  <si>
    <t>USA0453</t>
  </si>
  <si>
    <t>USA0454</t>
  </si>
  <si>
    <t>USA0455</t>
  </si>
  <si>
    <t>USA0456</t>
  </si>
  <si>
    <t>USA0457</t>
  </si>
  <si>
    <t>USA0458</t>
  </si>
  <si>
    <t>USA0459</t>
  </si>
  <si>
    <t>USA0460</t>
  </si>
  <si>
    <t>USA0461</t>
  </si>
  <si>
    <t>USA0462</t>
  </si>
  <si>
    <t>USA0463</t>
  </si>
  <si>
    <t>USA0464</t>
  </si>
  <si>
    <t>USA0465</t>
  </si>
  <si>
    <t>USA0466</t>
  </si>
  <si>
    <t>USA0467</t>
  </si>
  <si>
    <t>USA0468</t>
  </si>
  <si>
    <t>USA0469</t>
  </si>
  <si>
    <t>USA0470</t>
  </si>
  <si>
    <t>USA0471</t>
  </si>
  <si>
    <t>USA0472</t>
  </si>
  <si>
    <t>USA0473</t>
  </si>
  <si>
    <t>USA0474</t>
  </si>
  <si>
    <t>USA0475</t>
  </si>
  <si>
    <t>USA0476</t>
  </si>
  <si>
    <t>USA0477</t>
  </si>
  <si>
    <t>USA0478</t>
  </si>
  <si>
    <t>USA0479</t>
  </si>
  <si>
    <t>USA0480</t>
  </si>
  <si>
    <t>USA0481</t>
  </si>
  <si>
    <t>USA0482</t>
  </si>
  <si>
    <t>USA0483</t>
  </si>
  <si>
    <t>USA0484</t>
  </si>
  <si>
    <t>USA0485</t>
  </si>
  <si>
    <t>USA0486</t>
  </si>
  <si>
    <t>USA0487</t>
  </si>
  <si>
    <t>USA0488</t>
  </si>
  <si>
    <t>USA0489</t>
  </si>
  <si>
    <t>USA0490</t>
  </si>
  <si>
    <t>USA0491</t>
  </si>
  <si>
    <t>USA0492</t>
  </si>
  <si>
    <t>USA0493</t>
  </si>
  <si>
    <t>USA0494</t>
  </si>
  <si>
    <t>USA0495</t>
  </si>
  <si>
    <t>USA0496</t>
  </si>
  <si>
    <t>USA0497</t>
  </si>
  <si>
    <t>USA0498</t>
  </si>
  <si>
    <t>USA0499</t>
  </si>
  <si>
    <t>USA0500</t>
  </si>
  <si>
    <t>USA0501</t>
  </si>
  <si>
    <t>USA0502</t>
  </si>
  <si>
    <t>USA0503</t>
  </si>
  <si>
    <t>USA0504</t>
  </si>
  <si>
    <t>USA0505</t>
  </si>
  <si>
    <t>USA0506</t>
  </si>
  <si>
    <t>USA0507</t>
  </si>
  <si>
    <t>USA0508</t>
  </si>
  <si>
    <t>USA0509</t>
  </si>
  <si>
    <t>USA0510</t>
  </si>
  <si>
    <t>USA0511</t>
  </si>
  <si>
    <t>USA0512</t>
  </si>
  <si>
    <t>USA0513</t>
  </si>
  <si>
    <t>USA0514</t>
  </si>
  <si>
    <t>USA0515</t>
  </si>
  <si>
    <t>New Johnsonville Facility</t>
  </si>
  <si>
    <t>USA0516</t>
  </si>
  <si>
    <t>USA0517</t>
  </si>
  <si>
    <t>USA0518</t>
  </si>
  <si>
    <t>USA0519</t>
  </si>
  <si>
    <t>USA0520</t>
  </si>
  <si>
    <t>USA0521</t>
  </si>
  <si>
    <t>USA0522</t>
  </si>
  <si>
    <t>USA0523</t>
  </si>
  <si>
    <t>USA0524</t>
  </si>
  <si>
    <t>USA0525</t>
  </si>
  <si>
    <t>USA0526</t>
  </si>
  <si>
    <t>USA0527</t>
  </si>
  <si>
    <t>USA0528</t>
  </si>
  <si>
    <t>USA0529</t>
  </si>
  <si>
    <t>USA0530</t>
  </si>
  <si>
    <t>USA0531</t>
  </si>
  <si>
    <t>USA0532</t>
  </si>
  <si>
    <t>USA0533</t>
  </si>
  <si>
    <t>USA0534</t>
  </si>
  <si>
    <t>USA0535</t>
  </si>
  <si>
    <t>USA0536</t>
  </si>
  <si>
    <t>USA0537</t>
  </si>
  <si>
    <t>USA0538</t>
  </si>
  <si>
    <t>USA0539</t>
  </si>
  <si>
    <t>USA0540</t>
  </si>
  <si>
    <t>USA0541</t>
  </si>
  <si>
    <t>USA0542</t>
  </si>
  <si>
    <t>USA0543</t>
  </si>
  <si>
    <t>USA0544</t>
  </si>
  <si>
    <t>USA0545</t>
  </si>
  <si>
    <t>USA0546</t>
  </si>
  <si>
    <t>USA0547</t>
  </si>
  <si>
    <t>USA0548</t>
  </si>
  <si>
    <t>USA0549</t>
  </si>
  <si>
    <t>USA0550</t>
  </si>
  <si>
    <t>USA0551</t>
  </si>
  <si>
    <t>USA0552</t>
  </si>
  <si>
    <t>USA0553</t>
  </si>
  <si>
    <t>USA0554</t>
  </si>
  <si>
    <t>USA0555</t>
  </si>
  <si>
    <t>USA0556</t>
  </si>
  <si>
    <t>USA0557</t>
  </si>
  <si>
    <t>USA0558</t>
  </si>
  <si>
    <t>USA0559</t>
  </si>
  <si>
    <t>USA0560</t>
  </si>
  <si>
    <t>USA0561</t>
  </si>
  <si>
    <t>USA0562</t>
  </si>
  <si>
    <t>USA0563</t>
  </si>
  <si>
    <t>USA0564</t>
  </si>
  <si>
    <t>USA0565</t>
  </si>
  <si>
    <t>USA0566</t>
  </si>
  <si>
    <t>USA0567</t>
  </si>
  <si>
    <t>USA0568</t>
  </si>
  <si>
    <t>USA0569</t>
  </si>
  <si>
    <t>USA0570</t>
  </si>
  <si>
    <t>USA0571</t>
  </si>
  <si>
    <t>USA0572</t>
  </si>
  <si>
    <t>USA0573</t>
  </si>
  <si>
    <t>USA0574</t>
  </si>
  <si>
    <t>USA0575</t>
  </si>
  <si>
    <t>USA0576</t>
  </si>
  <si>
    <t>USA0577</t>
  </si>
  <si>
    <t>USA0578</t>
  </si>
  <si>
    <t>USA0579</t>
  </si>
  <si>
    <t>USA0580</t>
  </si>
  <si>
    <t>USA0581</t>
  </si>
  <si>
    <t>USA0582</t>
  </si>
  <si>
    <t>USA0583</t>
  </si>
  <si>
    <t>USA0584</t>
  </si>
  <si>
    <t>USA0585</t>
  </si>
  <si>
    <t>USA0586</t>
  </si>
  <si>
    <t>USA0587</t>
  </si>
  <si>
    <t>USA0588</t>
  </si>
  <si>
    <t>USA0589</t>
  </si>
  <si>
    <t>USA0590</t>
  </si>
  <si>
    <t>USA0591</t>
  </si>
  <si>
    <t>USA0592</t>
  </si>
  <si>
    <t>USA0593</t>
  </si>
  <si>
    <t>USA0594</t>
  </si>
  <si>
    <t>USA0595</t>
  </si>
  <si>
    <t>USA0596</t>
  </si>
  <si>
    <t>USA0597</t>
  </si>
  <si>
    <t>USA0598</t>
  </si>
  <si>
    <t>USA0599</t>
  </si>
  <si>
    <t>USA0600</t>
  </si>
  <si>
    <t>USA0601</t>
  </si>
  <si>
    <t>USA0602</t>
  </si>
  <si>
    <t>USA0603</t>
  </si>
  <si>
    <t>USA0604</t>
  </si>
  <si>
    <t>USA0605</t>
  </si>
  <si>
    <t>USA0606</t>
  </si>
  <si>
    <t>USA0607</t>
  </si>
  <si>
    <t>USA0608</t>
  </si>
  <si>
    <t>USA0609</t>
  </si>
  <si>
    <t>USA0610</t>
  </si>
  <si>
    <t>USA0611</t>
  </si>
  <si>
    <t>USA0612</t>
  </si>
  <si>
    <t>USA0613</t>
  </si>
  <si>
    <t>USA0614</t>
  </si>
  <si>
    <t>USA0615</t>
  </si>
  <si>
    <t>USA0616</t>
  </si>
  <si>
    <t>USA0617</t>
  </si>
  <si>
    <t>USA0618</t>
  </si>
  <si>
    <t>USA0619</t>
  </si>
  <si>
    <t>USA0620</t>
  </si>
  <si>
    <t>USA0621</t>
  </si>
  <si>
    <t>USA0622</t>
  </si>
  <si>
    <t>USA0623</t>
  </si>
  <si>
    <t>USA0624</t>
  </si>
  <si>
    <t>USA0625</t>
  </si>
  <si>
    <t>USA0626</t>
  </si>
  <si>
    <t>USA0627</t>
  </si>
  <si>
    <t>USA0628</t>
  </si>
  <si>
    <t>USA0629</t>
  </si>
  <si>
    <t>USA0630</t>
  </si>
  <si>
    <t>USA0631</t>
  </si>
  <si>
    <t>USA0632</t>
  </si>
  <si>
    <t>USA0633</t>
  </si>
  <si>
    <t>USA0634</t>
  </si>
  <si>
    <t>USA0635</t>
  </si>
  <si>
    <t>USA0636</t>
  </si>
  <si>
    <t>USA0637</t>
  </si>
  <si>
    <t>USA0638</t>
  </si>
  <si>
    <t>USA0639</t>
  </si>
  <si>
    <t>USA0640</t>
  </si>
  <si>
    <t>USA0641</t>
  </si>
  <si>
    <t>USA0642</t>
  </si>
  <si>
    <t>USA0643</t>
  </si>
  <si>
    <t>USA0644</t>
  </si>
  <si>
    <t>USA0645</t>
  </si>
  <si>
    <t>USA0646</t>
  </si>
  <si>
    <t>USA0647</t>
  </si>
  <si>
    <t>USA0648</t>
  </si>
  <si>
    <t>USA0649</t>
  </si>
  <si>
    <t>USA0650</t>
  </si>
  <si>
    <t>USA0651</t>
  </si>
  <si>
    <t>USA0652</t>
  </si>
  <si>
    <t>USA0653</t>
  </si>
  <si>
    <t>USA0654</t>
  </si>
  <si>
    <t>USA0655</t>
  </si>
  <si>
    <t>USA0656</t>
  </si>
  <si>
    <t>USA0657</t>
  </si>
  <si>
    <t>USA0658</t>
  </si>
  <si>
    <t>USA0659</t>
  </si>
  <si>
    <t>USA0660</t>
  </si>
  <si>
    <t>USA0661</t>
  </si>
  <si>
    <t>USA0662</t>
  </si>
  <si>
    <t>USA0663</t>
  </si>
  <si>
    <t>USA0664</t>
  </si>
  <si>
    <t>USA0665</t>
  </si>
  <si>
    <t>USA0666</t>
  </si>
  <si>
    <t>USA0667</t>
  </si>
  <si>
    <t>USA0668</t>
  </si>
  <si>
    <t>USA0669</t>
  </si>
  <si>
    <t>USA0670</t>
  </si>
  <si>
    <t>USA0671</t>
  </si>
  <si>
    <t>USA0672</t>
  </si>
  <si>
    <t>USA0673</t>
  </si>
  <si>
    <t>USA0674</t>
  </si>
  <si>
    <t>USA0675</t>
  </si>
  <si>
    <t>USA0676</t>
  </si>
  <si>
    <t>USA0677</t>
  </si>
  <si>
    <t>USA0678</t>
  </si>
  <si>
    <t>USA0679</t>
  </si>
  <si>
    <t>USA0680</t>
  </si>
  <si>
    <t>USA0681</t>
  </si>
  <si>
    <t>USA0682</t>
  </si>
  <si>
    <t>USA0683</t>
  </si>
  <si>
    <t>USA0684</t>
  </si>
  <si>
    <t>USA0685</t>
  </si>
  <si>
    <t>USA0686</t>
  </si>
  <si>
    <t>Salt Lake City Plant</t>
  </si>
  <si>
    <t>Sanborn Plant</t>
  </si>
  <si>
    <t>Seadrift Facility</t>
  </si>
  <si>
    <t>USA0687</t>
  </si>
  <si>
    <t>USA0688</t>
  </si>
  <si>
    <t>USA0689</t>
  </si>
  <si>
    <t>USA0690</t>
  </si>
  <si>
    <t>USA0691</t>
  </si>
  <si>
    <t>USA0692</t>
  </si>
  <si>
    <t>USA0693</t>
  </si>
  <si>
    <t>USA0694</t>
  </si>
  <si>
    <t>USA0695</t>
  </si>
  <si>
    <t>USA0696</t>
  </si>
  <si>
    <t>USA0697</t>
  </si>
  <si>
    <t>USA0698</t>
  </si>
  <si>
    <t>USA0699</t>
  </si>
  <si>
    <t>USA0700</t>
  </si>
  <si>
    <t>USA0701</t>
  </si>
  <si>
    <t>USA0702</t>
  </si>
  <si>
    <t>USA0703</t>
  </si>
  <si>
    <t>USA0704</t>
  </si>
  <si>
    <t>USA0705</t>
  </si>
  <si>
    <t>USA0706</t>
  </si>
  <si>
    <t>USA0707</t>
  </si>
  <si>
    <t>USA0708</t>
  </si>
  <si>
    <t>USA0709</t>
  </si>
  <si>
    <t>USA0710</t>
  </si>
  <si>
    <t>USA0711</t>
  </si>
  <si>
    <t>USA0712</t>
  </si>
  <si>
    <t>USA0713</t>
  </si>
  <si>
    <t>USA0714</t>
  </si>
  <si>
    <t>USA0715</t>
  </si>
  <si>
    <t>USA0716</t>
  </si>
  <si>
    <t>USA0717</t>
  </si>
  <si>
    <t>USA0718</t>
  </si>
  <si>
    <t>USA0719</t>
  </si>
  <si>
    <t>USA0720</t>
  </si>
  <si>
    <t>USA0721</t>
  </si>
  <si>
    <t>USA0722</t>
  </si>
  <si>
    <t>USA0723</t>
  </si>
  <si>
    <t>USA0724</t>
  </si>
  <si>
    <t>USA0725</t>
  </si>
  <si>
    <t>USA0726</t>
  </si>
  <si>
    <t>USA0727</t>
  </si>
  <si>
    <t>USA0728</t>
  </si>
  <si>
    <t>USA0729</t>
  </si>
  <si>
    <t>USA0730</t>
  </si>
  <si>
    <t>USA0731</t>
  </si>
  <si>
    <t>USA0732</t>
  </si>
  <si>
    <t>USA0733</t>
  </si>
  <si>
    <t>USA0734</t>
  </si>
  <si>
    <t>USA0735</t>
  </si>
  <si>
    <t>USA0736</t>
  </si>
  <si>
    <t>USA0737</t>
  </si>
  <si>
    <t>USA0738</t>
  </si>
  <si>
    <t>USA0739</t>
  </si>
  <si>
    <t>USA0740</t>
  </si>
  <si>
    <t>USA0741</t>
  </si>
  <si>
    <t>USA0742</t>
  </si>
  <si>
    <t>USA0743</t>
  </si>
  <si>
    <t>USA0744</t>
  </si>
  <si>
    <t>USA0745</t>
  </si>
  <si>
    <t>USA0746</t>
  </si>
  <si>
    <t>USA0747</t>
  </si>
  <si>
    <t>USA0748</t>
  </si>
  <si>
    <t>USA0749</t>
  </si>
  <si>
    <t>USA0750</t>
  </si>
  <si>
    <t>USA0751</t>
  </si>
  <si>
    <t>USA0752</t>
  </si>
  <si>
    <t>USA0753</t>
  </si>
  <si>
    <t>USA0754</t>
  </si>
  <si>
    <t>USA0755</t>
  </si>
  <si>
    <t>USA0756</t>
  </si>
  <si>
    <t>USA0757</t>
  </si>
  <si>
    <t>USA0758</t>
  </si>
  <si>
    <t>USA0759</t>
  </si>
  <si>
    <t>USA0760</t>
  </si>
  <si>
    <t>USA0761</t>
  </si>
  <si>
    <t>USA0762</t>
  </si>
  <si>
    <t>USA0763</t>
  </si>
  <si>
    <t>USA0764</t>
  </si>
  <si>
    <t>USA0765</t>
  </si>
  <si>
    <t>USA0766</t>
  </si>
  <si>
    <t>USA0767</t>
  </si>
  <si>
    <t>USA0768</t>
  </si>
  <si>
    <t>USA0769</t>
  </si>
  <si>
    <t>USA0770</t>
  </si>
  <si>
    <t>USA0771</t>
  </si>
  <si>
    <t>USA0772</t>
  </si>
  <si>
    <t>USA0773</t>
  </si>
  <si>
    <t>USA0774</t>
  </si>
  <si>
    <t>USA0775</t>
  </si>
  <si>
    <t>USA0776</t>
  </si>
  <si>
    <t>USA0777</t>
  </si>
  <si>
    <t>USA0778</t>
  </si>
  <si>
    <t>USA0779</t>
  </si>
  <si>
    <t>USA0780</t>
  </si>
  <si>
    <t>USA0781</t>
  </si>
  <si>
    <t>Trona Plant</t>
  </si>
  <si>
    <t>USA0782</t>
  </si>
  <si>
    <t>USA0783</t>
  </si>
  <si>
    <t>USA0784</t>
  </si>
  <si>
    <t>USA0785</t>
  </si>
  <si>
    <t>USA0786</t>
  </si>
  <si>
    <t>USA0787</t>
  </si>
  <si>
    <t>USA0788</t>
  </si>
  <si>
    <t>USA0789</t>
  </si>
  <si>
    <t>USA0790</t>
  </si>
  <si>
    <t>USA0791</t>
  </si>
  <si>
    <t>USA0792</t>
  </si>
  <si>
    <t>USA0793</t>
  </si>
  <si>
    <t>USA0794</t>
  </si>
  <si>
    <t>USA0795</t>
  </si>
  <si>
    <t>USA0796</t>
  </si>
  <si>
    <t>USA0797</t>
  </si>
  <si>
    <t>USA0798</t>
  </si>
  <si>
    <t>USA0799</t>
  </si>
  <si>
    <t>USA0800</t>
  </si>
  <si>
    <t>USA0801</t>
  </si>
  <si>
    <t>USA0802</t>
  </si>
  <si>
    <t>USA0803</t>
  </si>
  <si>
    <t>USA0804</t>
  </si>
  <si>
    <t>USA0805</t>
  </si>
  <si>
    <t>USA0806</t>
  </si>
  <si>
    <t>USA0807</t>
  </si>
  <si>
    <t>USA0808</t>
  </si>
  <si>
    <t>USA0809</t>
  </si>
  <si>
    <t>USA0810</t>
  </si>
  <si>
    <t>USA0811</t>
  </si>
  <si>
    <t>USA0812</t>
  </si>
  <si>
    <t>USA0813</t>
  </si>
  <si>
    <t>USA0814</t>
  </si>
  <si>
    <t>Wendover Mine</t>
  </si>
  <si>
    <t>USA0815</t>
  </si>
  <si>
    <t>USA0816</t>
  </si>
  <si>
    <t>USA0817</t>
  </si>
  <si>
    <t>USA0818</t>
  </si>
  <si>
    <t>USA0819</t>
  </si>
  <si>
    <t>USA0820</t>
  </si>
  <si>
    <t>USA0821</t>
  </si>
  <si>
    <t>USA0822</t>
  </si>
  <si>
    <t>USA0823</t>
  </si>
  <si>
    <t>USA0824</t>
  </si>
  <si>
    <t>USA0825</t>
  </si>
  <si>
    <t>USA0826</t>
  </si>
  <si>
    <t>USA0827</t>
  </si>
  <si>
    <t>USA0828</t>
  </si>
  <si>
    <t>USA0829</t>
  </si>
  <si>
    <t>USA0830</t>
  </si>
  <si>
    <t>USA0831</t>
  </si>
  <si>
    <t>USA0832</t>
  </si>
  <si>
    <t>USA0833</t>
  </si>
  <si>
    <t>Sierrita mine — Grokipedia</t>
  </si>
  <si>
    <t>USA0834</t>
  </si>
  <si>
    <t>Johnson Camp Mine</t>
  </si>
  <si>
    <t>Dragoon, AZ</t>
  </si>
  <si>
    <t>Nuton LLC.</t>
  </si>
  <si>
    <t>Kilbourne Mine</t>
  </si>
  <si>
    <t>USA0835</t>
  </si>
  <si>
    <t>USA0836</t>
  </si>
  <si>
    <t>Lehmi, ID</t>
  </si>
  <si>
    <t>E,C</t>
  </si>
  <si>
    <t>Capacity Notes</t>
  </si>
  <si>
    <t>Location Notes</t>
  </si>
  <si>
    <t>Location footnote</t>
  </si>
  <si>
    <t>First-Level Administrative Division name</t>
  </si>
  <si>
    <t>Auris Noble - Metal Recovery</t>
  </si>
  <si>
    <t xml:space="preserve"> https://triscendpartners.com/jacob-metal-group-welcomes-auris-noble-building-on-a-generational-legacy-in-metal-recycling/</t>
  </si>
  <si>
    <t>Zirconium and Hafnium 2021</t>
  </si>
  <si>
    <t xml:space="preserve"> https://www.atimaterials.com/Products/Pages/niobium-hafnium-tantalum-vanadium.aspx#Hafnium</t>
  </si>
  <si>
    <t xml:space="preserve"> https://www.atimaterials.com/Products/Pages/zirconium.aspx</t>
  </si>
  <si>
    <t>Microsoft Word - Book Cover Conf.doc</t>
  </si>
  <si>
    <t xml:space="preserve"> https://www.sec.gov/Archives/edgar/data/1383571/000095012309063554/y78306bxe424b3.htm</t>
  </si>
  <si>
    <t xml:space="preserve"> https://www.globenewswire.com/news-release/2009/11/05/408414/11914/en/globe-specialty-metals-closes-two-major-transactions-with-dow-corning.html</t>
  </si>
  <si>
    <t>TechReport.pdf</t>
  </si>
  <si>
    <t xml:space="preserve"> https://encoreuranium.com/news/encore-energy-announces-expansion-of-the-alta-mesa-uranium-project/</t>
  </si>
  <si>
    <t>Selenium and Tellurium 2021</t>
  </si>
  <si>
    <t xml:space="preserve"> https://d9-wret.s3.us-west-2.amazonaws.com/assets/palladium/production/mineral-pubs/selenium/myb1-2006-selen.pdf</t>
  </si>
  <si>
    <t xml:space="preserve"> https://www.steel-technology.com/products/asarco-inc/tellurium</t>
  </si>
  <si>
    <t>https://stockhouse.com/companies/bullboard?symbol=gpxm&amp;postid=14844382</t>
  </si>
  <si>
    <t xml:space="preserve"> https://www.sec.gov/Archives/edgar/data/1343009/000130368111000151/0001303681-11-000151.txt</t>
  </si>
  <si>
    <t>https://nutrien-prod-asset.s3.us-east-2.amazonaws.com/s3fs-public/uploads/2023-02/2022%20Nutrien%20Annual%20Report.pdf</t>
  </si>
  <si>
    <t xml:space="preserve"> https://clui.org/ludb/site/nutrien-aurora-phosphate-mine</t>
  </si>
  <si>
    <t xml:space="preserve"> https://www.e-mj.com/breaking-news/goldgroup-acquires-gold-resource-corp-for-372m/</t>
  </si>
  <si>
    <t xml:space="preserve"> https://www.canadianminingjournal.com/featured-article/good-news-from-bagdad-the-mine/</t>
  </si>
  <si>
    <t xml:space="preserve"> https://data-ndom.opendata.arcgis.com/pages/claims-commodities--occurrences</t>
  </si>
  <si>
    <t>Lucite - Nederland</t>
  </si>
  <si>
    <t xml:space="preserve"> https://www.dispatch.com/story/business/2018/02/13/columbus-plaskolite-to-purchase-memphis/14803972007/?gnt-cfr=1&amp;gca-cat=p&amp;gca-uir=true&amp;gca-epti=z115848e1145xxv115848d--65--b--65--&amp;gca-ft=177&amp;gca-ds=sophi</t>
  </si>
  <si>
    <t>Gold 2022</t>
  </si>
  <si>
    <t xml:space="preserve"> https://www.mining-technology.com/projects/betze-post-gold-mine-nevada/?cf-view</t>
  </si>
  <si>
    <t>Bishop Gold Mill - North Bay Resources</t>
  </si>
  <si>
    <t xml:space="preserve"> https://northbay-resources.com/north-bay-resources-acquires-70-interest-in-the-bishop-gold-mill-inyo-county-california/</t>
  </si>
  <si>
    <t>lead 2019</t>
  </si>
  <si>
    <t xml:space="preserve"> ILZSG 2025</t>
  </si>
  <si>
    <t>Mississippi Silicon - MuniStrategies</t>
  </si>
  <si>
    <t xml:space="preserve"> https://www.missilicon.com/news/premier-mississippi-silicon-plant-opens</t>
  </si>
  <si>
    <t xml:space="preserve"> https://www.gem.wiki/Steel_Dynamics_Butler_plant#Ownership_Tree</t>
  </si>
  <si>
    <t>The Power of Geothermal Energy</t>
  </si>
  <si>
    <t xml:space="preserve"> https://www.oxy.com/news/news-releases/occidental-and-bhe-renewables-form-joint-venture-to-commercialize-terralithium-extraction-technology/</t>
  </si>
  <si>
    <t xml:space="preserve"> https://minedocs.com/28/Carlin-TR-12312024.pdf</t>
  </si>
  <si>
    <t>Our Companies | Imperial Group</t>
  </si>
  <si>
    <t xml:space="preserve"> https://imperialgp.com/tolling/</t>
  </si>
  <si>
    <t>Korea Zinc JPM Smelter Focuses on US Feedstock - Fastmarkets</t>
  </si>
  <si>
    <t xml:space="preserve"> https://investors.koreazinc.co.kr/media/z1pp5yu3/korea-zinc-us-smelter-investment-english.pdf</t>
  </si>
  <si>
    <t>The availability of primary rhenium as a by-product of copper and molybdenum mining | Mineral Economics | Springer Nature Link</t>
  </si>
  <si>
    <t xml:space="preserve"> https://www.sec.gov/Archives/edgar/data/831259/000083125908000026/fcx123107-10k.htm</t>
  </si>
  <si>
    <t xml:space="preserve"> https://www.sltrib.com/news/2025/04/10/utah-iron-shuts-down-mining/</t>
  </si>
  <si>
    <t xml:space="preserve"> https://miningdataonline.com/property/38/Continental-Mine.aspx</t>
  </si>
  <si>
    <t>Barrick Mining Corporation - Operations - Nevada Gold Mines</t>
  </si>
  <si>
    <t xml:space="preserve"> https://s25.q4cdn.com/322814910/files/technical-reports/Cortez-Technical-Report-2019.pdf</t>
  </si>
  <si>
    <t>Crow Butte - Cameco 2015 Online Annual Report</t>
  </si>
  <si>
    <t xml:space="preserve"> https://www.nrc.gov/info-finder/materials/uranium/licensed-facilities/is-crow-butte.pdf</t>
  </si>
  <si>
    <t>Iron Senergy</t>
  </si>
  <si>
    <t xml:space="preserve"> https://www.sec.gov/Archives/edgar/data/1704715/000170471519000013/contura12312018financials.htm</t>
  </si>
  <si>
    <t xml:space="preserve"> https://www.isoenergy.ca/news-media/consolidated-uranium-closes-acquisition-and-strategic-alliance-with-energy-fuels</t>
  </si>
  <si>
    <t>Plant restarts could take weeks after Ike | ICIS</t>
  </si>
  <si>
    <t xml:space="preserve"> https://corporate.dow.com/en-us/locations/deer-park.html</t>
  </si>
  <si>
    <t>Major Mines &amp; Projects | Denton-Rawhide Mine</t>
  </si>
  <si>
    <t xml:space="preserve"> https://miningdataonline.com/property/639/Denton-Rawhide-Mine.aspx</t>
  </si>
  <si>
    <t xml:space="preserve"> https://d9-wret.s3.us-west-2.amazonaws.com/assets/palladium/production/mineral-pubs/tungsten/myb1-2014-tungs.pdf</t>
  </si>
  <si>
    <t xml:space="preserve"> https://mma.prnewswire.com/media/1982738/Lundin_Mining_Corporation_Lundin_Mining_Announces_2022_Productio.pdf?p=original</t>
  </si>
  <si>
    <t xml:space="preserve"> https://d9-wret.s3.us-west-2.amazonaws.com/assets/palladium/production/mineral-pubs/nickel/myb1-2008-nicke.pdf</t>
  </si>
  <si>
    <t xml:space="preserve"> https://www.londonstockexchange.com/news-article/PXC/update-on-exgen-carried-interest-agreement/16818488</t>
  </si>
  <si>
    <t>tasekomines.com/_resources/investors/technical_report_florence_copper_march_2023.pdf</t>
  </si>
  <si>
    <t xml:space="preserve"> https://www.juniorminingnetwork.com/junior-miner-news/press-releases/738-tsx/tko/133252-taseko-and-mitsui-enter-strategic-partnership-to-develop-florence-copper.html</t>
  </si>
  <si>
    <t>Gypsum Mining Method &amp; Cost - 911Metallurgist</t>
  </si>
  <si>
    <t xml:space="preserve"> https://www.usg.com/en-US/about-usg/locations/manufacturing-plants</t>
  </si>
  <si>
    <t xml:space="preserve"> https://www.minerals.nv.gov/siteassets/content/programs/mining/2022_Metallic_Production_by_mine.pdf</t>
  </si>
  <si>
    <t>Goldstrike Technical Report</t>
  </si>
  <si>
    <t xml:space="preserve"> https://pubs.usgs.gov/myb/vol1/2022/myb1-2022-gold.pdf</t>
  </si>
  <si>
    <t xml:space="preserve"> https://www.prnewswire.com/news-releases/i-80-gold-begins-shipping-of-granite-creek-ore-to-nevada-gold-mines-301580369.html</t>
  </si>
  <si>
    <t>https://www.gbreports.com/article/western-usa-mining-copper-production-and-development</t>
  </si>
  <si>
    <t xml:space="preserve"> https://www.reuters.com/markets/commodities/grupo-mexicos-asarco-reopen-us-copper-smelter-amid-surging-prices-2024-05-24/</t>
  </si>
  <si>
    <t xml:space="preserve"> https://www.gem.wiki/Cleveland-Cliffs_Minorca_Mine</t>
  </si>
  <si>
    <t xml:space="preserve"> https://www.argusmedia.com/en/news-and-insights/latest-market-news/2669980-cliffs-to-idle-minn-iron-mine-cut-pellet-making</t>
  </si>
  <si>
    <t xml:space="preserve"> https://grokipedia.com/page/Hemlock_Semiconductor</t>
  </si>
  <si>
    <t xml:space="preserve"> https://www.cravath.com/news-insights/precision-castparts-s-37-billion-acquisition-by-berkshire-hathaway.html</t>
  </si>
  <si>
    <t xml:space="preserve"> https://www.climaxmolybdenum.com/operations/usa</t>
  </si>
  <si>
    <t xml:space="preserve"> https://www.gem.wiki/Hibbing_Taconite_Mine#Ownership_Tree</t>
  </si>
  <si>
    <t>Technical Report</t>
  </si>
  <si>
    <t>https://firstmajestic.com/_resources/annual-reports/2022-annual-report.pdf?v=0.497</t>
  </si>
  <si>
    <t xml:space="preserve"> https://www.firstmajestic.com/_resources/reports/SLR-First-Majestic-Jerritt-Canyon-NI-43-101-Report-FINAL-30-Apr-2021.pdf</t>
  </si>
  <si>
    <t xml:space="preserve"> https://www.gem.wiki/US_Steel_Keetac_Mine</t>
  </si>
  <si>
    <t xml:space="preserve"> https://www.enr.com/articles/22431-kennecott-building-new-molybdenum-autoclave-facility-west-of-salt-lake-city</t>
  </si>
  <si>
    <t>exh_991_20221231_40F</t>
  </si>
  <si>
    <t xml:space="preserve"> https://wp-centerra-2023.s3.ca-central-1.amazonaws.com/media/2024/09/12171151/Centerra-Gold-Announces-Strategic-Plan-for-US-Moly-Operations.pdf</t>
  </si>
  <si>
    <t>WesternMag</t>
  </si>
  <si>
    <t xml:space="preserve"> https://finance.yahoo.com/news/western-magnesium-corporation-moves-brand-120000039.html?guccounter=1&amp;guce_referrer=aHR0cHM6Ly93d3cuZ29vZ2xlLmNvbS8&amp;guce_referrer_sig=AQAAAHzI2Nld33ibdLHbWqr3EfN0lZzO6k4wAVOoakoyBo29yNVTzqdP-bHJ80732iSbReEjBVw-y6DCpCC2ZGSbZMcXXlFDi_2VYXgcuR3vpOxOese-UvuveLsQiN0d5EnemI8y2qkFABb2jHZtJ31uj7m5Zu3oiRR6aBmISmgMZU5c</t>
  </si>
  <si>
    <t xml:space="preserve"> https://pitchbook.com/profiles/company/319879-72#overview</t>
  </si>
  <si>
    <t xml:space="preserve"> https://www.recyclingtoday.com/news/waelz-sustainable-products-plans-indiana-zinc-recycling-facility/</t>
  </si>
  <si>
    <t xml:space="preserve"> https://marietta.eramet.com/eramet/activities/market-and-products/</t>
  </si>
  <si>
    <t>https://d9-wret.s3.us-west-2.amazonaws.com/assets/palladium/production/mineral-pubs/aluminum/alumimyb04.pdf</t>
  </si>
  <si>
    <t xml:space="preserve"> https://d9-wret.s3.us-west-2.amazonaws.com/assets/palladium/production/mineral-pubs/aluminum/050494.pdf</t>
  </si>
  <si>
    <t>Columbus' Plaskolite to purchase Memphis factory from Lucite International</t>
  </si>
  <si>
    <t xml:space="preserve"> http://www.sulphuric-acid.com/Sulphuric-Acid-on-the-Web/Acid%20Plants/Lucite%20-%20Memphis.htm</t>
  </si>
  <si>
    <t>https://www.equinoxgold.com/wp-content/uploads/2023/01/2020-Mesquite.pdf</t>
  </si>
  <si>
    <t xml:space="preserve"> https://www.equinoxgold.com/our-mines/mesquite-gold-mine/</t>
  </si>
  <si>
    <t>Select Water Solutions and LibertyStream Infrastructure Partners Announce Definitive Agreement to Build Out Commercial Lithium Carbonate Production Units in Texas</t>
  </si>
  <si>
    <t xml:space="preserve"> https://www.gem.wiki/US_Steel_Minntac_Mine#Iron_Ore_Mine_Details</t>
  </si>
  <si>
    <t xml:space="preserve"> https://www.newswire.ca/news-releases/eastern-resources-inc-to-provide-current-corporate-presentation-510355781.html</t>
  </si>
  <si>
    <t>Befesa produces SHG solely from recycled zinc</t>
  </si>
  <si>
    <t xml:space="preserve"> to reach capacity in 2023 - Fastmarkets</t>
  </si>
  <si>
    <t>Tech Report Summary</t>
  </si>
  <si>
    <t xml:space="preserve"> https://pubs.usgs.gov/myb/vol1/2021/myb1-2021-copper.pdf</t>
  </si>
  <si>
    <t xml:space="preserve"> https://miningdataonline.com/property/84/morenci-mine.aspx</t>
  </si>
  <si>
    <t>2022.12.31 10-K-2023-04-18-11-04</t>
  </si>
  <si>
    <t xml:space="preserve"> https://chargedevs.com/newswire/jb-straubel-gives-a-tour-of-redwood-materials-battery-recycling-operation/</t>
  </si>
  <si>
    <t>njmc_10k.htm</t>
  </si>
  <si>
    <t xml:space="preserve"> https://www.sec.gov/Archives/edgar/data/1030192/000105291815000115/njmc10kmar3115final.htm</t>
  </si>
  <si>
    <t xml:space="preserve"> https://www.reuters.com/markets/europe/another-us-primary-aluminium-smelter-bites-dust-2024-01-26/</t>
  </si>
  <si>
    <t xml:space="preserve"> https://www.canadianminingjournal.com/featured-article/fire-river-gold-revives-nixon-fork-project-in-mining-friendly-alaska/</t>
  </si>
  <si>
    <t xml:space="preserve"> https://www.newrangecoppernickel.com/newrange-added-as-federal-permitting-transparency-project/</t>
  </si>
  <si>
    <t xml:space="preserve"> https://www.gem.wiki/Cleveland-Cliffs_Northshore_Mine</t>
  </si>
  <si>
    <t xml:space="preserve"> https://stoneandwebster.com/media/appn0wqi/sw_flysheet_-_zr_and_hf_specialty_metals_aerospace.pdf</t>
  </si>
  <si>
    <t xml:space="preserve"> https://info.westinghousenuclear.com/news/westinghouse-acquisition-by-brookfield-and-cameco-complete</t>
  </si>
  <si>
    <t xml:space="preserve"> https://minedocs.com/19/Phoenix-Fact-Sheet-10192021.pdf</t>
  </si>
  <si>
    <t>Pinson PFS</t>
  </si>
  <si>
    <t xml:space="preserve"> https://www.i80gold.com/i-80-gold-completes-the-acquisition-of-the-getchell-project-in-nevada/</t>
  </si>
  <si>
    <t xml:space="preserve"> https://minedocs.com/21/PintoValley_TR_06112021.pdf</t>
  </si>
  <si>
    <t xml:space="preserve"> https://capstonecopper.com/operations/pinto-valley/#h-geology-and-exploration</t>
  </si>
  <si>
    <t xml:space="preserve"> https://www.domtar.com/paper-excellence-enters-agreement-to-acquire-resolute-forest-products/</t>
  </si>
  <si>
    <t>Port Neches</t>
  </si>
  <si>
    <t xml:space="preserve"> https://investor.ecovyst.com/news-events/press-releases/detail/171/ecovyst-announces-agreement-to-acquire-calabrian-sulfur</t>
  </si>
  <si>
    <t>Microsoft Word - FortuneMinerals_Revenue_PEA_457700.030_014_SH</t>
  </si>
  <si>
    <t xml:space="preserve"> https://www.aurcana.com/operations/overview/</t>
  </si>
  <si>
    <t xml:space="preserve"> https://www.ouraynews.com/2023/12/27/new-owner-vows-put-mine-back-operation/</t>
  </si>
  <si>
    <t>Directory of Lime Plants and Hydrating Plants in the United States in 2016</t>
  </si>
  <si>
    <t xml:space="preserve"> https://www.gem.wiki/Roberta_Cement_Plant</t>
  </si>
  <si>
    <t xml:space="preserve"> https://pubs.usgs.gov/myb/vol1/2019/myb1-2019-molybdenum.pdf</t>
  </si>
  <si>
    <t>2022_Metallic_Production_by_mine.pdf</t>
  </si>
  <si>
    <t xml:space="preserve"> https://www.minerals.nv.gov/siteassets/content/programs/mining/miningforms/MM2021_Major_Mines_2021.pdf</t>
  </si>
  <si>
    <t>https://centuryaluminum.com/products-and-plants/sebree-ky/default.aspx</t>
  </si>
  <si>
    <t>Shootaring Canyon Mill | Anfield Energy Inc.</t>
  </si>
  <si>
    <t xml:space="preserve"> https://www.world-nuclear-news.org/articles/anfield-applies-to-restart-shootaring-canyon-mill</t>
  </si>
  <si>
    <t>https://www.sec.gov/Archives/edgar/data/915913/000091591323000039/alb-20221231.htm</t>
  </si>
  <si>
    <t xml:space="preserve"> https://www.sec.gov/Archives/edgar/data/915913/000091591323000037/exhibit9631231202210-k.htm</t>
  </si>
  <si>
    <t>https://www.sec.gov/Archives/edgar/data/1285785/000124378623000008/pressreleaseq42022-ex991.htm</t>
  </si>
  <si>
    <t xml:space="preserve"> https://www.sec.gov/Archives/edgar/data/1285785/000161803422000004/mos-20211231.htm</t>
  </si>
  <si>
    <t>High Purity Quartz | The Quartz Corp</t>
  </si>
  <si>
    <t xml:space="preserve"> https://www.imerys.com/minerals/quartz</t>
  </si>
  <si>
    <t xml:space="preserve"> https://www.gem.wiki/Nucor_Steel_Louisiana#Ownership_Tree</t>
  </si>
  <si>
    <t>Talon Metals Secures 51% Ownership of Tamarack Nickel Project Six Months Ahead of Schedule - Talon Metals Corp</t>
  </si>
  <si>
    <t xml:space="preserve"> https://talonmetals.com/wp-content/uploads/2021/02/Talon-Tamarack-PEA3_2021.pdf</t>
  </si>
  <si>
    <t xml:space="preserve"> https://www.gem.wiki/ArcelorMittal_Texas_DRI_plant#Ownership_Tree</t>
  </si>
  <si>
    <t>www.juniorminingnetwork.com</t>
  </si>
  <si>
    <t xml:space="preserve"> https://osiskodev.com/_resources/reports/TinticTechnicalReport_june102022.pdf</t>
  </si>
  <si>
    <t>Form 10-Q American Clean Resources For: Jun 30</t>
  </si>
  <si>
    <t xml:space="preserve"> https://www.aaii.com/stock/ticker/ACRG</t>
  </si>
  <si>
    <t xml:space="preserve"> https://www.google.com/url?sa=t&amp;source=web&amp;rct=j&amp;url=https%3A%2F%2Fwww.inquirer.com%2Fbusiness%2Fglobal-tungsten-powders-towanda-stacy-garrity-20260211.html&amp;ved=0CAEQ1fkOahcKEwigga6graCUAxUAAAAAHQAAAAAQBg&amp;opi=89978449</t>
  </si>
  <si>
    <t xml:space="preserve"> https://www.barrick.com/English/operations/nevada-gold-mines/default.aspx</t>
  </si>
  <si>
    <t xml:space="preserve"> https://minedocs.com/19/Turquoise-Ridge-TR-12312023.pdf</t>
  </si>
  <si>
    <t>https://s22.q4cdn.com/529358580/files/doc_news/2023/FCX_230125_4Q_2022_Earnings_Release.pdf</t>
  </si>
  <si>
    <t xml:space="preserve"> https://www.newswire.ca/news-releases/encore-energy-reports-q2-2025-financial-results-highlighted-by-increased-uranium-extraction-rates-and-reduced-costs-876964775.html</t>
  </si>
  <si>
    <t>https://www.alcoa.com/global/en/pdf/Alcoa-Warrick-Fact-Sheet.pdf</t>
  </si>
  <si>
    <t xml:space="preserve"> https://southdakotasearchlight.com/briefs/production-jumps-higher-at-black-hills-gold-mine/</t>
  </si>
  <si>
    <t>Energy Fuels Producing Vanadium at Commercial Levels</t>
  </si>
  <si>
    <t>https://nutrien-prod-asset.s3.us-east-2.amazonaws.com/s3fs-public/uploads/2022-03/2021%20Nutrien_Annual%20Report_Enhanced_PDF.pdf</t>
  </si>
  <si>
    <t xml:space="preserve"> https://nutrien-prod-asset.s3.us-east-2.amazonaws.com/s3fs-public/uploads/2023-02/2022%20Nutrien%20Annual%20Information%20Form.pdf</t>
  </si>
  <si>
    <t xml:space="preserve"> https://www.mining-technology.com/marketdata/five-largest-lead-mines-the-us/#:~:text=1.,Greens%20Creek%20Mine</t>
  </si>
  <si>
    <t xml:space="preserve"> https://www.woodmac.com/reports/metals-clarksville-zinc-smelter-16051643/#:~:text=Report%20summary,plant%20was%20installed%20in%201992.</t>
  </si>
  <si>
    <t xml:space="preserve"> https://s28.q4cdn.com/583965976/files/Cortez-Royalty-Acquisition-Release-August-2-2022-FINAL.1-LH.pdf#:~:text=Production%20and%20Current%20Reserves%20and%20Resources%20Gold,for%20the%20areas%20covered%20by%20the%20Royalty</t>
  </si>
  <si>
    <t>Hazardous Waste Cleanup: The International Metals Reclamation Company (Formerly: Inmetco) in Ellwood City, Pennsylvania | Corrective Action Sites around the Nation | US EPA</t>
  </si>
  <si>
    <t>Hidden in the cornfields, Michigan has its own little silicon valley - mlive.com</t>
  </si>
  <si>
    <t>Bringing Safe, Responsible Economic Growth to Cass County - WSP - Waelz Sustainable Products</t>
  </si>
  <si>
    <t>2022 Metallic Production by mine.pdf, https://www.sec.gov/Archives/edgar/data/1271129/000106299309004377/exhibit99-1.htm</t>
  </si>
  <si>
    <t xml:space="preserve"> https://www.newmont.com/investors/news-release/news-details/2015/Newmont-to-Build-First-Phase-of-New-Long-Canyon-Mine-Opening-Prospective-New-Gold-District-in-Nevada/default.aspx#:~:text=Newmont%20Mining%20Corporation%20(NYSE:%20NEM)%20is%20building,and%202016%20*%20Minimal%20spending%20in%202017 https://ndep.nv.gov/uploads/documents/20250102TM_201410_LongCanyon_FactSheet.pdf</t>
  </si>
  <si>
    <t xml:space="preserve"> https://www.newmont.com/investors/news-release/news-details/2015/Newmont-to-Build-First-Phase-of-New-Long-Canyon-Mine-Opening-Prospective-New-Gold-District-in-Nevada/default.aspx#:~:text=Newmont%20Mining%20Corporation%20(NYSE:%20NEM)%20is%20building,and%202016%20*%20Minimal%20spending%20in%202017</t>
  </si>
  <si>
    <t xml:space="preserve"> First 1,000-Tonne Facility Slated for Commissioning by December 2026 :: Select Water Solutions, Inc. (WTTR)</t>
  </si>
  <si>
    <t>2022 Metallic Production by mine.pdf, https://www.google.com/url?sa=t&amp;rct=j&amp;q=&amp;esrc=s&amp;source=web&amp;cd=&amp;cad=rja&amp;uact=8&amp;ved=2ahUKEwj5ntes78SSAxW26ckDHTUqFHkQFnoECBsQAQ&amp;url=https%3A%2F%2Fminedocs.com%2F21%2FCoeurMiningInc_Rochester_TechnicalReport_Dec16_2020.pdf&amp;usg=AOvVaw0ZUzSUEjRlo_X86gM9k3vh&amp;opi=89978449</t>
  </si>
  <si>
    <t xml:space="preserve"> https://businessjournaldaily.com/cimbar-completes-2m-expansion-at-wellsville/#:~:text=WELLSVILLE,%20Ohio%20%E2%80%93%20Cimbar%20Performance%20Minerals&amp;text=Other%20minerals%20Cimbar%20processes%20and%20ships%20to%20markets&amp;text=production%20capacity%20to%20325,000%20tons,%20Wilson%20says.</t>
  </si>
  <si>
    <t xml:space="preserve"> Vanadium Shipments Commenced - Feb 12, 2019</t>
  </si>
  <si>
    <t>Data Source 3</t>
  </si>
  <si>
    <t>Data Source 4</t>
  </si>
  <si>
    <t>Hot Springs, AR</t>
  </si>
  <si>
    <t>Columbia, AR</t>
  </si>
  <si>
    <t>Ozark, AR</t>
  </si>
  <si>
    <t>Benton, AR</t>
  </si>
  <si>
    <t>Russelville, AR</t>
  </si>
  <si>
    <t>El Dorado, AR</t>
  </si>
  <si>
    <t>Smackover, AR</t>
  </si>
  <si>
    <t>Capaity Code</t>
  </si>
  <si>
    <t>Eagle Gysum Mine</t>
  </si>
  <si>
    <t>Eagle Mine sold | News, Sports, Jobs - The Mining Gazette</t>
  </si>
  <si>
    <t>Humboldt Mill</t>
  </si>
  <si>
    <t>Champion, MI</t>
  </si>
  <si>
    <t>USA0837</t>
  </si>
  <si>
    <t>USA0838</t>
  </si>
  <si>
    <t>USA0839</t>
  </si>
  <si>
    <t>Aurora Complex</t>
  </si>
  <si>
    <t>Aurora HF Plant</t>
  </si>
  <si>
    <t>USA0840</t>
  </si>
  <si>
    <t>Asbury Plant</t>
  </si>
  <si>
    <t>Asbury, NJ</t>
  </si>
  <si>
    <t>Asbury Graphite Mills, Inc.</t>
  </si>
  <si>
    <t>Graphite Material Supplier | Asbury Carbons - Asbury Advanced Materials</t>
  </si>
  <si>
    <t>Cokes and Material Solutions | Asbury Carbons - Asbury Advanced Materials</t>
  </si>
  <si>
    <t>USA0841</t>
  </si>
  <si>
    <t>Sunbury Plant</t>
  </si>
  <si>
    <t>Sunbury, PA</t>
  </si>
  <si>
    <t>Asbury Advanced Materials</t>
  </si>
  <si>
    <t>Our Story | What Makes Us Unique | Asbury Carbons - Asbury Advanced Materials</t>
  </si>
  <si>
    <t>Flake, synthetic, specialty</t>
  </si>
  <si>
    <t>USA0842</t>
  </si>
  <si>
    <t>Moundsville Plant</t>
  </si>
  <si>
    <t>Barite 2021</t>
  </si>
  <si>
    <t>Moundsville, WV</t>
  </si>
  <si>
    <t>ADO Industries</t>
  </si>
  <si>
    <t>CS Global Group</t>
  </si>
  <si>
    <t>USA0843</t>
  </si>
  <si>
    <t>Seadrift Plant</t>
  </si>
  <si>
    <t>heavy rare earth oxides</t>
  </si>
  <si>
    <t>Seadrift, TX</t>
  </si>
  <si>
    <t>Lynas Rare Earth Ltd.</t>
  </si>
  <si>
    <t>Operating status of facility. Projects may be either "Inactive", "Care and maintenance", "Assumed active", or "In development." Cells labelled "In development" represent projects from prefeasibility to commissioning status.</t>
  </si>
  <si>
    <t>U1</t>
  </si>
  <si>
    <t>U2</t>
  </si>
  <si>
    <t>U3</t>
  </si>
  <si>
    <t>U4</t>
  </si>
  <si>
    <t>U5</t>
  </si>
  <si>
    <t>U6</t>
  </si>
  <si>
    <t>U7</t>
  </si>
  <si>
    <t>U8</t>
  </si>
  <si>
    <t>U9</t>
  </si>
  <si>
    <t>U10</t>
  </si>
  <si>
    <t>U11</t>
  </si>
  <si>
    <t>U12</t>
  </si>
  <si>
    <t>U13</t>
  </si>
  <si>
    <t>U14</t>
  </si>
  <si>
    <t>U15</t>
  </si>
  <si>
    <t>U16</t>
  </si>
  <si>
    <t>U17</t>
  </si>
  <si>
    <t>U18</t>
  </si>
  <si>
    <t>U19</t>
  </si>
  <si>
    <t>U20</t>
  </si>
  <si>
    <t>U21</t>
  </si>
  <si>
    <t>U22</t>
  </si>
  <si>
    <t>U23</t>
  </si>
  <si>
    <t>U24</t>
  </si>
  <si>
    <t>U25</t>
  </si>
  <si>
    <t>U26</t>
  </si>
  <si>
    <t>U27</t>
  </si>
  <si>
    <t>U28</t>
  </si>
  <si>
    <t>U29</t>
  </si>
  <si>
    <t>U30</t>
  </si>
  <si>
    <t>U31</t>
  </si>
  <si>
    <t>U32</t>
  </si>
  <si>
    <t>U33</t>
  </si>
  <si>
    <t>U34</t>
  </si>
  <si>
    <t>U35</t>
  </si>
  <si>
    <t>U36</t>
  </si>
  <si>
    <t>U37</t>
  </si>
  <si>
    <t>U38</t>
  </si>
  <si>
    <t>U39</t>
  </si>
  <si>
    <t>U40</t>
  </si>
  <si>
    <t>U41</t>
  </si>
  <si>
    <t>U42</t>
  </si>
  <si>
    <t>U43</t>
  </si>
  <si>
    <t>U44</t>
  </si>
  <si>
    <t>U45</t>
  </si>
  <si>
    <t>U46</t>
  </si>
  <si>
    <t>U47</t>
  </si>
  <si>
    <t>U48</t>
  </si>
  <si>
    <t>U49</t>
  </si>
  <si>
    <t>U50</t>
  </si>
  <si>
    <t>U51</t>
  </si>
  <si>
    <t>U52</t>
  </si>
  <si>
    <t>U53</t>
  </si>
  <si>
    <t>U54</t>
  </si>
  <si>
    <t>U55</t>
  </si>
  <si>
    <t>U56</t>
  </si>
  <si>
    <t>U57</t>
  </si>
  <si>
    <t>U58</t>
  </si>
  <si>
    <t>U59</t>
  </si>
  <si>
    <t>U60</t>
  </si>
  <si>
    <t>U61</t>
  </si>
  <si>
    <t>U62</t>
  </si>
  <si>
    <t>U63</t>
  </si>
  <si>
    <t>U64</t>
  </si>
  <si>
    <t>U65</t>
  </si>
  <si>
    <t>U66</t>
  </si>
  <si>
    <t>U67</t>
  </si>
  <si>
    <t>U68</t>
  </si>
  <si>
    <t>U69</t>
  </si>
  <si>
    <t>U70</t>
  </si>
  <si>
    <t>U71</t>
  </si>
  <si>
    <t>U72</t>
  </si>
  <si>
    <t>U73</t>
  </si>
  <si>
    <t>U74</t>
  </si>
  <si>
    <t>U75</t>
  </si>
  <si>
    <t>U76</t>
  </si>
  <si>
    <t>U77</t>
  </si>
  <si>
    <t>U78</t>
  </si>
  <si>
    <t>U79</t>
  </si>
  <si>
    <t>U80</t>
  </si>
  <si>
    <t>U81</t>
  </si>
  <si>
    <t>U82</t>
  </si>
  <si>
    <t>U83</t>
  </si>
  <si>
    <t>U84</t>
  </si>
  <si>
    <t>U85</t>
  </si>
  <si>
    <t>U86</t>
  </si>
  <si>
    <t>U87</t>
  </si>
  <si>
    <t>U88</t>
  </si>
  <si>
    <t>U89</t>
  </si>
  <si>
    <t>U90</t>
  </si>
  <si>
    <t>U91</t>
  </si>
  <si>
    <t>U92</t>
  </si>
  <si>
    <t>U93</t>
  </si>
  <si>
    <t>U94</t>
  </si>
  <si>
    <t>U95</t>
  </si>
  <si>
    <t>U96</t>
  </si>
  <si>
    <t>U97</t>
  </si>
  <si>
    <t>U98</t>
  </si>
  <si>
    <t>U99</t>
  </si>
  <si>
    <t>U100</t>
  </si>
  <si>
    <t>U101</t>
  </si>
  <si>
    <t>U102</t>
  </si>
  <si>
    <t>U103</t>
  </si>
  <si>
    <t>U104</t>
  </si>
  <si>
    <t>U105</t>
  </si>
  <si>
    <t>U106</t>
  </si>
  <si>
    <t>U107</t>
  </si>
  <si>
    <t>U108</t>
  </si>
  <si>
    <t>U109</t>
  </si>
  <si>
    <t>U110</t>
  </si>
  <si>
    <t>U111</t>
  </si>
  <si>
    <t>U112</t>
  </si>
  <si>
    <t>U113</t>
  </si>
  <si>
    <t>U114</t>
  </si>
  <si>
    <t>U115</t>
  </si>
  <si>
    <t>U116</t>
  </si>
  <si>
    <t>U117</t>
  </si>
  <si>
    <t>U118</t>
  </si>
  <si>
    <t>U119</t>
  </si>
  <si>
    <t>U120</t>
  </si>
  <si>
    <t>U121</t>
  </si>
  <si>
    <t>U122</t>
  </si>
  <si>
    <t>U123</t>
  </si>
  <si>
    <t>U124</t>
  </si>
  <si>
    <t>U125</t>
  </si>
  <si>
    <t>U126</t>
  </si>
  <si>
    <t>U127</t>
  </si>
  <si>
    <t>U128</t>
  </si>
  <si>
    <t>U129</t>
  </si>
  <si>
    <t>U130</t>
  </si>
  <si>
    <t>U131</t>
  </si>
  <si>
    <t>U132</t>
  </si>
  <si>
    <t>U133</t>
  </si>
  <si>
    <t>U134</t>
  </si>
  <si>
    <t>U135</t>
  </si>
  <si>
    <t>U136</t>
  </si>
  <si>
    <t>U137</t>
  </si>
  <si>
    <t>U138</t>
  </si>
  <si>
    <t>U139</t>
  </si>
  <si>
    <t>U140</t>
  </si>
  <si>
    <t>U141</t>
  </si>
  <si>
    <t>U142</t>
  </si>
  <si>
    <t>U143</t>
  </si>
  <si>
    <t>U144</t>
  </si>
  <si>
    <t>U145</t>
  </si>
  <si>
    <t>U146</t>
  </si>
  <si>
    <t>U147</t>
  </si>
  <si>
    <t>U148</t>
  </si>
  <si>
    <t>U149</t>
  </si>
  <si>
    <t>U150</t>
  </si>
  <si>
    <t>U151</t>
  </si>
  <si>
    <t>U152</t>
  </si>
  <si>
    <t>U153</t>
  </si>
  <si>
    <t>U154</t>
  </si>
  <si>
    <t>U155</t>
  </si>
  <si>
    <t>U156</t>
  </si>
  <si>
    <t>U157</t>
  </si>
  <si>
    <t>U158</t>
  </si>
  <si>
    <t>U159</t>
  </si>
  <si>
    <t>U160</t>
  </si>
  <si>
    <t>U161</t>
  </si>
  <si>
    <t>U162</t>
  </si>
  <si>
    <t>U163</t>
  </si>
  <si>
    <t>U164</t>
  </si>
  <si>
    <t>U165</t>
  </si>
  <si>
    <t>U166</t>
  </si>
  <si>
    <t>U167</t>
  </si>
  <si>
    <t>U168</t>
  </si>
  <si>
    <t>U169</t>
  </si>
  <si>
    <t>U170</t>
  </si>
  <si>
    <t>U171</t>
  </si>
  <si>
    <t>U172</t>
  </si>
  <si>
    <t>U173</t>
  </si>
  <si>
    <t>U174</t>
  </si>
  <si>
    <t>U175</t>
  </si>
  <si>
    <t>U176</t>
  </si>
  <si>
    <t>U177</t>
  </si>
  <si>
    <t>U178</t>
  </si>
  <si>
    <t>U179</t>
  </si>
  <si>
    <t>U180</t>
  </si>
  <si>
    <t>U181</t>
  </si>
  <si>
    <t>U182</t>
  </si>
  <si>
    <t>U183</t>
  </si>
  <si>
    <t>U184</t>
  </si>
  <si>
    <t>U185</t>
  </si>
  <si>
    <t>U186</t>
  </si>
  <si>
    <t>U187</t>
  </si>
  <si>
    <t>U188</t>
  </si>
  <si>
    <t>U189</t>
  </si>
  <si>
    <t>U190</t>
  </si>
  <si>
    <t>U191</t>
  </si>
  <si>
    <t>U192</t>
  </si>
  <si>
    <t>U193</t>
  </si>
  <si>
    <t>U194</t>
  </si>
  <si>
    <t>U195</t>
  </si>
  <si>
    <t>U196</t>
  </si>
  <si>
    <t>U197</t>
  </si>
  <si>
    <t>U198</t>
  </si>
  <si>
    <t>U199</t>
  </si>
  <si>
    <t>U200</t>
  </si>
  <si>
    <t>U201</t>
  </si>
  <si>
    <t>U202</t>
  </si>
  <si>
    <t>U203</t>
  </si>
  <si>
    <t>U204</t>
  </si>
  <si>
    <t>U205</t>
  </si>
  <si>
    <t>U206</t>
  </si>
  <si>
    <t>U207</t>
  </si>
  <si>
    <t>U208</t>
  </si>
  <si>
    <t>U209</t>
  </si>
  <si>
    <t>U210</t>
  </si>
  <si>
    <t>U211</t>
  </si>
  <si>
    <t>U212</t>
  </si>
  <si>
    <t>U213</t>
  </si>
  <si>
    <t>U214</t>
  </si>
  <si>
    <t>U215</t>
  </si>
  <si>
    <t>U216</t>
  </si>
  <si>
    <t>U217</t>
  </si>
  <si>
    <t>U218</t>
  </si>
  <si>
    <t>U219</t>
  </si>
  <si>
    <t>U220</t>
  </si>
  <si>
    <t>U221</t>
  </si>
  <si>
    <t>U222</t>
  </si>
  <si>
    <t>U223</t>
  </si>
  <si>
    <t>U224</t>
  </si>
  <si>
    <t>U225</t>
  </si>
  <si>
    <t>U226</t>
  </si>
  <si>
    <t>U227</t>
  </si>
  <si>
    <t>U228</t>
  </si>
  <si>
    <t>U229</t>
  </si>
  <si>
    <t>U230</t>
  </si>
  <si>
    <t>U231</t>
  </si>
  <si>
    <t>U232</t>
  </si>
  <si>
    <t>U233</t>
  </si>
  <si>
    <t>U234</t>
  </si>
  <si>
    <t>U235</t>
  </si>
  <si>
    <t>U236</t>
  </si>
  <si>
    <t>U237</t>
  </si>
  <si>
    <t>U238</t>
  </si>
  <si>
    <t>U239</t>
  </si>
  <si>
    <t>U240</t>
  </si>
  <si>
    <t>U241</t>
  </si>
  <si>
    <t>U242</t>
  </si>
  <si>
    <t>U243</t>
  </si>
  <si>
    <t>U244</t>
  </si>
  <si>
    <t>U245</t>
  </si>
  <si>
    <t>U246</t>
  </si>
  <si>
    <t>U247</t>
  </si>
  <si>
    <t>U248</t>
  </si>
  <si>
    <t>U249</t>
  </si>
  <si>
    <t>U250</t>
  </si>
  <si>
    <t>U251</t>
  </si>
  <si>
    <t>U252</t>
  </si>
  <si>
    <t>U253</t>
  </si>
  <si>
    <t>U254</t>
  </si>
  <si>
    <t>U255</t>
  </si>
  <si>
    <t>U256</t>
  </si>
  <si>
    <t>U257</t>
  </si>
  <si>
    <t>U258</t>
  </si>
  <si>
    <t>U259</t>
  </si>
  <si>
    <t>U260</t>
  </si>
  <si>
    <t>U261</t>
  </si>
  <si>
    <t>U262</t>
  </si>
  <si>
    <t>U263</t>
  </si>
  <si>
    <t>U264</t>
  </si>
  <si>
    <t>U265</t>
  </si>
  <si>
    <t>U266</t>
  </si>
  <si>
    <t>U267</t>
  </si>
  <si>
    <t>U268</t>
  </si>
  <si>
    <t>U269</t>
  </si>
  <si>
    <t>U270</t>
  </si>
  <si>
    <t>U271</t>
  </si>
  <si>
    <t>U272</t>
  </si>
  <si>
    <t>U273</t>
  </si>
  <si>
    <t>U274</t>
  </si>
  <si>
    <t>U275</t>
  </si>
  <si>
    <t>U276</t>
  </si>
  <si>
    <t>U277</t>
  </si>
  <si>
    <t>U278</t>
  </si>
  <si>
    <t>U279</t>
  </si>
  <si>
    <t>U280</t>
  </si>
  <si>
    <t>U281</t>
  </si>
  <si>
    <t>U282</t>
  </si>
  <si>
    <t>U283</t>
  </si>
  <si>
    <t>U284</t>
  </si>
  <si>
    <t>U285</t>
  </si>
  <si>
    <t>U286</t>
  </si>
  <si>
    <t>U287</t>
  </si>
  <si>
    <t>U288</t>
  </si>
  <si>
    <t>U289</t>
  </si>
  <si>
    <t>U290</t>
  </si>
  <si>
    <t>U291</t>
  </si>
  <si>
    <t>U292</t>
  </si>
  <si>
    <t>U293</t>
  </si>
  <si>
    <t>U294</t>
  </si>
  <si>
    <t>U295</t>
  </si>
  <si>
    <t>U296</t>
  </si>
  <si>
    <t>U297</t>
  </si>
  <si>
    <t>U298</t>
  </si>
  <si>
    <t>U299</t>
  </si>
  <si>
    <t>U300</t>
  </si>
  <si>
    <t>U301</t>
  </si>
  <si>
    <t>U302</t>
  </si>
  <si>
    <t>U303</t>
  </si>
  <si>
    <t>U304</t>
  </si>
  <si>
    <t>U305</t>
  </si>
  <si>
    <t>U306</t>
  </si>
  <si>
    <t>U307</t>
  </si>
  <si>
    <t>U308</t>
  </si>
  <si>
    <t>U309</t>
  </si>
  <si>
    <t>U310</t>
  </si>
  <si>
    <t>U311</t>
  </si>
  <si>
    <t>U312</t>
  </si>
  <si>
    <t>U313</t>
  </si>
  <si>
    <t>U314</t>
  </si>
  <si>
    <t>U315</t>
  </si>
  <si>
    <t>U316</t>
  </si>
  <si>
    <t>U317</t>
  </si>
  <si>
    <t>U318</t>
  </si>
  <si>
    <t>U319</t>
  </si>
  <si>
    <t>U320</t>
  </si>
  <si>
    <t>U321</t>
  </si>
  <si>
    <t>U322</t>
  </si>
  <si>
    <t>U323</t>
  </si>
  <si>
    <t>U324</t>
  </si>
  <si>
    <t>U325</t>
  </si>
  <si>
    <t>U326</t>
  </si>
  <si>
    <t>U327</t>
  </si>
  <si>
    <t>U328</t>
  </si>
  <si>
    <t>U329</t>
  </si>
  <si>
    <t>U330</t>
  </si>
  <si>
    <t>U331</t>
  </si>
  <si>
    <t>U332</t>
  </si>
  <si>
    <t>U333</t>
  </si>
  <si>
    <t>U334</t>
  </si>
  <si>
    <t>U335</t>
  </si>
  <si>
    <t>U336</t>
  </si>
  <si>
    <t>U337</t>
  </si>
  <si>
    <t>U338</t>
  </si>
  <si>
    <t>U339</t>
  </si>
  <si>
    <t>U340</t>
  </si>
  <si>
    <t>U341</t>
  </si>
  <si>
    <t>U342</t>
  </si>
  <si>
    <t>U343</t>
  </si>
  <si>
    <t>U344</t>
  </si>
  <si>
    <t>U345</t>
  </si>
  <si>
    <t>U346</t>
  </si>
  <si>
    <t>U347</t>
  </si>
  <si>
    <t>U348</t>
  </si>
  <si>
    <t>U349</t>
  </si>
  <si>
    <t>U350</t>
  </si>
  <si>
    <t>U351</t>
  </si>
  <si>
    <t>U352</t>
  </si>
  <si>
    <t>U353</t>
  </si>
  <si>
    <t>U354</t>
  </si>
  <si>
    <t>U355</t>
  </si>
  <si>
    <t>U356</t>
  </si>
  <si>
    <t>U357</t>
  </si>
  <si>
    <t>U358</t>
  </si>
  <si>
    <t>U359</t>
  </si>
  <si>
    <t>U360</t>
  </si>
  <si>
    <t>U361</t>
  </si>
  <si>
    <t>U362</t>
  </si>
  <si>
    <t>U363</t>
  </si>
  <si>
    <t>U364</t>
  </si>
  <si>
    <t>U365</t>
  </si>
  <si>
    <t>U366</t>
  </si>
  <si>
    <t>U367</t>
  </si>
  <si>
    <t>U368</t>
  </si>
  <si>
    <t>U369</t>
  </si>
  <si>
    <t>U370</t>
  </si>
  <si>
    <t>U371</t>
  </si>
  <si>
    <t>U372</t>
  </si>
  <si>
    <t>U373</t>
  </si>
  <si>
    <t>U374</t>
  </si>
  <si>
    <t>U375</t>
  </si>
  <si>
    <t>U376</t>
  </si>
  <si>
    <t>U377</t>
  </si>
  <si>
    <t>U378</t>
  </si>
  <si>
    <t>U379</t>
  </si>
  <si>
    <t>U380</t>
  </si>
  <si>
    <t>U381</t>
  </si>
  <si>
    <t>U382</t>
  </si>
  <si>
    <t>U383</t>
  </si>
  <si>
    <t>U384</t>
  </si>
  <si>
    <t>U385</t>
  </si>
  <si>
    <t>U386</t>
  </si>
  <si>
    <t>U387</t>
  </si>
  <si>
    <t>U388</t>
  </si>
  <si>
    <t>U389</t>
  </si>
  <si>
    <t>U390</t>
  </si>
  <si>
    <t>U391</t>
  </si>
  <si>
    <t>U392</t>
  </si>
  <si>
    <t>U393</t>
  </si>
  <si>
    <t>U394</t>
  </si>
  <si>
    <t>U395</t>
  </si>
  <si>
    <t>U396</t>
  </si>
  <si>
    <t>U397</t>
  </si>
  <si>
    <t>U398</t>
  </si>
  <si>
    <t>U399</t>
  </si>
  <si>
    <t>U400</t>
  </si>
  <si>
    <t>U401</t>
  </si>
  <si>
    <t>U402</t>
  </si>
  <si>
    <t>U403</t>
  </si>
  <si>
    <t>U404</t>
  </si>
  <si>
    <t>U405</t>
  </si>
  <si>
    <t>U406</t>
  </si>
  <si>
    <t>U407</t>
  </si>
  <si>
    <t>U408</t>
  </si>
  <si>
    <t>U409</t>
  </si>
  <si>
    <t>U410</t>
  </si>
  <si>
    <t>U411</t>
  </si>
  <si>
    <t>U412</t>
  </si>
  <si>
    <t>U413</t>
  </si>
  <si>
    <t>U414</t>
  </si>
  <si>
    <t>U415</t>
  </si>
  <si>
    <t>U416</t>
  </si>
  <si>
    <t>U417</t>
  </si>
  <si>
    <t>U418</t>
  </si>
  <si>
    <t>U419</t>
  </si>
  <si>
    <t>U420</t>
  </si>
  <si>
    <t>U421</t>
  </si>
  <si>
    <t>U422</t>
  </si>
  <si>
    <t>U423</t>
  </si>
  <si>
    <t>U424</t>
  </si>
  <si>
    <t>U425</t>
  </si>
  <si>
    <t>U426</t>
  </si>
  <si>
    <t>U427</t>
  </si>
  <si>
    <t>U428</t>
  </si>
  <si>
    <t>U429</t>
  </si>
  <si>
    <t>U430</t>
  </si>
  <si>
    <t>U431</t>
  </si>
  <si>
    <t>U432</t>
  </si>
  <si>
    <t>U433</t>
  </si>
  <si>
    <t>U434</t>
  </si>
  <si>
    <t>U435</t>
  </si>
  <si>
    <t>U436</t>
  </si>
  <si>
    <t>U437</t>
  </si>
  <si>
    <t>U438</t>
  </si>
  <si>
    <t>U439</t>
  </si>
  <si>
    <t>U440</t>
  </si>
  <si>
    <t>U441</t>
  </si>
  <si>
    <t>U442</t>
  </si>
  <si>
    <t>U443</t>
  </si>
  <si>
    <t>U444</t>
  </si>
  <si>
    <t>U445</t>
  </si>
  <si>
    <t>U446</t>
  </si>
  <si>
    <t>U447</t>
  </si>
  <si>
    <t>U448</t>
  </si>
  <si>
    <t>U449</t>
  </si>
  <si>
    <t>U450</t>
  </si>
  <si>
    <t>U451</t>
  </si>
  <si>
    <t>U452</t>
  </si>
  <si>
    <t>U453</t>
  </si>
  <si>
    <t>U454</t>
  </si>
  <si>
    <t>U455</t>
  </si>
  <si>
    <t>U456</t>
  </si>
  <si>
    <t>U457</t>
  </si>
  <si>
    <t>U458</t>
  </si>
  <si>
    <t>U459</t>
  </si>
  <si>
    <t>U460</t>
  </si>
  <si>
    <t>U461</t>
  </si>
  <si>
    <t>U462</t>
  </si>
  <si>
    <t>U463</t>
  </si>
  <si>
    <t>U464</t>
  </si>
  <si>
    <t>U465</t>
  </si>
  <si>
    <t>U466</t>
  </si>
  <si>
    <t>U467</t>
  </si>
  <si>
    <t>U468</t>
  </si>
  <si>
    <t>U469</t>
  </si>
  <si>
    <t>U470</t>
  </si>
  <si>
    <t>U471</t>
  </si>
  <si>
    <t>U472</t>
  </si>
  <si>
    <t>U473</t>
  </si>
  <si>
    <t>U474</t>
  </si>
  <si>
    <t>U475</t>
  </si>
  <si>
    <t>U476</t>
  </si>
  <si>
    <t>U477</t>
  </si>
  <si>
    <t>U478</t>
  </si>
  <si>
    <t>U479</t>
  </si>
  <si>
    <t>U480</t>
  </si>
  <si>
    <t>U481</t>
  </si>
  <si>
    <t>U482</t>
  </si>
  <si>
    <t>U483</t>
  </si>
  <si>
    <t>U484</t>
  </si>
  <si>
    <t>U485</t>
  </si>
  <si>
    <t>U486</t>
  </si>
  <si>
    <t>U487</t>
  </si>
  <si>
    <t>U488</t>
  </si>
  <si>
    <t>U489</t>
  </si>
  <si>
    <t>U490</t>
  </si>
  <si>
    <t>U491</t>
  </si>
  <si>
    <t>U492</t>
  </si>
  <si>
    <t>U493</t>
  </si>
  <si>
    <t>U494</t>
  </si>
  <si>
    <t>U495</t>
  </si>
  <si>
    <t>U496</t>
  </si>
  <si>
    <t>U497</t>
  </si>
  <si>
    <t>U498</t>
  </si>
  <si>
    <t>U499</t>
  </si>
  <si>
    <t>U500</t>
  </si>
  <si>
    <t>U501</t>
  </si>
  <si>
    <t>U502</t>
  </si>
  <si>
    <t>U503</t>
  </si>
  <si>
    <t>U504</t>
  </si>
  <si>
    <t>U505</t>
  </si>
  <si>
    <t>U506</t>
  </si>
  <si>
    <t>U507</t>
  </si>
  <si>
    <t>U508</t>
  </si>
  <si>
    <t>U509</t>
  </si>
  <si>
    <t>U510</t>
  </si>
  <si>
    <t>U511</t>
  </si>
  <si>
    <t>U512</t>
  </si>
  <si>
    <t>U513</t>
  </si>
  <si>
    <t>U514</t>
  </si>
  <si>
    <t>U515</t>
  </si>
  <si>
    <t>U516</t>
  </si>
  <si>
    <t>U517</t>
  </si>
  <si>
    <t>U518</t>
  </si>
  <si>
    <t>U519</t>
  </si>
  <si>
    <t>U520</t>
  </si>
  <si>
    <t>U521</t>
  </si>
  <si>
    <t>U522</t>
  </si>
  <si>
    <t>U523</t>
  </si>
  <si>
    <t>U524</t>
  </si>
  <si>
    <t>U525</t>
  </si>
  <si>
    <t>U526</t>
  </si>
  <si>
    <t>U527</t>
  </si>
  <si>
    <t>U528</t>
  </si>
  <si>
    <t>U529</t>
  </si>
  <si>
    <t>U530</t>
  </si>
  <si>
    <t>U531</t>
  </si>
  <si>
    <t>U532</t>
  </si>
  <si>
    <t>U533</t>
  </si>
  <si>
    <t>U534</t>
  </si>
  <si>
    <t>U535</t>
  </si>
  <si>
    <t>U536</t>
  </si>
  <si>
    <t>U537</t>
  </si>
  <si>
    <t>U538</t>
  </si>
  <si>
    <t>U539</t>
  </si>
  <si>
    <t>U540</t>
  </si>
  <si>
    <t>U541</t>
  </si>
  <si>
    <t>U542</t>
  </si>
  <si>
    <t>U543</t>
  </si>
  <si>
    <t>U544</t>
  </si>
  <si>
    <t>U545</t>
  </si>
  <si>
    <t>U546</t>
  </si>
  <si>
    <t>U547</t>
  </si>
  <si>
    <t>U548</t>
  </si>
  <si>
    <t>U549</t>
  </si>
  <si>
    <t>U550</t>
  </si>
  <si>
    <t>U551</t>
  </si>
  <si>
    <t>U552</t>
  </si>
  <si>
    <t>U553</t>
  </si>
  <si>
    <t>U554</t>
  </si>
  <si>
    <t>U555</t>
  </si>
  <si>
    <t>U556</t>
  </si>
  <si>
    <t>U557</t>
  </si>
  <si>
    <t>U558</t>
  </si>
  <si>
    <t>U559</t>
  </si>
  <si>
    <t>U560</t>
  </si>
  <si>
    <t>U561</t>
  </si>
  <si>
    <t>U562</t>
  </si>
  <si>
    <t>U563</t>
  </si>
  <si>
    <t>U564</t>
  </si>
  <si>
    <t>U565</t>
  </si>
  <si>
    <t>U566</t>
  </si>
  <si>
    <t>U567</t>
  </si>
  <si>
    <t>U568</t>
  </si>
  <si>
    <t>U569</t>
  </si>
  <si>
    <t>U570</t>
  </si>
  <si>
    <t>U571</t>
  </si>
  <si>
    <t>U572</t>
  </si>
  <si>
    <t>U573</t>
  </si>
  <si>
    <t>U574</t>
  </si>
  <si>
    <t>U575</t>
  </si>
  <si>
    <t>U576</t>
  </si>
  <si>
    <t>U577</t>
  </si>
  <si>
    <t>U578</t>
  </si>
  <si>
    <t>U579</t>
  </si>
  <si>
    <t>U580</t>
  </si>
  <si>
    <t>U581</t>
  </si>
  <si>
    <t>U582</t>
  </si>
  <si>
    <t>U583</t>
  </si>
  <si>
    <t>U584</t>
  </si>
  <si>
    <t>U585</t>
  </si>
  <si>
    <t>U586</t>
  </si>
  <si>
    <t>U587</t>
  </si>
  <si>
    <t>U588</t>
  </si>
  <si>
    <t>U589</t>
  </si>
  <si>
    <t>U590</t>
  </si>
  <si>
    <t>U591</t>
  </si>
  <si>
    <t>U592</t>
  </si>
  <si>
    <t>U593</t>
  </si>
  <si>
    <t>U594</t>
  </si>
  <si>
    <t>U595</t>
  </si>
  <si>
    <t>U596</t>
  </si>
  <si>
    <t>U597</t>
  </si>
  <si>
    <t>U598</t>
  </si>
  <si>
    <t>U599</t>
  </si>
  <si>
    <t>U600</t>
  </si>
  <si>
    <t>U601</t>
  </si>
  <si>
    <t>U602</t>
  </si>
  <si>
    <t>U603</t>
  </si>
  <si>
    <t>U604</t>
  </si>
  <si>
    <t>U605</t>
  </si>
  <si>
    <t>U606</t>
  </si>
  <si>
    <t>U607</t>
  </si>
  <si>
    <t>U608</t>
  </si>
  <si>
    <t>U609</t>
  </si>
  <si>
    <t>U610</t>
  </si>
  <si>
    <t>U611</t>
  </si>
  <si>
    <t>U612</t>
  </si>
  <si>
    <t>U613</t>
  </si>
  <si>
    <t>U614</t>
  </si>
  <si>
    <t>U615</t>
  </si>
  <si>
    <t>U616</t>
  </si>
  <si>
    <t>U617</t>
  </si>
  <si>
    <t>U618</t>
  </si>
  <si>
    <t>U619</t>
  </si>
  <si>
    <t>U620</t>
  </si>
  <si>
    <t>U621</t>
  </si>
  <si>
    <t>U622</t>
  </si>
  <si>
    <t>U623</t>
  </si>
  <si>
    <t>U624</t>
  </si>
  <si>
    <t>U625</t>
  </si>
  <si>
    <t>U626</t>
  </si>
  <si>
    <t>U627</t>
  </si>
  <si>
    <t>U628</t>
  </si>
  <si>
    <t>U629</t>
  </si>
  <si>
    <t>U630</t>
  </si>
  <si>
    <t>U631</t>
  </si>
  <si>
    <t>U632</t>
  </si>
  <si>
    <t>U633</t>
  </si>
  <si>
    <t>U634</t>
  </si>
  <si>
    <t>U635</t>
  </si>
  <si>
    <t>U636</t>
  </si>
  <si>
    <t>U637</t>
  </si>
  <si>
    <t>U638</t>
  </si>
  <si>
    <t>U639</t>
  </si>
  <si>
    <t>U640</t>
  </si>
  <si>
    <t>U641</t>
  </si>
  <si>
    <t>U642</t>
  </si>
  <si>
    <t>U643</t>
  </si>
  <si>
    <t>U644</t>
  </si>
  <si>
    <t>U645</t>
  </si>
  <si>
    <t>U646</t>
  </si>
  <si>
    <t>U647</t>
  </si>
  <si>
    <t>U648</t>
  </si>
  <si>
    <t>U649</t>
  </si>
  <si>
    <t>U650</t>
  </si>
  <si>
    <t>U651</t>
  </si>
  <si>
    <t>U652</t>
  </si>
  <si>
    <t>U653</t>
  </si>
  <si>
    <t>U654</t>
  </si>
  <si>
    <t>U655</t>
  </si>
  <si>
    <t>U656</t>
  </si>
  <si>
    <t>U657</t>
  </si>
  <si>
    <t>U658</t>
  </si>
  <si>
    <t>U659</t>
  </si>
  <si>
    <t>U660</t>
  </si>
  <si>
    <t>U661</t>
  </si>
  <si>
    <t>U662</t>
  </si>
  <si>
    <t>U663</t>
  </si>
  <si>
    <t>U664</t>
  </si>
  <si>
    <t>U665</t>
  </si>
  <si>
    <t>U666</t>
  </si>
  <si>
    <t>U667</t>
  </si>
  <si>
    <t>U668</t>
  </si>
  <si>
    <t>U669</t>
  </si>
  <si>
    <t>U670</t>
  </si>
  <si>
    <t>U671</t>
  </si>
  <si>
    <t>U672</t>
  </si>
  <si>
    <t>U673</t>
  </si>
  <si>
    <t>U674</t>
  </si>
  <si>
    <t>U675</t>
  </si>
  <si>
    <t>U676</t>
  </si>
  <si>
    <t>U677</t>
  </si>
  <si>
    <t>U678</t>
  </si>
  <si>
    <t>U679</t>
  </si>
  <si>
    <t>U680</t>
  </si>
  <si>
    <t>U681</t>
  </si>
  <si>
    <t>U682</t>
  </si>
  <si>
    <t>U683</t>
  </si>
  <si>
    <t>U684</t>
  </si>
  <si>
    <t>U685</t>
  </si>
  <si>
    <t>U686</t>
  </si>
  <si>
    <t>U687</t>
  </si>
  <si>
    <t>U688</t>
  </si>
  <si>
    <t>U689</t>
  </si>
  <si>
    <t>U690</t>
  </si>
  <si>
    <t>U691</t>
  </si>
  <si>
    <t>U692</t>
  </si>
  <si>
    <t>U693</t>
  </si>
  <si>
    <t>U694</t>
  </si>
  <si>
    <t>U695</t>
  </si>
  <si>
    <t>U696</t>
  </si>
  <si>
    <t>U697</t>
  </si>
  <si>
    <t>U698</t>
  </si>
  <si>
    <t>U699</t>
  </si>
  <si>
    <t>U700</t>
  </si>
  <si>
    <t>U701</t>
  </si>
  <si>
    <t>U702</t>
  </si>
  <si>
    <t>U703</t>
  </si>
  <si>
    <t>U704</t>
  </si>
  <si>
    <t>U705</t>
  </si>
  <si>
    <t>U706</t>
  </si>
  <si>
    <t>U707</t>
  </si>
  <si>
    <t>U708</t>
  </si>
  <si>
    <t>U709</t>
  </si>
  <si>
    <t>U710</t>
  </si>
  <si>
    <t>U711</t>
  </si>
  <si>
    <t>U712</t>
  </si>
  <si>
    <t>U713</t>
  </si>
  <si>
    <t>U714</t>
  </si>
  <si>
    <t>U715</t>
  </si>
  <si>
    <t>U716</t>
  </si>
  <si>
    <t>U717</t>
  </si>
  <si>
    <t>U718</t>
  </si>
  <si>
    <t>U719</t>
  </si>
  <si>
    <t>U720</t>
  </si>
  <si>
    <t>U721</t>
  </si>
  <si>
    <t>U722</t>
  </si>
  <si>
    <t>U723</t>
  </si>
  <si>
    <t>U724</t>
  </si>
  <si>
    <t>U725</t>
  </si>
  <si>
    <t>U726</t>
  </si>
  <si>
    <t>U727</t>
  </si>
  <si>
    <t>U728</t>
  </si>
  <si>
    <t>U729</t>
  </si>
  <si>
    <t>U730</t>
  </si>
  <si>
    <t>U731</t>
  </si>
  <si>
    <t>U732</t>
  </si>
  <si>
    <t>U733</t>
  </si>
  <si>
    <t>U734</t>
  </si>
  <si>
    <t>U735</t>
  </si>
  <si>
    <t>U736</t>
  </si>
  <si>
    <t>U737</t>
  </si>
  <si>
    <t>U738</t>
  </si>
  <si>
    <t>U739</t>
  </si>
  <si>
    <t>U740</t>
  </si>
  <si>
    <t>U741</t>
  </si>
  <si>
    <t>U742</t>
  </si>
  <si>
    <t>U743</t>
  </si>
  <si>
    <t>U744</t>
  </si>
  <si>
    <t>U745</t>
  </si>
  <si>
    <t>U746</t>
  </si>
  <si>
    <t>U747</t>
  </si>
  <si>
    <t>U748</t>
  </si>
  <si>
    <t>U749</t>
  </si>
  <si>
    <t>U750</t>
  </si>
  <si>
    <t>U751</t>
  </si>
  <si>
    <t>U752</t>
  </si>
  <si>
    <t>U753</t>
  </si>
  <si>
    <t>U754</t>
  </si>
  <si>
    <t>U755</t>
  </si>
  <si>
    <t>U756</t>
  </si>
  <si>
    <t>U757</t>
  </si>
  <si>
    <t>U758</t>
  </si>
  <si>
    <t>U759</t>
  </si>
  <si>
    <t>U760</t>
  </si>
  <si>
    <t>U761</t>
  </si>
  <si>
    <t>U762</t>
  </si>
  <si>
    <t>U763</t>
  </si>
  <si>
    <t>U764</t>
  </si>
  <si>
    <t>U765</t>
  </si>
  <si>
    <t>U766</t>
  </si>
  <si>
    <t>U767</t>
  </si>
  <si>
    <t>U768</t>
  </si>
  <si>
    <t>U769</t>
  </si>
  <si>
    <t>U770</t>
  </si>
  <si>
    <t>U771</t>
  </si>
  <si>
    <t>U772</t>
  </si>
  <si>
    <t>U773</t>
  </si>
  <si>
    <t>U774</t>
  </si>
  <si>
    <t>U775</t>
  </si>
  <si>
    <t>U776</t>
  </si>
  <si>
    <t>U777</t>
  </si>
  <si>
    <t>U778</t>
  </si>
  <si>
    <t>U779</t>
  </si>
  <si>
    <t>U780</t>
  </si>
  <si>
    <t>U781</t>
  </si>
  <si>
    <t>U782</t>
  </si>
  <si>
    <t>U783</t>
  </si>
  <si>
    <t>U784</t>
  </si>
  <si>
    <t>U785</t>
  </si>
  <si>
    <t>U786</t>
  </si>
  <si>
    <t>U787</t>
  </si>
  <si>
    <t>U788</t>
  </si>
  <si>
    <t>U789</t>
  </si>
  <si>
    <t>U790</t>
  </si>
  <si>
    <t>U791</t>
  </si>
  <si>
    <t>U792</t>
  </si>
  <si>
    <t>U793</t>
  </si>
  <si>
    <t>U794</t>
  </si>
  <si>
    <t>U795</t>
  </si>
  <si>
    <t>U796</t>
  </si>
  <si>
    <t>U797</t>
  </si>
  <si>
    <t>U798</t>
  </si>
  <si>
    <t>U799</t>
  </si>
  <si>
    <t>U800</t>
  </si>
  <si>
    <t>U801</t>
  </si>
  <si>
    <t>U802</t>
  </si>
  <si>
    <t>U803</t>
  </si>
  <si>
    <t>U804</t>
  </si>
  <si>
    <t>U805</t>
  </si>
  <si>
    <t>U806</t>
  </si>
  <si>
    <t>U807</t>
  </si>
  <si>
    <t>U808</t>
  </si>
  <si>
    <t>U809</t>
  </si>
  <si>
    <t>U810</t>
  </si>
  <si>
    <t>U811</t>
  </si>
  <si>
    <t>U812</t>
  </si>
  <si>
    <t>U813</t>
  </si>
  <si>
    <t>U814</t>
  </si>
  <si>
    <t>U815</t>
  </si>
  <si>
    <t>U816</t>
  </si>
  <si>
    <t>U817</t>
  </si>
  <si>
    <t>U818</t>
  </si>
  <si>
    <t>U819</t>
  </si>
  <si>
    <t>U820</t>
  </si>
  <si>
    <t>U821</t>
  </si>
  <si>
    <t>U822</t>
  </si>
  <si>
    <t>U823</t>
  </si>
  <si>
    <t>U824</t>
  </si>
  <si>
    <t>U825</t>
  </si>
  <si>
    <t>U826</t>
  </si>
  <si>
    <t>U827</t>
  </si>
  <si>
    <t>U828</t>
  </si>
  <si>
    <t>U829</t>
  </si>
  <si>
    <t>U830</t>
  </si>
  <si>
    <t>U831</t>
  </si>
  <si>
    <t>U832</t>
  </si>
  <si>
    <t>U833</t>
  </si>
  <si>
    <t>U834</t>
  </si>
  <si>
    <t>U835</t>
  </si>
  <si>
    <t>U836</t>
  </si>
  <si>
    <t>U837</t>
  </si>
  <si>
    <t>U838</t>
  </si>
  <si>
    <t>U839</t>
  </si>
  <si>
    <t>U840</t>
  </si>
  <si>
    <t>U841</t>
  </si>
  <si>
    <t>U842</t>
  </si>
  <si>
    <t>U843</t>
  </si>
  <si>
    <t>U844</t>
  </si>
  <si>
    <t>U845</t>
  </si>
  <si>
    <t>U846</t>
  </si>
  <si>
    <t>U847</t>
  </si>
  <si>
    <t>U848</t>
  </si>
  <si>
    <t>U849</t>
  </si>
  <si>
    <t>U850</t>
  </si>
  <si>
    <t>U851</t>
  </si>
  <si>
    <t>U852</t>
  </si>
  <si>
    <t>U853</t>
  </si>
  <si>
    <t>U854</t>
  </si>
  <si>
    <t>U855</t>
  </si>
  <si>
    <t>U856</t>
  </si>
  <si>
    <t>U857</t>
  </si>
  <si>
    <t>U858</t>
  </si>
  <si>
    <t>U859</t>
  </si>
  <si>
    <t>U860</t>
  </si>
  <si>
    <t>U861</t>
  </si>
  <si>
    <t>U862</t>
  </si>
  <si>
    <t>U863</t>
  </si>
  <si>
    <t>U864</t>
  </si>
  <si>
    <t>U865</t>
  </si>
  <si>
    <t>U866</t>
  </si>
  <si>
    <t>U867</t>
  </si>
  <si>
    <t>U868</t>
  </si>
  <si>
    <t>U869</t>
  </si>
  <si>
    <t>U870</t>
  </si>
  <si>
    <t>U871</t>
  </si>
  <si>
    <t>U872</t>
  </si>
  <si>
    <t>U873</t>
  </si>
  <si>
    <t>U874</t>
  </si>
  <si>
    <t>U875</t>
  </si>
  <si>
    <t>U876</t>
  </si>
  <si>
    <t>U877</t>
  </si>
  <si>
    <t>U878</t>
  </si>
  <si>
    <t>U879</t>
  </si>
  <si>
    <t>U880</t>
  </si>
  <si>
    <t>U881</t>
  </si>
  <si>
    <t>U882</t>
  </si>
  <si>
    <t>U883</t>
  </si>
  <si>
    <t>U884</t>
  </si>
  <si>
    <t>U885</t>
  </si>
  <si>
    <t>U886</t>
  </si>
  <si>
    <t>U887</t>
  </si>
  <si>
    <t>U888</t>
  </si>
  <si>
    <t>U889</t>
  </si>
  <si>
    <t>U890</t>
  </si>
  <si>
    <t>U891</t>
  </si>
  <si>
    <t>U892</t>
  </si>
  <si>
    <t>U893</t>
  </si>
  <si>
    <t>U894</t>
  </si>
  <si>
    <t>U895</t>
  </si>
  <si>
    <t>U896</t>
  </si>
  <si>
    <t>U897</t>
  </si>
  <si>
    <t>U898</t>
  </si>
  <si>
    <t>U899</t>
  </si>
  <si>
    <t>U900</t>
  </si>
  <si>
    <t>U901</t>
  </si>
  <si>
    <t>U902</t>
  </si>
  <si>
    <t>U903</t>
  </si>
  <si>
    <t>U904</t>
  </si>
  <si>
    <t>U905</t>
  </si>
  <si>
    <t>U906</t>
  </si>
  <si>
    <t>U907</t>
  </si>
  <si>
    <t>U908</t>
  </si>
  <si>
    <t>U909</t>
  </si>
  <si>
    <t>U910</t>
  </si>
  <si>
    <t>U911</t>
  </si>
  <si>
    <t>U912</t>
  </si>
  <si>
    <t>U913</t>
  </si>
  <si>
    <t>U914</t>
  </si>
  <si>
    <t>U915</t>
  </si>
  <si>
    <t>U916</t>
  </si>
  <si>
    <t>U917</t>
  </si>
  <si>
    <t>U918</t>
  </si>
  <si>
    <t>U919</t>
  </si>
  <si>
    <t>U920</t>
  </si>
  <si>
    <t>U921</t>
  </si>
  <si>
    <t>U922</t>
  </si>
  <si>
    <t>U923</t>
  </si>
  <si>
    <t>U924</t>
  </si>
  <si>
    <t>U925</t>
  </si>
  <si>
    <t>U926</t>
  </si>
  <si>
    <t>U927</t>
  </si>
  <si>
    <t>U928</t>
  </si>
  <si>
    <t>U929</t>
  </si>
  <si>
    <t>U930</t>
  </si>
  <si>
    <t>U931</t>
  </si>
  <si>
    <t>U932</t>
  </si>
  <si>
    <t>U933</t>
  </si>
  <si>
    <t>U934</t>
  </si>
  <si>
    <t>U935</t>
  </si>
  <si>
    <t>U936</t>
  </si>
  <si>
    <t>U937</t>
  </si>
  <si>
    <t>U938</t>
  </si>
  <si>
    <t>U939</t>
  </si>
  <si>
    <t>U940</t>
  </si>
  <si>
    <t>U941</t>
  </si>
  <si>
    <t>U942</t>
  </si>
  <si>
    <t>U943</t>
  </si>
  <si>
    <t>U944</t>
  </si>
  <si>
    <t>U945</t>
  </si>
  <si>
    <t>U946</t>
  </si>
  <si>
    <t>U947</t>
  </si>
  <si>
    <t>U948</t>
  </si>
  <si>
    <t>U949</t>
  </si>
  <si>
    <t>U950</t>
  </si>
  <si>
    <t>U951</t>
  </si>
  <si>
    <t>U952</t>
  </si>
  <si>
    <t>U953</t>
  </si>
  <si>
    <t>U954</t>
  </si>
  <si>
    <t>U955</t>
  </si>
  <si>
    <t>U956</t>
  </si>
  <si>
    <t>U957</t>
  </si>
  <si>
    <t>U958</t>
  </si>
  <si>
    <t>U959</t>
  </si>
  <si>
    <t>U960</t>
  </si>
  <si>
    <t>U961</t>
  </si>
  <si>
    <t>U962</t>
  </si>
  <si>
    <t>U963</t>
  </si>
  <si>
    <t>U964</t>
  </si>
  <si>
    <t>U965</t>
  </si>
  <si>
    <t>U966</t>
  </si>
  <si>
    <t>U967</t>
  </si>
  <si>
    <t>U968</t>
  </si>
  <si>
    <t>U969</t>
  </si>
  <si>
    <t>U970</t>
  </si>
  <si>
    <t>U971</t>
  </si>
  <si>
    <t>U972</t>
  </si>
  <si>
    <t>U973</t>
  </si>
  <si>
    <t>U974</t>
  </si>
  <si>
    <t>U975</t>
  </si>
  <si>
    <t>U976</t>
  </si>
  <si>
    <t>U977</t>
  </si>
  <si>
    <t>U978</t>
  </si>
  <si>
    <t>U979</t>
  </si>
  <si>
    <t>U980</t>
  </si>
  <si>
    <t>U981</t>
  </si>
  <si>
    <t>U982</t>
  </si>
  <si>
    <t>U983</t>
  </si>
  <si>
    <t>U984</t>
  </si>
  <si>
    <t>U985</t>
  </si>
  <si>
    <t>U986</t>
  </si>
  <si>
    <t>U987</t>
  </si>
  <si>
    <t>U988</t>
  </si>
  <si>
    <t>U989</t>
  </si>
  <si>
    <t>U990</t>
  </si>
  <si>
    <t>U991</t>
  </si>
  <si>
    <t>U992</t>
  </si>
  <si>
    <t>U993</t>
  </si>
  <si>
    <t>U994</t>
  </si>
  <si>
    <t>U995</t>
  </si>
  <si>
    <t>U996</t>
  </si>
  <si>
    <t>U997</t>
  </si>
  <si>
    <t>U998</t>
  </si>
  <si>
    <t>U999</t>
  </si>
  <si>
    <t>U1000</t>
  </si>
  <si>
    <t>U1001</t>
  </si>
  <si>
    <t>U1002</t>
  </si>
  <si>
    <t>U1003</t>
  </si>
  <si>
    <t>U1004</t>
  </si>
  <si>
    <t>U1005</t>
  </si>
  <si>
    <t>U1006</t>
  </si>
  <si>
    <t>U1007</t>
  </si>
  <si>
    <t>U1008</t>
  </si>
  <si>
    <t>U1009</t>
  </si>
  <si>
    <t>U1010</t>
  </si>
  <si>
    <t>U1011</t>
  </si>
  <si>
    <t>U1012</t>
  </si>
  <si>
    <t>U1013</t>
  </si>
  <si>
    <t>U1014</t>
  </si>
  <si>
    <t>U1015</t>
  </si>
  <si>
    <t>U1016</t>
  </si>
  <si>
    <t>U1017</t>
  </si>
  <si>
    <t>U1018</t>
  </si>
  <si>
    <t>U1019</t>
  </si>
  <si>
    <t>U1020</t>
  </si>
  <si>
    <t>U1021</t>
  </si>
  <si>
    <t>U1022</t>
  </si>
  <si>
    <t>U1023</t>
  </si>
  <si>
    <t>U1024</t>
  </si>
  <si>
    <t>U1025</t>
  </si>
  <si>
    <t>U1026</t>
  </si>
  <si>
    <t>U1027</t>
  </si>
  <si>
    <t>U1028</t>
  </si>
  <si>
    <t>U1029</t>
  </si>
  <si>
    <t>U1030</t>
  </si>
  <si>
    <t>U1031</t>
  </si>
  <si>
    <t>U1032</t>
  </si>
  <si>
    <t>U1033</t>
  </si>
  <si>
    <t>U1034</t>
  </si>
  <si>
    <t>U1035</t>
  </si>
  <si>
    <t>U1036</t>
  </si>
  <si>
    <t>U1037</t>
  </si>
  <si>
    <t>U1038</t>
  </si>
  <si>
    <t>U1039</t>
  </si>
  <si>
    <t>U1040</t>
  </si>
  <si>
    <t>U1041</t>
  </si>
  <si>
    <t>U1042</t>
  </si>
  <si>
    <t>U1043</t>
  </si>
  <si>
    <t>U1044</t>
  </si>
  <si>
    <t>U1045</t>
  </si>
  <si>
    <t>U1046</t>
  </si>
  <si>
    <t>U1047</t>
  </si>
  <si>
    <t>U1048</t>
  </si>
  <si>
    <t>U1049</t>
  </si>
  <si>
    <t>U1050</t>
  </si>
  <si>
    <t>U1051</t>
  </si>
  <si>
    <t>U1052</t>
  </si>
  <si>
    <t>U1053</t>
  </si>
  <si>
    <t>U1054</t>
  </si>
  <si>
    <t>U1055</t>
  </si>
  <si>
    <t>U1056</t>
  </si>
  <si>
    <t>U1057</t>
  </si>
  <si>
    <t>U1058</t>
  </si>
  <si>
    <t>U1059</t>
  </si>
  <si>
    <t>U1060</t>
  </si>
  <si>
    <t>U1061</t>
  </si>
  <si>
    <t>U1062</t>
  </si>
  <si>
    <t>U1063</t>
  </si>
  <si>
    <t>U1064</t>
  </si>
  <si>
    <t>U1065</t>
  </si>
  <si>
    <t>U1066</t>
  </si>
  <si>
    <t>U1067</t>
  </si>
  <si>
    <t>U1068</t>
  </si>
  <si>
    <t>U1069</t>
  </si>
  <si>
    <t>U1070</t>
  </si>
  <si>
    <t>U1071</t>
  </si>
  <si>
    <t>U1072</t>
  </si>
  <si>
    <t>U1073</t>
  </si>
  <si>
    <t>U1074</t>
  </si>
  <si>
    <t>U1075</t>
  </si>
  <si>
    <t>U1076</t>
  </si>
  <si>
    <t>U1077</t>
  </si>
  <si>
    <t>U1078</t>
  </si>
  <si>
    <t>U1079</t>
  </si>
  <si>
    <t>U1080</t>
  </si>
  <si>
    <t>U1081</t>
  </si>
  <si>
    <t>U1082</t>
  </si>
  <si>
    <t>U1083</t>
  </si>
  <si>
    <t>U1084</t>
  </si>
  <si>
    <t>U1085</t>
  </si>
  <si>
    <t>U1086</t>
  </si>
  <si>
    <t>U1087</t>
  </si>
  <si>
    <t>U1088</t>
  </si>
  <si>
    <t>U1089</t>
  </si>
  <si>
    <t>U1090</t>
  </si>
  <si>
    <t>U1091</t>
  </si>
  <si>
    <t>U1092</t>
  </si>
  <si>
    <t>U1093</t>
  </si>
  <si>
    <t>U1094</t>
  </si>
  <si>
    <t>U1095</t>
  </si>
  <si>
    <t>U1096</t>
  </si>
  <si>
    <t>U1097</t>
  </si>
  <si>
    <t>U1098</t>
  </si>
  <si>
    <t>U1099</t>
  </si>
  <si>
    <t>U1100</t>
  </si>
  <si>
    <t>U1101</t>
  </si>
  <si>
    <t>U1102</t>
  </si>
  <si>
    <t>U1103</t>
  </si>
  <si>
    <t>U1104</t>
  </si>
  <si>
    <t>U1105</t>
  </si>
  <si>
    <t>U1106</t>
  </si>
  <si>
    <t>U1107</t>
  </si>
  <si>
    <t>U1108</t>
  </si>
  <si>
    <t>U1109</t>
  </si>
  <si>
    <t>U1110</t>
  </si>
  <si>
    <t>U1111</t>
  </si>
  <si>
    <t>U1112</t>
  </si>
  <si>
    <t>U1113</t>
  </si>
  <si>
    <t>U1114</t>
  </si>
  <si>
    <t>U1115</t>
  </si>
  <si>
    <t>U1116</t>
  </si>
  <si>
    <t>U1117</t>
  </si>
  <si>
    <t>U1118</t>
  </si>
  <si>
    <t>U1119</t>
  </si>
  <si>
    <t>U1120</t>
  </si>
  <si>
    <t>U1121</t>
  </si>
  <si>
    <t>U1122</t>
  </si>
  <si>
    <t>U1123</t>
  </si>
  <si>
    <t>U1124</t>
  </si>
  <si>
    <t>U1125</t>
  </si>
  <si>
    <t>U1126</t>
  </si>
  <si>
    <t>U1127</t>
  </si>
  <si>
    <t>U1128</t>
  </si>
  <si>
    <t>U1129</t>
  </si>
  <si>
    <t>U1130</t>
  </si>
  <si>
    <t>U1131</t>
  </si>
  <si>
    <t>U1132</t>
  </si>
  <si>
    <t>U1133</t>
  </si>
  <si>
    <t>U1134</t>
  </si>
  <si>
    <t>U1135</t>
  </si>
  <si>
    <t>U1136</t>
  </si>
  <si>
    <t>U1137</t>
  </si>
  <si>
    <t>U1138</t>
  </si>
  <si>
    <t>U1139</t>
  </si>
  <si>
    <t>U1140</t>
  </si>
  <si>
    <t>U1141</t>
  </si>
  <si>
    <t>U1142</t>
  </si>
  <si>
    <t>U1143</t>
  </si>
  <si>
    <t>U1144</t>
  </si>
  <si>
    <t>U1145</t>
  </si>
  <si>
    <t>U1146</t>
  </si>
  <si>
    <t>U1147</t>
  </si>
  <si>
    <t>U1148</t>
  </si>
  <si>
    <t>U1149</t>
  </si>
  <si>
    <t>U1150</t>
  </si>
  <si>
    <t>U1151</t>
  </si>
  <si>
    <t>U1152</t>
  </si>
  <si>
    <t>U1153</t>
  </si>
  <si>
    <t>U1154</t>
  </si>
  <si>
    <t>U1155</t>
  </si>
  <si>
    <t>U1156</t>
  </si>
  <si>
    <t>U1157</t>
  </si>
  <si>
    <t>U1158</t>
  </si>
  <si>
    <t>U1159</t>
  </si>
  <si>
    <t>U1160</t>
  </si>
  <si>
    <t>U1161</t>
  </si>
  <si>
    <t>U1162</t>
  </si>
  <si>
    <t>U1163</t>
  </si>
  <si>
    <t>U1164</t>
  </si>
  <si>
    <t>U1165</t>
  </si>
  <si>
    <t>U1166</t>
  </si>
  <si>
    <t>U1167</t>
  </si>
  <si>
    <t>U1168</t>
  </si>
  <si>
    <t>U1169</t>
  </si>
  <si>
    <t>U1170</t>
  </si>
  <si>
    <t>U1171</t>
  </si>
  <si>
    <t>U1172</t>
  </si>
  <si>
    <t>U1173</t>
  </si>
  <si>
    <t>U1174</t>
  </si>
  <si>
    <t>U1175</t>
  </si>
  <si>
    <t>U1176</t>
  </si>
  <si>
    <t>U1177</t>
  </si>
  <si>
    <t>U1178</t>
  </si>
  <si>
    <t>U1179</t>
  </si>
  <si>
    <t>U1180</t>
  </si>
  <si>
    <t>U1181</t>
  </si>
  <si>
    <t>U1182</t>
  </si>
  <si>
    <t>U1183</t>
  </si>
  <si>
    <t>U1184</t>
  </si>
  <si>
    <t>U1185</t>
  </si>
  <si>
    <t>U1186</t>
  </si>
  <si>
    <t>U1187</t>
  </si>
  <si>
    <t>U1188</t>
  </si>
  <si>
    <t>U1189</t>
  </si>
  <si>
    <t>U1190</t>
  </si>
  <si>
    <t>U1191</t>
  </si>
  <si>
    <t>U1192</t>
  </si>
  <si>
    <t>U1193</t>
  </si>
  <si>
    <t>U1194</t>
  </si>
  <si>
    <t>U1195</t>
  </si>
  <si>
    <t>U1196</t>
  </si>
  <si>
    <t>U1197</t>
  </si>
  <si>
    <t>U1198</t>
  </si>
  <si>
    <t>U1199</t>
  </si>
  <si>
    <t>U1200</t>
  </si>
  <si>
    <t>U1201</t>
  </si>
  <si>
    <t>U1202</t>
  </si>
  <si>
    <t>U1203</t>
  </si>
  <si>
    <t>U1204</t>
  </si>
  <si>
    <t>U1205</t>
  </si>
  <si>
    <t>U1206</t>
  </si>
  <si>
    <t>U1207</t>
  </si>
  <si>
    <t>U1208</t>
  </si>
  <si>
    <t>U1209</t>
  </si>
  <si>
    <t>U1210</t>
  </si>
  <si>
    <t>U1211</t>
  </si>
  <si>
    <t>U1212</t>
  </si>
  <si>
    <t>U1213</t>
  </si>
  <si>
    <t>U1214</t>
  </si>
  <si>
    <t>U1215</t>
  </si>
  <si>
    <t>U1216</t>
  </si>
  <si>
    <t>U1217</t>
  </si>
  <si>
    <t>U1218</t>
  </si>
  <si>
    <t>U1219</t>
  </si>
  <si>
    <t>U1220</t>
  </si>
  <si>
    <t>U1221</t>
  </si>
  <si>
    <t>U1222</t>
  </si>
  <si>
    <t>U1223</t>
  </si>
  <si>
    <t>U1224</t>
  </si>
  <si>
    <t>U1225</t>
  </si>
  <si>
    <t>U1226</t>
  </si>
  <si>
    <t>U1227</t>
  </si>
  <si>
    <t>U1228</t>
  </si>
  <si>
    <t>U1229</t>
  </si>
  <si>
    <t>U1230</t>
  </si>
  <si>
    <t>U1231</t>
  </si>
  <si>
    <t>U1232</t>
  </si>
  <si>
    <t>U1233</t>
  </si>
  <si>
    <t>U1234</t>
  </si>
  <si>
    <t>U1235</t>
  </si>
  <si>
    <t>U1236</t>
  </si>
  <si>
    <t>U1237</t>
  </si>
  <si>
    <t>U1238</t>
  </si>
  <si>
    <t>U1239</t>
  </si>
  <si>
    <t>U1240</t>
  </si>
  <si>
    <t>U1241</t>
  </si>
  <si>
    <t>U1242</t>
  </si>
  <si>
    <t>U1243</t>
  </si>
  <si>
    <t>U1244</t>
  </si>
  <si>
    <t>U1245</t>
  </si>
  <si>
    <t>U1246</t>
  </si>
  <si>
    <t>U1247</t>
  </si>
  <si>
    <t>U1248</t>
  </si>
  <si>
    <t>U1249</t>
  </si>
  <si>
    <t>U1250</t>
  </si>
  <si>
    <t>U1251</t>
  </si>
  <si>
    <t>U1252</t>
  </si>
  <si>
    <t>U1253</t>
  </si>
  <si>
    <t>U1254</t>
  </si>
  <si>
    <t>U1255</t>
  </si>
  <si>
    <t>U1256</t>
  </si>
  <si>
    <t>U1257</t>
  </si>
  <si>
    <t>U1258</t>
  </si>
  <si>
    <t>U1259</t>
  </si>
  <si>
    <t>U1260</t>
  </si>
  <si>
    <t>U1261</t>
  </si>
  <si>
    <t>U1262</t>
  </si>
  <si>
    <t>U1263</t>
  </si>
  <si>
    <t>U1264</t>
  </si>
  <si>
    <t>U1265</t>
  </si>
  <si>
    <t>U1266</t>
  </si>
  <si>
    <t>U1267</t>
  </si>
  <si>
    <t>U1268</t>
  </si>
  <si>
    <t>U1269</t>
  </si>
  <si>
    <t>U1270</t>
  </si>
  <si>
    <t>U1271</t>
  </si>
  <si>
    <t>U1272</t>
  </si>
  <si>
    <t>U1273</t>
  </si>
  <si>
    <t>U1274</t>
  </si>
  <si>
    <t>U1275</t>
  </si>
  <si>
    <t>U1276</t>
  </si>
  <si>
    <t>U1277</t>
  </si>
  <si>
    <t>U1278</t>
  </si>
  <si>
    <t>U1279</t>
  </si>
  <si>
    <t>U1280</t>
  </si>
  <si>
    <t>Boron Mine</t>
  </si>
  <si>
    <t>U1281</t>
  </si>
  <si>
    <t>U1282</t>
  </si>
  <si>
    <t>Niles Facility</t>
  </si>
  <si>
    <t>Rowley Plant</t>
  </si>
  <si>
    <t>Conneaut AAM Plant</t>
  </si>
  <si>
    <t>Conneaut, OH</t>
  </si>
  <si>
    <t>Active Anode Material</t>
  </si>
  <si>
    <t>Graphite One Secures Ohio Site and Accelerates Towards EV and Energy Storage Battery Material Production with Advances in Offtake Pipeline</t>
  </si>
  <si>
    <t>U1283</t>
  </si>
  <si>
    <t>U1284</t>
  </si>
  <si>
    <t>Rod</t>
  </si>
  <si>
    <t>Mines – Asarco</t>
  </si>
  <si>
    <t>ASARCO announced ‘indefinite shutdown’ of Amarillo Refinery due to freight costs of producing rod</t>
  </si>
  <si>
    <t>Grupo Mexico targets US expansion on copper boom - MINING.COM</t>
  </si>
  <si>
    <t>Personal communication (J. Beck; 04/10/2026)</t>
  </si>
  <si>
    <t>122013-a.pdf</t>
  </si>
  <si>
    <t>Briquetts</t>
  </si>
  <si>
    <t>Rhenium Briquettes</t>
  </si>
  <si>
    <t>total trare earth oxide content</t>
  </si>
  <si>
    <t>Orla Mining Announces Results of the Updated Feasibility Study and Approves Start of Construction Spending for the South Railroad Project - Orla Mining</t>
  </si>
  <si>
    <t>Freeport-McMoRan Rides Wave of Copper Demand to Expansions</t>
  </si>
  <si>
    <t>U1285</t>
  </si>
  <si>
    <t>U1286</t>
  </si>
  <si>
    <t>U1287</t>
  </si>
  <si>
    <t>USA0293</t>
  </si>
  <si>
    <t>Graphite Creek Mine</t>
  </si>
  <si>
    <t>USA0844</t>
  </si>
  <si>
    <t>USA0845</t>
  </si>
  <si>
    <t>USA0846</t>
  </si>
  <si>
    <t>USA0847</t>
  </si>
  <si>
    <t>USA0848</t>
  </si>
  <si>
    <t>USA0849</t>
  </si>
  <si>
    <t>Ray expansion boosts Asarco copper output - The Northern Miner</t>
  </si>
  <si>
    <t>Major Mines &amp; Projects | Miami Mine</t>
  </si>
  <si>
    <t>U385,U725</t>
  </si>
  <si>
    <t>Fact Sheet-Tennesee - 2016 July.indd</t>
  </si>
  <si>
    <t>C,E</t>
  </si>
  <si>
    <t>U382,U724</t>
  </si>
  <si>
    <t>U383,U722</t>
  </si>
  <si>
    <t>U187,U857</t>
  </si>
  <si>
    <t>U196,U1225,U1226</t>
  </si>
  <si>
    <t>sum of processing facilities</t>
  </si>
  <si>
    <t>U454,U1209</t>
  </si>
  <si>
    <t>U613,U807,U883</t>
  </si>
  <si>
    <t>U374,U1134</t>
  </si>
  <si>
    <t>U375,U1135</t>
  </si>
  <si>
    <t>U301,U961</t>
  </si>
  <si>
    <t>U817,U1088</t>
  </si>
  <si>
    <t>Level 2 (Commodity)</t>
  </si>
  <si>
    <t>Level 3 (Type)</t>
  </si>
  <si>
    <t>Molybdenum 2019</t>
  </si>
  <si>
    <t>Sierrita Mo-Re facility</t>
  </si>
  <si>
    <t>U1288</t>
  </si>
  <si>
    <t>U1289</t>
  </si>
  <si>
    <t>U1288,U1289</t>
  </si>
  <si>
    <t>zinc 2022</t>
  </si>
  <si>
    <t>Copper 2022</t>
  </si>
  <si>
    <t>boron 2019</t>
  </si>
  <si>
    <t>Blister, matte</t>
  </si>
  <si>
    <t>Alloy, Bar, Compounds, Sponge</t>
  </si>
  <si>
    <t>Alloy, Compounds, Sponge</t>
  </si>
  <si>
    <t>Compounds weight</t>
  </si>
  <si>
    <t>Compounds, Metal</t>
  </si>
  <si>
    <t>Phosphate Compounds</t>
  </si>
  <si>
    <t>Compounds, Metal, Sponge</t>
  </si>
  <si>
    <t>Heavy mineral Concentrates</t>
  </si>
  <si>
    <t>Zircon Concentrates</t>
  </si>
  <si>
    <t>https://www.google.com/url?sa=t&amp;rct=j&amp;q=&amp;esrc=s&amp;source=web&amp;cd=&amp;ved=2ahUKEwjporjqmYaTAxWHKVkFHVU1ECUQFnoECD8QAQ&amp;url=https%3A%2F%2Fwww.miningandenergy.ca%2Fread%2Fteck-announces-first-shipment-of-Concentrates-from-restarted-pend-oreille-op&amp;usg=AOvVaw20578prX9rvBQUPhg1OgeM&amp;opi=89978449</t>
  </si>
  <si>
    <t>CoTec Holdings Corp. Investment, MagIron, Secures Potentially Significant Iron Ore Feedstock Targeting Direct Reduction Quality FE Concentrates</t>
  </si>
  <si>
    <t>Roasted Molybdenum Concentrates Carbon Free Briquettes</t>
  </si>
  <si>
    <t>Roasted Molybdenum Concentrates Carbon Free Briquettes [US]</t>
  </si>
  <si>
    <t>Light rare earth oxides</t>
  </si>
  <si>
    <t>Mixed rare earth oxide</t>
  </si>
  <si>
    <t>MAP, SPA, MGA, APP, HFSA</t>
  </si>
  <si>
    <t>GMAS Descriptor Abbreviation</t>
  </si>
  <si>
    <t>Ammonium polyphosphate</t>
  </si>
  <si>
    <t>APP</t>
  </si>
  <si>
    <t xml:space="preserve">Merchant grade acid, </t>
  </si>
  <si>
    <t>MGA</t>
  </si>
  <si>
    <t>Super phosphoric acid</t>
  </si>
  <si>
    <t>SPA</t>
  </si>
  <si>
    <t>Neodymium-Praseodymium</t>
  </si>
  <si>
    <t>NdFeB</t>
  </si>
  <si>
    <t>Neodymium iron boron</t>
  </si>
  <si>
    <t>HCFeMn</t>
  </si>
  <si>
    <t>High-carbon ferromanganese</t>
  </si>
  <si>
    <t>FeMn</t>
  </si>
  <si>
    <t>Ingot, Sow</t>
  </si>
  <si>
    <t>Sow, Billet</t>
  </si>
  <si>
    <t>Tb</t>
  </si>
  <si>
    <t>Terbium</t>
  </si>
  <si>
    <t>Mixture of medium and heavy rare earth oxides (samarium, europium, gadolinium, terbium, dysprosium, holmium, erbium, thulium, ytterbium, leutitium, yttrium)</t>
  </si>
  <si>
    <t>Specialty high grade zinc</t>
  </si>
  <si>
    <t>SiMn</t>
  </si>
  <si>
    <t>Solvent extraction</t>
  </si>
  <si>
    <t>Cathodes, Copper Telluride</t>
  </si>
  <si>
    <t>Capacity Code</t>
  </si>
  <si>
    <t>Location description (Town, State)</t>
  </si>
  <si>
    <t>Location Note</t>
  </si>
  <si>
    <t>Unique Identifier for each feature</t>
  </si>
  <si>
    <t>Shared 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</si>
</sst>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x14ac:knownFonts="1">
    <font>
      <sz val="11"/>
      <color theme="1"/>
      <name val="Aptos Narrow"/>
      <family val="2"/>
      <scheme val="minor"/>
    </font>
    <font>
      <b/>
      <sz val="11"/>
      <color theme="1"/>
      <name val="Aptos Narrow"/>
      <family val="2"/>
      <scheme val="minor"/>
    </font>
    <font>
      <sz val="11"/>
      <name val="Aptos Narrow"/>
      <family val="2"/>
      <scheme val="minor"/>
    </font>
    <font>
      <sz val="8"/>
      <name val="Aptos Narrow"/>
      <family val="2"/>
      <scheme val="minor"/>
    </font>
    <font>
      <u/>
      <sz val="11"/>
      <color theme="10"/>
      <name val="Aptos Narrow"/>
      <family val="2"/>
      <scheme val="minor"/>
    </font>
    <font>
      <sz val="11"/>
      <color theme="1"/>
      <name val="Aptos Narrow"/>
      <family val="2"/>
      <scheme val="minor"/>
    </font>
    <font>
      <sz val="11"/>
      <color rgb="FF474747"/>
      <name val="Arial"/>
      <family val="2"/>
    </font>
    <font>
      <b/>
      <sz val="11"/>
      <name val="Aptos Narrow"/>
      <family val="2"/>
      <scheme val="minor"/>
    </font>
    <font>
      <sz val="11"/>
      <color rgb="FF000000"/>
      <name val="Aptos Narrow"/>
      <family val="2"/>
    </font>
    <font>
      <b/>
      <sz val="12"/>
      <name val="Aptos Narrow"/>
      <family val="2"/>
      <scheme val="minor"/>
    </font>
    <font>
      <sz val="12"/>
      <name val="Aptos Narrow"/>
      <family val="2"/>
      <scheme val="minor"/>
    </font>
    <font>
      <sz val="12"/>
      <color rgb="FF000000"/>
      <name val="Aptos Narrow"/>
      <family val="2"/>
      <scheme val="minor"/>
    </font>
    <font>
      <b/>
      <sz val="12"/>
      <color theme="1"/>
      <name val="Aptos Narrow"/>
      <family val="2"/>
      <scheme val="minor"/>
    </font>
    <font>
      <sz val="12"/>
      <color theme="1"/>
      <name val="Aptos Narrow"/>
      <family val="2"/>
      <scheme val="minor"/>
    </font>
    <font>
      <sz val="11"/>
      <color rgb="FF242424"/>
      <name val="Aptos Narrow"/>
      <family val="2"/>
    </font>
    <font>
      <sz val="11"/>
      <color rgb="FF000000"/>
      <name val="Arial"/>
      <family val="2"/>
    </font>
    <font>
      <u/>
      <sz val="11"/>
      <name val="Aptos Narrow"/>
      <family val="2"/>
      <scheme val="minor"/>
    </font>
    <font>
      <sz val="11"/>
      <name val="Aptos Narrow"/>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3">
    <xf numFmtId="0" fontId="0" fillId="0" borderId="0"/>
    <xf numFmtId="0" fontId="4" fillId="0" borderId="0" applyNumberFormat="0" applyFill="0" applyBorder="0" applyAlignment="0" applyProtection="0"/>
    <xf numFmtId="0" fontId="5" fillId="0" borderId="0"/>
  </cellStyleXfs>
  <cellXfs count="81">
    <xf numFmtId="0" fontId="0" fillId="0" borderId="0" xfId="0"/>
    <xf numFmtId="49" fontId="0" fillId="0" borderId="1" xfId="0" applyNumberFormat="1" applyBorder="1"/>
    <xf numFmtId="0" fontId="0" fillId="0" borderId="1" xfId="0" applyBorder="1"/>
    <xf numFmtId="0" fontId="0" fillId="0" borderId="1" xfId="0" applyBorder="1" applyAlignment="1">
      <alignment horizontal="left" vertical="top"/>
    </xf>
    <xf numFmtId="0" fontId="4" fillId="0" borderId="1" xfId="1" applyFill="1" applyBorder="1"/>
    <xf numFmtId="49" fontId="4" fillId="0" borderId="1" xfId="1" applyNumberFormat="1" applyFill="1" applyBorder="1"/>
    <xf numFmtId="49" fontId="0" fillId="0" borderId="4" xfId="0" applyNumberFormat="1" applyBorder="1"/>
    <xf numFmtId="49" fontId="0" fillId="0" borderId="3" xfId="0" applyNumberFormat="1" applyBorder="1"/>
    <xf numFmtId="0" fontId="0" fillId="0" borderId="3" xfId="0" applyBorder="1" applyAlignment="1">
      <alignment horizontal="left" vertical="top"/>
    </xf>
    <xf numFmtId="0" fontId="0" fillId="0" borderId="3" xfId="0" applyBorder="1"/>
    <xf numFmtId="0" fontId="9" fillId="0" borderId="0" xfId="0" applyFont="1" applyAlignment="1">
      <alignment vertical="center" wrapText="1"/>
    </xf>
    <xf numFmtId="0" fontId="8" fillId="0" borderId="1" xfId="0" applyFont="1" applyBorder="1"/>
    <xf numFmtId="0" fontId="0" fillId="0" borderId="2" xfId="0" applyBorder="1" applyAlignment="1">
      <alignment horizontal="left" vertical="top"/>
    </xf>
    <xf numFmtId="0" fontId="12" fillId="0" borderId="0" xfId="0" applyFont="1" applyAlignment="1">
      <alignment vertical="top"/>
    </xf>
    <xf numFmtId="0" fontId="12" fillId="0" borderId="0" xfId="0" applyFont="1" applyAlignment="1">
      <alignment vertical="center" wrapText="1"/>
    </xf>
    <xf numFmtId="0" fontId="13" fillId="0" borderId="0" xfId="0" applyFont="1" applyAlignment="1">
      <alignment vertical="top"/>
    </xf>
    <xf numFmtId="0" fontId="13" fillId="0" borderId="0" xfId="0" applyFont="1" applyAlignment="1">
      <alignment vertical="top" wrapText="1"/>
    </xf>
    <xf numFmtId="0" fontId="11" fillId="0" borderId="0" xfId="0" applyFont="1" applyAlignment="1">
      <alignment vertical="center" wrapText="1"/>
    </xf>
    <xf numFmtId="0" fontId="9" fillId="0" borderId="0" xfId="0" applyFont="1" applyAlignment="1">
      <alignment horizontal="left" vertical="center"/>
    </xf>
    <xf numFmtId="0" fontId="9" fillId="0" borderId="0" xfId="0" applyFont="1" applyAlignment="1">
      <alignment vertical="center"/>
    </xf>
    <xf numFmtId="0" fontId="13" fillId="0" borderId="0" xfId="0" applyFont="1" applyAlignment="1">
      <alignment vertical="center"/>
    </xf>
    <xf numFmtId="49" fontId="13" fillId="0" borderId="0" xfId="0" applyNumberFormat="1" applyFont="1" applyAlignment="1">
      <alignment horizontal="left" vertical="center" wrapText="1"/>
    </xf>
    <xf numFmtId="0" fontId="13" fillId="0" borderId="0" xfId="0" applyFont="1" applyAlignment="1">
      <alignment wrapText="1"/>
    </xf>
    <xf numFmtId="0" fontId="13" fillId="0" borderId="0" xfId="0" applyFont="1"/>
    <xf numFmtId="49" fontId="13" fillId="0" borderId="0" xfId="0" applyNumberFormat="1" applyFont="1" applyAlignment="1">
      <alignment horizontal="left" vertical="center"/>
    </xf>
    <xf numFmtId="0" fontId="11" fillId="0" borderId="0" xfId="0" applyFont="1"/>
    <xf numFmtId="1" fontId="13" fillId="0" borderId="0" xfId="0" applyNumberFormat="1" applyFont="1" applyAlignment="1">
      <alignment horizontal="left" vertical="center" wrapText="1"/>
    </xf>
    <xf numFmtId="1" fontId="13" fillId="0" borderId="0" xfId="0" applyNumberFormat="1" applyFont="1" applyAlignment="1">
      <alignment horizontal="left" vertical="center"/>
    </xf>
    <xf numFmtId="3" fontId="13" fillId="0" borderId="0" xfId="0" applyNumberFormat="1" applyFont="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left" vertical="center"/>
    </xf>
    <xf numFmtId="49" fontId="1" fillId="0" borderId="3" xfId="0" applyNumberFormat="1" applyFont="1" applyBorder="1" applyAlignment="1">
      <alignment horizontal="left" vertical="center"/>
    </xf>
    <xf numFmtId="0" fontId="4" fillId="0" borderId="1" xfId="1" applyFill="1" applyBorder="1" applyAlignment="1">
      <alignment horizontal="left" vertical="top"/>
    </xf>
    <xf numFmtId="0" fontId="16" fillId="0" borderId="1" xfId="1" applyFont="1" applyFill="1" applyBorder="1"/>
    <xf numFmtId="0" fontId="2" fillId="0" borderId="1" xfId="1" applyFont="1" applyFill="1" applyBorder="1"/>
    <xf numFmtId="49" fontId="10" fillId="0" borderId="0" xfId="0" applyNumberFormat="1" applyFont="1" applyAlignment="1">
      <alignment horizontal="left" vertical="center" wrapText="1"/>
    </xf>
    <xf numFmtId="0" fontId="2" fillId="0" borderId="0" xfId="0" applyFont="1"/>
    <xf numFmtId="0" fontId="16" fillId="0" borderId="1" xfId="1" applyFont="1" applyFill="1" applyBorder="1" applyAlignment="1">
      <alignment horizontal="left" vertical="top"/>
    </xf>
    <xf numFmtId="1" fontId="4" fillId="0" borderId="1" xfId="1" applyNumberFormat="1" applyFill="1" applyBorder="1"/>
    <xf numFmtId="49" fontId="7" fillId="0" borderId="1" xfId="0" applyNumberFormat="1" applyFont="1" applyBorder="1" applyAlignment="1">
      <alignment horizontal="left" vertical="center"/>
    </xf>
    <xf numFmtId="49" fontId="0" fillId="0" borderId="1" xfId="0" applyNumberFormat="1" applyBorder="1" applyAlignment="1">
      <alignment horizontal="left" vertical="center" wrapText="1"/>
    </xf>
    <xf numFmtId="1" fontId="0" fillId="0" borderId="1" xfId="0" applyNumberFormat="1" applyBorder="1" applyAlignment="1">
      <alignment horizontal="left" vertical="center" wrapText="1"/>
    </xf>
    <xf numFmtId="1" fontId="0" fillId="0" borderId="1" xfId="0" applyNumberFormat="1" applyBorder="1" applyAlignment="1">
      <alignment horizontal="left" vertical="center"/>
    </xf>
    <xf numFmtId="49" fontId="2" fillId="0" borderId="1" xfId="0" applyNumberFormat="1" applyFont="1" applyBorder="1" applyAlignment="1">
      <alignment horizontal="right" vertical="center" wrapText="1"/>
    </xf>
    <xf numFmtId="49" fontId="2" fillId="0" borderId="1" xfId="0" applyNumberFormat="1" applyFont="1" applyBorder="1" applyAlignment="1">
      <alignment horizontal="left" vertical="center" wrapText="1"/>
    </xf>
    <xf numFmtId="0" fontId="2" fillId="0" borderId="1" xfId="0" applyFont="1" applyBorder="1"/>
    <xf numFmtId="49" fontId="2" fillId="0" borderId="1" xfId="0" applyNumberFormat="1" applyFont="1" applyBorder="1" applyAlignment="1">
      <alignment horizontal="left" vertical="center"/>
    </xf>
    <xf numFmtId="3" fontId="2" fillId="0" borderId="1" xfId="0" applyNumberFormat="1" applyFont="1" applyBorder="1" applyAlignment="1">
      <alignment horizontal="left" vertical="center" wrapText="1"/>
    </xf>
    <xf numFmtId="49" fontId="0" fillId="0" borderId="1" xfId="0" applyNumberFormat="1" applyBorder="1" applyAlignment="1">
      <alignment horizontal="left" vertical="center"/>
    </xf>
    <xf numFmtId="49" fontId="0" fillId="0" borderId="1" xfId="0" applyNumberFormat="1" applyBorder="1" applyAlignment="1">
      <alignment horizontal="right" vertical="center"/>
    </xf>
    <xf numFmtId="49" fontId="0" fillId="0" borderId="1" xfId="0" applyNumberFormat="1" applyBorder="1" applyAlignment="1">
      <alignment vertical="center"/>
    </xf>
    <xf numFmtId="0" fontId="0" fillId="0" borderId="1" xfId="0" applyBorder="1" applyAlignment="1">
      <alignment vertical="center" wrapText="1"/>
    </xf>
    <xf numFmtId="2" fontId="0" fillId="0" borderId="1" xfId="0" applyNumberFormat="1" applyBorder="1" applyAlignment="1">
      <alignment horizontal="right" vertical="top"/>
    </xf>
    <xf numFmtId="0" fontId="0" fillId="0" borderId="1" xfId="0" applyBorder="1" applyAlignment="1">
      <alignment horizontal="right" vertical="top"/>
    </xf>
    <xf numFmtId="2" fontId="2" fillId="0" borderId="1" xfId="0" applyNumberFormat="1" applyFont="1" applyBorder="1" applyAlignment="1">
      <alignment horizontal="right" vertical="top"/>
    </xf>
    <xf numFmtId="0" fontId="2" fillId="0" borderId="1" xfId="0" applyFont="1" applyBorder="1" applyAlignment="1">
      <alignment horizontal="left" vertical="top"/>
    </xf>
    <xf numFmtId="49" fontId="2" fillId="0" borderId="1" xfId="0" applyNumberFormat="1" applyFont="1" applyBorder="1"/>
    <xf numFmtId="0" fontId="2" fillId="0" borderId="1" xfId="0" applyFont="1" applyBorder="1" applyAlignment="1">
      <alignment horizontal="right"/>
    </xf>
    <xf numFmtId="0" fontId="0" fillId="0" borderId="1" xfId="0" applyBorder="1" applyAlignment="1">
      <alignment vertical="top"/>
    </xf>
    <xf numFmtId="0" fontId="0" fillId="0" borderId="1" xfId="0" applyBorder="1" applyAlignment="1">
      <alignment horizontal="right"/>
    </xf>
    <xf numFmtId="49" fontId="0" fillId="0" borderId="1" xfId="0" applyNumberFormat="1" applyBorder="1" applyAlignment="1">
      <alignment horizontal="right"/>
    </xf>
    <xf numFmtId="49" fontId="2" fillId="0" borderId="1" xfId="0" applyNumberFormat="1" applyFont="1" applyBorder="1" applyAlignment="1">
      <alignment horizontal="left" vertical="top"/>
    </xf>
    <xf numFmtId="0" fontId="2" fillId="0" borderId="1" xfId="0" applyFont="1" applyBorder="1" applyAlignment="1">
      <alignment horizontal="right" vertical="top"/>
    </xf>
    <xf numFmtId="0" fontId="17" fillId="0" borderId="1" xfId="0" applyFont="1" applyBorder="1"/>
    <xf numFmtId="0" fontId="2" fillId="0" borderId="1" xfId="0" applyFont="1" applyBorder="1" applyAlignment="1">
      <alignment vertical="top"/>
    </xf>
    <xf numFmtId="49" fontId="0" fillId="0" borderId="1" xfId="0" applyNumberFormat="1" applyBorder="1" applyAlignment="1">
      <alignment horizontal="left" vertical="top"/>
    </xf>
    <xf numFmtId="49" fontId="2" fillId="0" borderId="1" xfId="0" applyNumberFormat="1" applyFont="1" applyBorder="1" applyAlignment="1">
      <alignment horizontal="right"/>
    </xf>
    <xf numFmtId="0" fontId="2" fillId="0" borderId="1" xfId="0" applyFont="1" applyBorder="1" applyAlignment="1">
      <alignment horizontal="left"/>
    </xf>
    <xf numFmtId="0" fontId="14" fillId="0" borderId="1" xfId="0" applyFont="1" applyBorder="1"/>
    <xf numFmtId="49" fontId="0" fillId="0" borderId="1" xfId="0" applyNumberFormat="1" applyBorder="1" applyAlignment="1">
      <alignment horizontal="right" vertical="top"/>
    </xf>
    <xf numFmtId="0" fontId="15" fillId="0" borderId="1" xfId="0" applyFont="1" applyBorder="1"/>
    <xf numFmtId="0" fontId="6" fillId="0" borderId="1" xfId="0" applyFont="1" applyBorder="1"/>
    <xf numFmtId="1" fontId="2" fillId="0" borderId="1" xfId="0" applyNumberFormat="1" applyFont="1" applyBorder="1" applyAlignment="1">
      <alignment horizontal="right"/>
    </xf>
    <xf numFmtId="164" fontId="2" fillId="0" borderId="1" xfId="0" applyNumberFormat="1" applyFont="1" applyBorder="1" applyAlignment="1">
      <alignment horizontal="right"/>
    </xf>
    <xf numFmtId="49" fontId="0" fillId="0" borderId="0" xfId="0" applyNumberFormat="1" applyAlignment="1">
      <alignment horizontal="left" vertical="center" wrapText="1"/>
    </xf>
    <xf numFmtId="49" fontId="0" fillId="0" borderId="0" xfId="0" applyNumberFormat="1" applyAlignment="1">
      <alignment horizontal="left" vertical="center"/>
    </xf>
    <xf numFmtId="49" fontId="2" fillId="0" borderId="0" xfId="0" applyNumberFormat="1" applyFont="1"/>
    <xf numFmtId="0" fontId="2" fillId="0" borderId="0" xfId="0" applyFont="1" applyAlignment="1">
      <alignment horizontal="right"/>
    </xf>
    <xf numFmtId="49" fontId="0" fillId="0" borderId="0" xfId="0" applyNumberFormat="1"/>
    <xf numFmtId="0" fontId="0" fillId="0" borderId="0" xfId="0" applyAlignment="1">
      <alignment horizontal="right"/>
    </xf>
    <xf numFmtId="49" fontId="0" fillId="0" borderId="0" xfId="0" applyNumberFormat="1" applyAlignment="1">
      <alignment horizontal="right" vertical="top"/>
    </xf>
  </cellXfs>
  <cellStyles count="3">
    <cellStyle name="Hyperlink" xfId="1" builtinId="8"/>
    <cellStyle name="Normal" xfId="0" builtinId="0"/>
    <cellStyle name="Normal 2" xfId="2" xr:uid="{416EB27B-8334-4BC6-9F9F-217A01907244}"/>
  </cellStyles>
  <dxfs count="4">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KRT" id="{80CFC19A-7F00-46E3-A65B-5EAFB1A7AECC}"/>
  <namedSheetView name="PWV" id="{8F21C176-8FAF-4AE2-B355-D9108626EDB1}"/>
  <namedSheetView name="tzach" id="{329D1CD8-A181-4DE5-BDB0-9D4F265D2537}"/>
  <namedSheetView name="View1" id="{43B1784A-C756-497F-865F-D1CD8E05E5FA}"/>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www.industrialinfo.com/iirenergy/industry-news/article/freeport-mcmoran-rides-wave-of-copper-demand-to-expansions--338257" TargetMode="External"/><Relationship Id="rId21" Type="http://schemas.openxmlformats.org/officeDocument/2006/relationships/hyperlink" Target="https://www.barrick.com/English/operations/nevada-gold-mines/default.aspx" TargetMode="External"/><Relationship Id="rId170" Type="http://schemas.openxmlformats.org/officeDocument/2006/relationships/hyperlink" Target="https://www.goldroyalty.com/portfolio/gold-bar/" TargetMode="External"/><Relationship Id="rId836" Type="http://schemas.openxmlformats.org/officeDocument/2006/relationships/hyperlink" Target="https://usmagnesium.com/about-us-mag/" TargetMode="External"/><Relationship Id="rId1021" Type="http://schemas.openxmlformats.org/officeDocument/2006/relationships/hyperlink" Target="https://colonialmetals.com/services/refining-services/" TargetMode="External"/><Relationship Id="rId1119" Type="http://schemas.openxmlformats.org/officeDocument/2006/relationships/hyperlink" Target="https://encoreuranium.com/wp-content/uploads/2025/02/2025_2_13_South-Texas-Uranium-Project-Technical-Report_FINAL.pdf" TargetMode="External"/><Relationship Id="rId268" Type="http://schemas.openxmlformats.org/officeDocument/2006/relationships/hyperlink" Target="https://western-uranium.com/reports/Technical_Report_Sunday_Mine_Complex.pdf" TargetMode="External"/><Relationship Id="rId475" Type="http://schemas.openxmlformats.org/officeDocument/2006/relationships/hyperlink" Target="https://pubs.usgs.gov/myb/vol1/2022/myb1-2022-titanium.pdf" TargetMode="External"/><Relationship Id="rId682" Type="http://schemas.openxmlformats.org/officeDocument/2006/relationships/hyperlink" Target="https://tucson.com/news/local/mine-tales-ray-mining-district-has-history-of-more-than-a-century/article_5560fe20-f4c4-559f-8298-1c8be0b75c77.html" TargetMode="External"/><Relationship Id="rId903" Type="http://schemas.openxmlformats.org/officeDocument/2006/relationships/hyperlink" Target="https://www.advchem.com/" TargetMode="External"/><Relationship Id="rId1326" Type="http://schemas.openxmlformats.org/officeDocument/2006/relationships/hyperlink" Target="https://americas-gold.com/site/assets/files/6067/nr20260121-1.pdf" TargetMode="External"/><Relationship Id="rId1533" Type="http://schemas.openxmlformats.org/officeDocument/2006/relationships/hyperlink" Target="https://pubs.usgs.gov/myb/vol1/2019/myb1-2019-molybdenum.pdf" TargetMode="External"/><Relationship Id="rId32" Type="http://schemas.openxmlformats.org/officeDocument/2006/relationships/hyperlink" Target="https://maps.app.goo.gl/k7aeia1TySG1B3ZV9" TargetMode="External"/><Relationship Id="rId128" Type="http://schemas.openxmlformats.org/officeDocument/2006/relationships/hyperlink" Target="https://www.fcx.com/operations/north-america" TargetMode="External"/><Relationship Id="rId335" Type="http://schemas.openxmlformats.org/officeDocument/2006/relationships/hyperlink" Target="https://www.uslm.com/USLM_Oklahoma.html" TargetMode="External"/><Relationship Id="rId542" Type="http://schemas.openxmlformats.org/officeDocument/2006/relationships/hyperlink" Target="https://pubs.usgs.gov/myb/vol1/2021/myb1-2021-copper.pdf" TargetMode="External"/><Relationship Id="rId987" Type="http://schemas.openxmlformats.org/officeDocument/2006/relationships/hyperlink" Target="https://www.graymont.com/locations/" TargetMode="External"/><Relationship Id="rId1172" Type="http://schemas.openxmlformats.org/officeDocument/2006/relationships/hyperlink" Target="file:///C:\Users\tmobrien\AppData\Local\Temp\1\MicrosoftEdgeDownloads\4c0b354c-8de5-436d-a30a-e720584a38ce\EPA-HQ-OAR-2006-0940-0022_content.pdf" TargetMode="External"/><Relationship Id="rId181" Type="http://schemas.openxmlformats.org/officeDocument/2006/relationships/hyperlink" Target="https://nam.org/pentagon-korea-zinc-partner-on-tennessee-mineral-smelter-35425/?stream=series-input-stories" TargetMode="External"/><Relationship Id="rId402" Type="http://schemas.openxmlformats.org/officeDocument/2006/relationships/hyperlink" Target="https://s23.q4cdn.com/963478445/files/doc_financials/2022/ar/2022-form-10-k.pdf" TargetMode="External"/><Relationship Id="rId847" Type="http://schemas.openxmlformats.org/officeDocument/2006/relationships/hyperlink" Target="https://pubs.usgs.gov/myb/vol1/2023/myb1-2023-manganese.pdf" TargetMode="External"/><Relationship Id="rId1032" Type="http://schemas.openxmlformats.org/officeDocument/2006/relationships/hyperlink" Target="https://pubs.usgs.gov/myb/vol1/2022/myb1-2022-selenium-tellurium.pdf" TargetMode="External"/><Relationship Id="rId1477" Type="http://schemas.openxmlformats.org/officeDocument/2006/relationships/hyperlink" Target="https://usmagnesium.com/about-us-mag/" TargetMode="External"/><Relationship Id="rId279" Type="http://schemas.openxmlformats.org/officeDocument/2006/relationships/hyperlink" Target="https://bunkerhillmining.com/news-and-media/news-releases/bunker-hill-announces-prefeasibility-study-for-first-phase-of-mine-restart" TargetMode="External"/><Relationship Id="rId486" Type="http://schemas.openxmlformats.org/officeDocument/2006/relationships/hyperlink" Target="https://pubs.usgs.gov/myb/vol1/2021/myb1-2021-tungsten.pdf" TargetMode="External"/><Relationship Id="rId693" Type="http://schemas.openxmlformats.org/officeDocument/2006/relationships/hyperlink" Target="https://pubs.usgs.gov/myb/vol1/2023/myb1-2023-manganese.pdf" TargetMode="External"/><Relationship Id="rId707" Type="http://schemas.openxmlformats.org/officeDocument/2006/relationships/hyperlink" Target="https://pubs.usgs.gov/myb/vol1/2022/myb1-2022-titanium.pdf" TargetMode="External"/><Relationship Id="rId914" Type="http://schemas.openxmlformats.org/officeDocument/2006/relationships/hyperlink" Target="https://www.hooverandstrong.com/landing/Refining" TargetMode="External"/><Relationship Id="rId1337" Type="http://schemas.openxmlformats.org/officeDocument/2006/relationships/hyperlink" Target="https://www.montanagoldfieldsinc.com/montana-tunnels/" TargetMode="External"/><Relationship Id="rId1544" Type="http://schemas.microsoft.com/office/2019/04/relationships/namedSheetView" Target="../namedSheetViews/namedSheetView1.xml"/><Relationship Id="rId43" Type="http://schemas.openxmlformats.org/officeDocument/2006/relationships/hyperlink" Target="https://maps.app.goo.gl/VjqjjudgaRdKKtPX6" TargetMode="External"/><Relationship Id="rId139" Type="http://schemas.openxmlformats.org/officeDocument/2006/relationships/hyperlink" Target="https://www.sec.gov/Archives/edgar/data/839470/000110465924107335/tm2425743d1_ex96-1.htm" TargetMode="External"/><Relationship Id="rId346" Type="http://schemas.openxmlformats.org/officeDocument/2006/relationships/hyperlink" Target="https://www.accessnewswire.com/newsroom/en/metals-and-mining/5e-advanced-materials-reports-positive-progress-unveils-strengthened-project-econo-996618" TargetMode="External"/><Relationship Id="rId553" Type="http://schemas.openxmlformats.org/officeDocument/2006/relationships/hyperlink" Target="https://chptap.ornl.gov/profile/114/Kennecott_Utah_Copper_Smelter-Project_Profile.pdf" TargetMode="External"/><Relationship Id="rId760" Type="http://schemas.openxmlformats.org/officeDocument/2006/relationships/hyperlink" Target="https://www.mesabimetallics.com/product/" TargetMode="External"/><Relationship Id="rId998" Type="http://schemas.openxmlformats.org/officeDocument/2006/relationships/hyperlink" Target="https://www.lime.org/find-a-lime-plant/?startrow=2" TargetMode="External"/><Relationship Id="rId1183" Type="http://schemas.openxmlformats.org/officeDocument/2006/relationships/hyperlink" Target="https://waelzsp.com/" TargetMode="External"/><Relationship Id="rId1390" Type="http://schemas.openxmlformats.org/officeDocument/2006/relationships/hyperlink" Target="https://novagold.com/donlin-gold/project-overview/" TargetMode="External"/><Relationship Id="rId1404" Type="http://schemas.openxmlformats.org/officeDocument/2006/relationships/hyperlink" Target="https://facilityexplorer.iowadnr.gov/FacilityExplorer/SiteDetail.aspx?facID=310401884" TargetMode="External"/><Relationship Id="rId192" Type="http://schemas.openxmlformats.org/officeDocument/2006/relationships/hyperlink" Target="https://minerals.nv.gov/uploadedFiles/mineralsnvgov/content/Programs/Mining/2022%20Metallic%20Production%20by%20mine.pdf" TargetMode="External"/><Relationship Id="rId206" Type="http://schemas.openxmlformats.org/officeDocument/2006/relationships/hyperlink" Target="https://www.prnewswire.com/news-releases/clifton-mining-company-otcbb-cftn-clifton--january-2023-report-301720147.html" TargetMode="External"/><Relationship Id="rId413" Type="http://schemas.openxmlformats.org/officeDocument/2006/relationships/hyperlink" Target="https://www.sec.gov/Archives/edgar/data/1168081/000121390023001137/ea171312-8k_deserthawk.htm" TargetMode="External"/><Relationship Id="rId858" Type="http://schemas.openxmlformats.org/officeDocument/2006/relationships/hyperlink" Target="https://elevenflo.com/blog/aleon-metals-chapter-11-bankruptcy" TargetMode="External"/><Relationship Id="rId1043" Type="http://schemas.openxmlformats.org/officeDocument/2006/relationships/hyperlink" Target="https://cmxgoldandsilver.com/wp-content/uploads/2024/01/Clayton-NI-43-101.pdf" TargetMode="External"/><Relationship Id="rId1488" Type="http://schemas.openxmlformats.org/officeDocument/2006/relationships/hyperlink" Target="https://www.mininggazette.com/news/front-page/2025/12/eagle-mine-sold/" TargetMode="External"/><Relationship Id="rId497" Type="http://schemas.openxmlformats.org/officeDocument/2006/relationships/hyperlink" Target="https://minedocs.com/29/Empire-State-TR-12032024.pdf" TargetMode="External"/><Relationship Id="rId620" Type="http://schemas.openxmlformats.org/officeDocument/2006/relationships/hyperlink" Target="https://minedocs.com/23/Eagle-TR-12312022.pdf" TargetMode="External"/><Relationship Id="rId718" Type="http://schemas.openxmlformats.org/officeDocument/2006/relationships/hyperlink" Target="https://pubs.usgs.gov/myb/vol1/2023/myb1-2023-helium.pdf" TargetMode="External"/><Relationship Id="rId925" Type="http://schemas.openxmlformats.org/officeDocument/2006/relationships/hyperlink" Target="https://matthey.com/documents/d/guest/jm-inc-rppg-compliance-report-fy2024-25-2-pdf" TargetMode="External"/><Relationship Id="rId1250" Type="http://schemas.openxmlformats.org/officeDocument/2006/relationships/hyperlink" Target="https://wp-phoenixcopper-2024.s3.eu-west-2.amazonaws.com/media/2024/10/KonnexPFS.pdf" TargetMode="External"/><Relationship Id="rId1348" Type="http://schemas.openxmlformats.org/officeDocument/2006/relationships/hyperlink" Target="https://ucore.com/smc/" TargetMode="External"/><Relationship Id="rId357" Type="http://schemas.openxmlformats.org/officeDocument/2006/relationships/hyperlink" Target="https://mb.cision.com/Main/2472/2430220/776611.pdf" TargetMode="External"/><Relationship Id="rId1110" Type="http://schemas.openxmlformats.org/officeDocument/2006/relationships/hyperlink" Target="https://www.world-nuclear-news.org/articles/production-begins-at-us-uranium-project" TargetMode="External"/><Relationship Id="rId1194" Type="http://schemas.openxmlformats.org/officeDocument/2006/relationships/hyperlink" Target="https://doerun.com/what-we-do/mining-milling/" TargetMode="External"/><Relationship Id="rId1208" Type="http://schemas.openxmlformats.org/officeDocument/2006/relationships/hyperlink" Target="https://www.goldroyalty.com/portfolio/railroad-pinion/" TargetMode="External"/><Relationship Id="rId1415" Type="http://schemas.openxmlformats.org/officeDocument/2006/relationships/hyperlink" Target="https://www.icpds.com/assets/CUP20-0016-IS22-0021-USG-Plaster-City-Quarry-APPENDIX--E.pdf" TargetMode="External"/><Relationship Id="rId54" Type="http://schemas.openxmlformats.org/officeDocument/2006/relationships/hyperlink" Target="https://www.carmeuse.com/eu-en/products-map" TargetMode="External"/><Relationship Id="rId217" Type="http://schemas.openxmlformats.org/officeDocument/2006/relationships/hyperlink" Target="https://operations.newmont.com/united-states/nevada-usa" TargetMode="External"/><Relationship Id="rId564" Type="http://schemas.openxmlformats.org/officeDocument/2006/relationships/hyperlink" Target="https://d9-wret.s3.us-west-2.amazonaws.com/assets/palladium/production/mineral-pubs/copper/240496.pdf" TargetMode="External"/><Relationship Id="rId771" Type="http://schemas.openxmlformats.org/officeDocument/2006/relationships/hyperlink" Target="https://ecobat.com/location/ecobat-resources-new-york-middletown/" TargetMode="External"/><Relationship Id="rId869" Type="http://schemas.openxmlformats.org/officeDocument/2006/relationships/hyperlink" Target="https://talonmetals.com/talon-metals-and-westmoreland-mining-sign-land-agreement-to-progress-north-dakota-minerals-processing-facility/" TargetMode="External"/><Relationship Id="rId1499" Type="http://schemas.openxmlformats.org/officeDocument/2006/relationships/hyperlink" Target="https://www.mininggazette.com/news/front-page/2025/12/eagle-mine-sold/" TargetMode="External"/><Relationship Id="rId424" Type="http://schemas.openxmlformats.org/officeDocument/2006/relationships/hyperlink" Target="https://www.cameco.com/businesses/uranium-operations/suspended/smith-ranch-highland" TargetMode="External"/><Relationship Id="rId631" Type="http://schemas.openxmlformats.org/officeDocument/2006/relationships/hyperlink" Target="https://minedocs.com/19/Sunshine-PEA-01172020.pdf" TargetMode="External"/><Relationship Id="rId729" Type="http://schemas.openxmlformats.org/officeDocument/2006/relationships/hyperlink" Target="https://pubs.usgs.gov/myb/vol1/2023/myb1-2023-helium.pdf" TargetMode="External"/><Relationship Id="rId1054" Type="http://schemas.openxmlformats.org/officeDocument/2006/relationships/hyperlink" Target="http://www.sulphuric-acid.com/Sulphuric-Acid-on-the-Web/Acid%20Plants/Mosaic%20-%20Bartow.htm" TargetMode="External"/><Relationship Id="rId1261" Type="http://schemas.openxmlformats.org/officeDocument/2006/relationships/hyperlink" Target="https://pubs.usgs.gov/myb/vol1/2022/myb1-2022-gold.pdf" TargetMode="External"/><Relationship Id="rId1359" Type="http://schemas.openxmlformats.org/officeDocument/2006/relationships/hyperlink" Target="https://tusaar.com/wp-content/uploads/2024/01/Tusaar-MRPR-01172024.pdf" TargetMode="External"/><Relationship Id="rId270" Type="http://schemas.openxmlformats.org/officeDocument/2006/relationships/hyperlink" Target="https://americas-gold.com/site/assets/files/6067/nr20260121-1.pdf" TargetMode="External"/><Relationship Id="rId936" Type="http://schemas.openxmlformats.org/officeDocument/2006/relationships/hyperlink" Target="https://www.federalregister.gov/documents/2009/08/14/E9-19416/notice-of-availability-of-draft-environmental-impact-statement-for-the-proposed-blackfoot-bridge" TargetMode="External"/><Relationship Id="rId1121" Type="http://schemas.openxmlformats.org/officeDocument/2006/relationships/hyperlink" Target="https://encoreuranium.com/wp-content/uploads/2025/02/2025_2_13_South-Texas-Uranium-Project-Technical-Report_FINAL.pdf" TargetMode="External"/><Relationship Id="rId1219" Type="http://schemas.openxmlformats.org/officeDocument/2006/relationships/hyperlink" Target="https://pubs.usgs.gov/myb/vol1/2022/myb1-2022-fluorspar.pdf" TargetMode="External"/><Relationship Id="rId65" Type="http://schemas.openxmlformats.org/officeDocument/2006/relationships/hyperlink" Target="https://www.crystalsugar.com/about-our-cooperative/locations/" TargetMode="External"/><Relationship Id="rId130" Type="http://schemas.openxmlformats.org/officeDocument/2006/relationships/hyperlink" Target="https://www.kinross.com/English/operations/default.aspx" TargetMode="External"/><Relationship Id="rId368" Type="http://schemas.openxmlformats.org/officeDocument/2006/relationships/hyperlink" Target="https://paradinemill.com/" TargetMode="External"/><Relationship Id="rId575" Type="http://schemas.openxmlformats.org/officeDocument/2006/relationships/hyperlink" Target="https://www.nsrltd.com/our-assets/pogo-operations/" TargetMode="External"/><Relationship Id="rId782" Type="http://schemas.openxmlformats.org/officeDocument/2006/relationships/hyperlink" Target="https://d9-wret.s3.us-west-2.amazonaws.com/assets/palladium/production/mineral-pubs/lead/mcs-2013-lead.pdf" TargetMode="External"/><Relationship Id="rId1426" Type="http://schemas.openxmlformats.org/officeDocument/2006/relationships/hyperlink" Target="https://pubs.usgs.gov/myb/vol1/2022/myb1-2022-titanium.pdf" TargetMode="External"/><Relationship Id="rId228" Type="http://schemas.openxmlformats.org/officeDocument/2006/relationships/hyperlink" Target="https://sunshinesilvermining.com/" TargetMode="External"/><Relationship Id="rId435" Type="http://schemas.openxmlformats.org/officeDocument/2006/relationships/hyperlink" Target="https://minerals.nv.gov/uploadedFiles/mineralsnvgov/content/Programs/Mining/2022%20Metallic%20Production%20by%20mine.pdf" TargetMode="External"/><Relationship Id="rId642" Type="http://schemas.openxmlformats.org/officeDocument/2006/relationships/hyperlink" Target="https://www.sec.gov/Archives/edgar/data/915913/000091591324000016/exhibit9661231202310-k.htm" TargetMode="External"/><Relationship Id="rId1065" Type="http://schemas.openxmlformats.org/officeDocument/2006/relationships/hyperlink" Target="http://www.sulphuric-acid.com/Sulphuric-Acid-on-the-Web/Acid%20Plants/Chemtrade%20-%20Riverton.htm" TargetMode="External"/><Relationship Id="rId1272" Type="http://schemas.openxmlformats.org/officeDocument/2006/relationships/hyperlink" Target="https://minedocs.com/23/NorthMet-FS-12302022.pdf" TargetMode="External"/><Relationship Id="rId281" Type="http://schemas.openxmlformats.org/officeDocument/2006/relationships/hyperlink" Target="https://westwaterresources.com/operations/kellyton-processing-plant/default.aspx" TargetMode="External"/><Relationship Id="rId502" Type="http://schemas.openxmlformats.org/officeDocument/2006/relationships/hyperlink" Target="https://www.gopherresource.com/newsroom/natural-resources-research-institute-partnership.html" TargetMode="External"/><Relationship Id="rId947" Type="http://schemas.openxmlformats.org/officeDocument/2006/relationships/hyperlink" Target="https://arcosaspecialtymaterials.com/gypsum-and-anhydrite-aggregate-products/" TargetMode="External"/><Relationship Id="rId1132" Type="http://schemas.openxmlformats.org/officeDocument/2006/relationships/hyperlink" Target="https://www.transatlanticminingcorp.com/wp-content/uploads/2026/01/26.01-Monitor_TR_Final.pdf" TargetMode="External"/><Relationship Id="rId76" Type="http://schemas.openxmlformats.org/officeDocument/2006/relationships/hyperlink" Target="https://www.lime.org/find-a-lime-plant/?startrow=2" TargetMode="External"/><Relationship Id="rId141" Type="http://schemas.openxmlformats.org/officeDocument/2006/relationships/hyperlink" Target="https://www.sec.gov/Archives/edgar/data/831259/000083125922000009/fcx-20211231.htm" TargetMode="External"/><Relationship Id="rId379" Type="http://schemas.openxmlformats.org/officeDocument/2006/relationships/hyperlink" Target="https://wcsecure.weblink.com.au/pdf/INR/02952628.pdf" TargetMode="External"/><Relationship Id="rId586" Type="http://schemas.openxmlformats.org/officeDocument/2006/relationships/hyperlink" Target="https://minedocs.com/24/Pan-TR-12312022.pdf" TargetMode="External"/><Relationship Id="rId793" Type="http://schemas.openxmlformats.org/officeDocument/2006/relationships/hyperlink" Target="https://americanbatterytechnology.com/projects/recycling-plant/" TargetMode="External"/><Relationship Id="rId807" Type="http://schemas.openxmlformats.org/officeDocument/2006/relationships/hyperlink" Target="https://atlaspolicy.com/wp-content/uploads/2025/05/Ascend-Elements-in-Hopkinsville-Case-Study.pdf" TargetMode="External"/><Relationship Id="rId1437" Type="http://schemas.openxmlformats.org/officeDocument/2006/relationships/hyperlink" Target="https://www.whiterivernow.com/2024/11/05/arkansas-lime-company-celebrates-100th-year-at-limedale/" TargetMode="External"/><Relationship Id="rId7" Type="http://schemas.openxmlformats.org/officeDocument/2006/relationships/hyperlink" Target="https://doerun.com/what-we-do/mining-milling/" TargetMode="External"/><Relationship Id="rId239" Type="http://schemas.openxmlformats.org/officeDocument/2006/relationships/hyperlink" Target="https://www.montanagoldfieldsinc.com/montana-tunnels/" TargetMode="External"/><Relationship Id="rId446" Type="http://schemas.openxmlformats.org/officeDocument/2006/relationships/hyperlink" Target="https://usmagnesium.com/about-us-mag/" TargetMode="External"/><Relationship Id="rId653" Type="http://schemas.openxmlformats.org/officeDocument/2006/relationships/hyperlink" Target="https://www.fastmarkets.com/insights/korea-zincs-jpmorgan-backed-crucible-plant-to-focus-on-us-material/" TargetMode="External"/><Relationship Id="rId1076" Type="http://schemas.openxmlformats.org/officeDocument/2006/relationships/hyperlink" Target="http://www.sulphuric-acid.com/Sulphuric-Acid-on-the-Web/Acid%20Plants/General%20Chemical%20-%20Anacortes.htm" TargetMode="External"/><Relationship Id="rId1283" Type="http://schemas.openxmlformats.org/officeDocument/2006/relationships/hyperlink" Target="https://ndep.nv.gov/uploads/documents/20241009TM_0096107_Factsheet_Midas_1.pdf" TargetMode="External"/><Relationship Id="rId1490" Type="http://schemas.openxmlformats.org/officeDocument/2006/relationships/hyperlink" Target="https://minedocs.com/23/Eagle-TR-12312022.pdf" TargetMode="External"/><Relationship Id="rId1504" Type="http://schemas.openxmlformats.org/officeDocument/2006/relationships/hyperlink" Target="https://www.asbury.com/materials/coke/" TargetMode="External"/><Relationship Id="rId292" Type="http://schemas.openxmlformats.org/officeDocument/2006/relationships/hyperlink" Target="https://www.gp.com/about-us/locations/wyoming" TargetMode="External"/><Relationship Id="rId306" Type="http://schemas.openxmlformats.org/officeDocument/2006/relationships/hyperlink" Target="https://ucore.com/ucore-updates-mineral-resource-estimate-and-technical-report-for-bokan-dotson-ridge-rare-earth-property/" TargetMode="External"/><Relationship Id="rId860" Type="http://schemas.openxmlformats.org/officeDocument/2006/relationships/hyperlink" Target="https://talonmetals.com/talon-metals-secures-51-ownership-of-tamarack-nickel-project-six-months-ahead-of-schedule/" TargetMode="External"/><Relationship Id="rId958" Type="http://schemas.openxmlformats.org/officeDocument/2006/relationships/hyperlink" Target="https://www.pitandquarry.com/mlc-to-revamp-dolomitic-lime-site-in-missouri/" TargetMode="External"/><Relationship Id="rId1143" Type="http://schemas.openxmlformats.org/officeDocument/2006/relationships/hyperlink" Target="https://western-uranium.com/reports/Technical_Report_Sunday_Mine_Complex.pdf" TargetMode="External"/><Relationship Id="rId87" Type="http://schemas.openxmlformats.org/officeDocument/2006/relationships/hyperlink" Target="https://cmxgoldandsilver.com/wp-content/uploads/2024/01/Clayton-NI-43-101.pdf" TargetMode="External"/><Relationship Id="rId513" Type="http://schemas.openxmlformats.org/officeDocument/2006/relationships/hyperlink" Target="https://pubs.usgs.gov/myb/vol1/2022/myb1-2022-barite.pdf" TargetMode="External"/><Relationship Id="rId597" Type="http://schemas.openxmlformats.org/officeDocument/2006/relationships/hyperlink" Target="https://minedocs.com/21/CastleMountain_FS_02262021.pdf" TargetMode="External"/><Relationship Id="rId720" Type="http://schemas.openxmlformats.org/officeDocument/2006/relationships/hyperlink" Target="https://pubs.usgs.gov/myb/vol1/2023/myb1-2023-helium.pdf" TargetMode="External"/><Relationship Id="rId818" Type="http://schemas.openxmlformats.org/officeDocument/2006/relationships/hyperlink" Target="https://www.energy.gov/edf/articles/lpo-announces-conditional-commitment-project-atlis-lithium-hydroxide-production" TargetMode="External"/><Relationship Id="rId1350" Type="http://schemas.openxmlformats.org/officeDocument/2006/relationships/hyperlink" Target="https://cdn.prod.website-files.com/67b9c5dc15db73b34fcf2bf3/69dcb7caacc18dfdd52202e2_Aclara%20-%20Integrated%20Value%20Chain%20press%20release.pdf" TargetMode="External"/><Relationship Id="rId1448" Type="http://schemas.openxmlformats.org/officeDocument/2006/relationships/hyperlink" Target="https://www.redwoodmaterials.com/news/sustainable-battery-materials-process/" TargetMode="External"/><Relationship Id="rId152" Type="http://schemas.openxmlformats.org/officeDocument/2006/relationships/hyperlink" Target="https://www.goldroyalty.com/portfolio/rawhide/" TargetMode="External"/><Relationship Id="rId457" Type="http://schemas.openxmlformats.org/officeDocument/2006/relationships/hyperlink" Target="https://comstock.inc/press-release/comstock-announces-full-year-2022-results/" TargetMode="External"/><Relationship Id="rId1003" Type="http://schemas.openxmlformats.org/officeDocument/2006/relationships/hyperlink" Target="https://www.michigansugar.com/about-us/locations/" TargetMode="External"/><Relationship Id="rId1087" Type="http://schemas.openxmlformats.org/officeDocument/2006/relationships/hyperlink" Target="http://www.sulphuric-acid.com/Sulphuric-Acid-on-the-Web/Acid%20Plants/Rhodia%20-%20Houston.htm" TargetMode="External"/><Relationship Id="rId1210" Type="http://schemas.openxmlformats.org/officeDocument/2006/relationships/hyperlink" Target="https://minerals.nv.gov/uploadedFiles/mineralsnvgov/content/Programs/Mining/2022%20Metallic%20Production%20by%20mine.pdf" TargetMode="External"/><Relationship Id="rId1294" Type="http://schemas.openxmlformats.org/officeDocument/2006/relationships/hyperlink" Target="https://www.asarco.com/mines/" TargetMode="External"/><Relationship Id="rId1308" Type="http://schemas.openxmlformats.org/officeDocument/2006/relationships/hyperlink" Target="https://www.gem.wiki/Leer_South_Coal_Mine" TargetMode="External"/><Relationship Id="rId664" Type="http://schemas.openxmlformats.org/officeDocument/2006/relationships/hyperlink" Target="https://pubs.usgs.gov/myb/vol1/2023/myb1-2023-cobalt.pdf" TargetMode="External"/><Relationship Id="rId871" Type="http://schemas.openxmlformats.org/officeDocument/2006/relationships/hyperlink" Target="https://www.niocorp.com/wp-content/uploads/NioCorp_June-2022_NI_43-101_Technical_Report.pdf" TargetMode="External"/><Relationship Id="rId969" Type="http://schemas.openxmlformats.org/officeDocument/2006/relationships/hyperlink" Target="https://www.lime.org/find-a-lime-plant/?categories=&amp;pagenum=" TargetMode="External"/><Relationship Id="rId1515" Type="http://schemas.openxmlformats.org/officeDocument/2006/relationships/hyperlink" Target="https://www.minerals.nv.gov/siteassets/content/programs/mining/2022_Metallic_Production_by_mine.pdf" TargetMode="External"/><Relationship Id="rId14" Type="http://schemas.openxmlformats.org/officeDocument/2006/relationships/hyperlink" Target="https://www.goldroyalty.com/portfolio/rawhide/" TargetMode="External"/><Relationship Id="rId317" Type="http://schemas.openxmlformats.org/officeDocument/2006/relationships/hyperlink" Target="https://www.kgs.ku.edu/Publications/Bulletins/133/04_blaine.html" TargetMode="External"/><Relationship Id="rId524" Type="http://schemas.openxmlformats.org/officeDocument/2006/relationships/hyperlink" Target="https://pubs.usgs.gov/myb/vol1/2022/myb1-2022-barite.pdf" TargetMode="External"/><Relationship Id="rId731" Type="http://schemas.openxmlformats.org/officeDocument/2006/relationships/hyperlink" Target="https://pubs.usgs.gov/myb/vol1/2023/myb1-2023-helium.pdf" TargetMode="External"/><Relationship Id="rId1154" Type="http://schemas.openxmlformats.org/officeDocument/2006/relationships/hyperlink" Target="https://apcb.org/wp-content/uploads/2023/03/Allied-Metal-Permit-Application.pdf" TargetMode="External"/><Relationship Id="rId1361" Type="http://schemas.openxmlformats.org/officeDocument/2006/relationships/hyperlink" Target="https://spectrum.ieee.org/advanced-magnet-manufacturing-in-us" TargetMode="External"/><Relationship Id="rId1459" Type="http://schemas.openxmlformats.org/officeDocument/2006/relationships/hyperlink" Target="https://www.basf.com/us/en/pages/contracted-services/site-specific/Seneca" TargetMode="External"/><Relationship Id="rId98" Type="http://schemas.openxmlformats.org/officeDocument/2006/relationships/hyperlink" Target="https://www.idahogeology.org/pub/Staff_Reports/1999/S-99-2.pdf" TargetMode="External"/><Relationship Id="rId163" Type="http://schemas.openxmlformats.org/officeDocument/2006/relationships/hyperlink" Target="https://integraresources.com/asset/florida-canyon-mine/" TargetMode="External"/><Relationship Id="rId370" Type="http://schemas.openxmlformats.org/officeDocument/2006/relationships/hyperlink" Target="https://www.niocorp.com/wp-content/uploads/NioCorp_June-2022_NI_43-101_Technical_Report.pdf" TargetMode="External"/><Relationship Id="rId829" Type="http://schemas.openxmlformats.org/officeDocument/2006/relationships/hyperlink" Target="https://www.redwoodmaterials.com/news/sustainable-battery-materials-process/" TargetMode="External"/><Relationship Id="rId1014" Type="http://schemas.openxmlformats.org/officeDocument/2006/relationships/hyperlink" Target="https://www.goldseiten.de/artikel/308083--IC-Potash-Announces-the-Results-of-a-Preliminary-Economic-Assessment-of-Its-Ochoa-Polyhalite-Project-with-a-Capex-of-368-Million-28Prozent-IRR-and-an-NPV~.html" TargetMode="External"/><Relationship Id="rId1221" Type="http://schemas.openxmlformats.org/officeDocument/2006/relationships/hyperlink" Target="https://c2789c21-62f1-4082-847e-d877f86d2499.filesusr.com/ugd/8e8cf1_0ad1ebad342b41c58b381101d2ddd6f1.pdf" TargetMode="External"/><Relationship Id="rId230" Type="http://schemas.openxmlformats.org/officeDocument/2006/relationships/hyperlink" Target="https://originmine.com/mineral-park/" TargetMode="External"/><Relationship Id="rId468" Type="http://schemas.openxmlformats.org/officeDocument/2006/relationships/hyperlink" Target="https://wp-andeanpm-2023.s3.ca-central-1.amazonaws.com/media/2024/02/28203450/Soledad-Mountain-Technical-Report-2023-31Jan24-FINAL.pdf" TargetMode="External"/><Relationship Id="rId675" Type="http://schemas.openxmlformats.org/officeDocument/2006/relationships/hyperlink" Target="https://www.juniorminingnetwork.com/junior-miner-news/press-releases/1873-tsx-venture/vlt/115689-allied-copper-signs-option-agreement-to-acquire-100-of-stateline-property-co-ut-usa.html" TargetMode="External"/><Relationship Id="rId882" Type="http://schemas.openxmlformats.org/officeDocument/2006/relationships/hyperlink" Target="https://minedocs.com/18/Stillwater-Operation-TRS-12312024.pdf" TargetMode="External"/><Relationship Id="rId1098" Type="http://schemas.openxmlformats.org/officeDocument/2006/relationships/hyperlink" Target="https://appiancapitaladvisory.com/portfolio/asm/" TargetMode="External"/><Relationship Id="rId1319" Type="http://schemas.openxmlformats.org/officeDocument/2006/relationships/hyperlink" Target="https://www.suncoke.com/~/media/Files/S/Suncoke/documents/presentations/2024/sxc-q1-2024-updated-investor-presentation-v1.pdf" TargetMode="External"/><Relationship Id="rId1526" Type="http://schemas.openxmlformats.org/officeDocument/2006/relationships/hyperlink" Target="https://www.minerals.nv.gov/siteassets/content/programs/mining/2022_Metallic_Production_by_mine.pdf" TargetMode="External"/><Relationship Id="rId25" Type="http://schemas.openxmlformats.org/officeDocument/2006/relationships/hyperlink" Target="https://www.ssrmining.com/operations/production/marigold/" TargetMode="External"/><Relationship Id="rId328" Type="http://schemas.openxmlformats.org/officeDocument/2006/relationships/hyperlink" Target="https://mlc.com/mississippi-lime-completes-acquisition-of-southern-lime-begins-integration-of-the-calera-alabama-based-business-2/" TargetMode="External"/><Relationship Id="rId535" Type="http://schemas.openxmlformats.org/officeDocument/2006/relationships/hyperlink" Target="https://d9-wret.s3.us-west-2.amazonaws.com/assets/palladium/production/mineral-pubs/boron/myb1-2012-boron.pdf" TargetMode="External"/><Relationship Id="rId742" Type="http://schemas.openxmlformats.org/officeDocument/2006/relationships/hyperlink" Target="https://www.ssrmining.com/operations/production/cripple-creek-victor/" TargetMode="External"/><Relationship Id="rId1165" Type="http://schemas.openxmlformats.org/officeDocument/2006/relationships/hyperlink" Target="https://www.everzinc.com/en/fine-zinc-powder" TargetMode="External"/><Relationship Id="rId1372" Type="http://schemas.openxmlformats.org/officeDocument/2006/relationships/hyperlink" Target="https://www.alabamapigments.com/" TargetMode="External"/><Relationship Id="rId174" Type="http://schemas.openxmlformats.org/officeDocument/2006/relationships/hyperlink" Target="https://nam.org/pentagon-korea-zinc-partner-on-tennessee-mineral-smelter-35425/?stream=series-input-stories" TargetMode="External"/><Relationship Id="rId381" Type="http://schemas.openxmlformats.org/officeDocument/2006/relationships/hyperlink" Target="https://www.streetinsider.com/SEC+Filings/Form+10-Q+American+Clean+Resources+For%3A+Jun+30/25227993.html" TargetMode="External"/><Relationship Id="rId602" Type="http://schemas.openxmlformats.org/officeDocument/2006/relationships/hyperlink" Target="https://www.i80gold.com/wp-content/uploads/2025/03/i-80-Gold-Corp.-Ruby-Hill-43-101-PEA-Technical-Report-Final-03_31_25.pdf" TargetMode="External"/><Relationship Id="rId1025" Type="http://schemas.openxmlformats.org/officeDocument/2006/relationships/hyperlink" Target="https://link.springer.com/article/10.1007/s13563-023-00392-0" TargetMode="External"/><Relationship Id="rId1232" Type="http://schemas.openxmlformats.org/officeDocument/2006/relationships/hyperlink" Target="https://dasmithdrilling.com/projects/american-gypsum-eagle-mine-gypsum-colorado" TargetMode="External"/><Relationship Id="rId241" Type="http://schemas.openxmlformats.org/officeDocument/2006/relationships/hyperlink" Target="https://www.montanagoldfieldsinc.com/montana-tunnels/" TargetMode="External"/><Relationship Id="rId479" Type="http://schemas.openxmlformats.org/officeDocument/2006/relationships/hyperlink" Target="https://pubs.usgs.gov/myb/vol1/2022/myb1-2022-titanium.pdf" TargetMode="External"/><Relationship Id="rId686" Type="http://schemas.openxmlformats.org/officeDocument/2006/relationships/hyperlink" Target="https://www.sec.gov/Archives/edgar/data/831259/000083125922000009/fcx-20211231.htm" TargetMode="External"/><Relationship Id="rId893" Type="http://schemas.openxmlformats.org/officeDocument/2006/relationships/hyperlink" Target="https://minedocs.com/18/Stillwater-Operation-TRS-12312024.pdf" TargetMode="External"/><Relationship Id="rId907" Type="http://schemas.openxmlformats.org/officeDocument/2006/relationships/hyperlink" Target="https://metalfinishing.org/wp-content/uploads/2023-MFASC-EXHIBITOR-HANDBOOK.pdf" TargetMode="External"/><Relationship Id="rId1537" Type="http://schemas.openxmlformats.org/officeDocument/2006/relationships/hyperlink" Target="https://pubs.usgs.gov/myb/vol1/2022/myb1-2022-zinc.pdf" TargetMode="External"/><Relationship Id="rId36" Type="http://schemas.openxmlformats.org/officeDocument/2006/relationships/hyperlink" Target="https://www.michigansugar.com/products/co-products/sugarbeet-lime/" TargetMode="External"/><Relationship Id="rId339" Type="http://schemas.openxmlformats.org/officeDocument/2006/relationships/hyperlink" Target="https://wyomingsugar.com/" TargetMode="External"/><Relationship Id="rId546" Type="http://schemas.openxmlformats.org/officeDocument/2006/relationships/hyperlink" Target="https://pubs.usgs.gov/myb/vol1/2021/myb1-2021-copper.pdf" TargetMode="External"/><Relationship Id="rId753" Type="http://schemas.openxmlformats.org/officeDocument/2006/relationships/hyperlink" Target="https://www.kinross.com/English/operations/default.aspx" TargetMode="External"/><Relationship Id="rId1176" Type="http://schemas.openxmlformats.org/officeDocument/2006/relationships/hyperlink" Target="https://bluemoonmetals.com/project/blue-moon/" TargetMode="External"/><Relationship Id="rId1383" Type="http://schemas.openxmlformats.org/officeDocument/2006/relationships/hyperlink" Target="https://www.gp.com/about-us/locations/wyoming" TargetMode="External"/><Relationship Id="rId101" Type="http://schemas.openxmlformats.org/officeDocument/2006/relationships/hyperlink" Target="https://www.transatlanticminingcorp.com/wp-content/uploads/2026/01/26.01-Monitor_TR_Final.pdf" TargetMode="External"/><Relationship Id="rId185" Type="http://schemas.openxmlformats.org/officeDocument/2006/relationships/hyperlink" Target="https://apcrp.org/CERBAT/Cerbat_Cem_mast_text.htm" TargetMode="External"/><Relationship Id="rId406" Type="http://schemas.openxmlformats.org/officeDocument/2006/relationships/hyperlink" Target="https://encoreuranium.com/wp-content/uploads/2024/04/enCore_AR2023_FINAL.pdf" TargetMode="External"/><Relationship Id="rId960" Type="http://schemas.openxmlformats.org/officeDocument/2006/relationships/hyperlink" Target="https://www.carmeuse.com/eu-en/products-map/354" TargetMode="External"/><Relationship Id="rId1036" Type="http://schemas.openxmlformats.org/officeDocument/2006/relationships/hyperlink" Target="https://munistrategies.com/project_portfolio/mississippi-silicon/" TargetMode="External"/><Relationship Id="rId1243" Type="http://schemas.openxmlformats.org/officeDocument/2006/relationships/hyperlink" Target="https://www.sec.gov/Archives/edgar/data/1168081/000121390023001137/ea171312-8k_deserthawk.htm" TargetMode="External"/><Relationship Id="rId392" Type="http://schemas.openxmlformats.org/officeDocument/2006/relationships/hyperlink" Target="https://www.recyclingtoday.com/news/metallix-usa-sibanye-stillwater-south-africa-acquisition-gold-silver-platinum-recycling/" TargetMode="External"/><Relationship Id="rId613" Type="http://schemas.openxmlformats.org/officeDocument/2006/relationships/hyperlink" Target="https://www.canadianminingjournal.com/featured-article/good-news-from-bagdad-the-mine/" TargetMode="External"/><Relationship Id="rId697" Type="http://schemas.openxmlformats.org/officeDocument/2006/relationships/hyperlink" Target="https://superiorgraphite.com/wp-content/uploads/2025/04/Superior-Graphite-Press-Release_06-2023.pdf" TargetMode="External"/><Relationship Id="rId820" Type="http://schemas.openxmlformats.org/officeDocument/2006/relationships/hyperlink" Target="https://www.recycledmaterials.org/li-cycle-grows-hub-spoke-battery-recycling-network/" TargetMode="External"/><Relationship Id="rId918" Type="http://schemas.openxmlformats.org/officeDocument/2006/relationships/hyperlink" Target="file:///C:\Users\tmobrien\AppData\Local\Temp\1\MicrosoftEdgeDownloads\f271cbde-f726-43b9-bcb0-a886dde2fb58\PGMPaperDraft_11_27_2025.pdf" TargetMode="External"/><Relationship Id="rId1450" Type="http://schemas.openxmlformats.org/officeDocument/2006/relationships/hyperlink" Target="https://www.redwoodmaterials.com/news/sustainable-battery-materials-process/" TargetMode="External"/><Relationship Id="rId252" Type="http://schemas.openxmlformats.org/officeDocument/2006/relationships/hyperlink" Target="https://www.epa.gov/mn/polymet-now-newrange-copper-nickel-llc" TargetMode="External"/><Relationship Id="rId1103" Type="http://schemas.openxmlformats.org/officeDocument/2006/relationships/hyperlink" Target="https://appiancapitaladvisory.com/portfolio/asm/" TargetMode="External"/><Relationship Id="rId1187" Type="http://schemas.openxmlformats.org/officeDocument/2006/relationships/hyperlink" Target="https://www.usantimony.com/uamy-production-facilities" TargetMode="External"/><Relationship Id="rId1310" Type="http://schemas.openxmlformats.org/officeDocument/2006/relationships/hyperlink" Target="https://s22.q4cdn.com/670299758/files/doc_presentations/2021/2021/AMR-Investor-Presentation-8.6.21.pdf" TargetMode="External"/><Relationship Id="rId1408" Type="http://schemas.openxmlformats.org/officeDocument/2006/relationships/hyperlink" Target="https://asmi.az.gov/sites/default/files/2026-04/2026%205.21%20PUBLIC%20MEETING%20AGENDA%20National%20Gypsum.pdf" TargetMode="External"/><Relationship Id="rId47" Type="http://schemas.openxmlformats.org/officeDocument/2006/relationships/hyperlink" Target="https://diamondkgypsum.com/about/" TargetMode="External"/><Relationship Id="rId112" Type="http://schemas.openxmlformats.org/officeDocument/2006/relationships/hyperlink" Target="https://www.sec.gov/Archives/edgar/data/1030192/000165495426002560/idr_ex961.htm" TargetMode="External"/><Relationship Id="rId557" Type="http://schemas.openxmlformats.org/officeDocument/2006/relationships/hyperlink" Target="https://www.juniorminingnetwork.com/junior-miner-news/press-releases/1873-tsx-venture/vlt/115689-allied-copper-signs-option-agreement-to-acquire-100-of-stateline-property-co-ut-usa.html" TargetMode="External"/><Relationship Id="rId764" Type="http://schemas.openxmlformats.org/officeDocument/2006/relationships/hyperlink" Target="https://d9-wret.s3.us-west-2.amazonaws.com/assets/palladium/production/mineral-pubs/lead/380498.pdf" TargetMode="External"/><Relationship Id="rId971" Type="http://schemas.openxmlformats.org/officeDocument/2006/relationships/hyperlink" Target="https://www.lime.org/find-a-lime-plant/?categories=&amp;pagenum=" TargetMode="External"/><Relationship Id="rId1394" Type="http://schemas.openxmlformats.org/officeDocument/2006/relationships/hyperlink" Target="https://aurisnoble.com/" TargetMode="External"/><Relationship Id="rId196" Type="http://schemas.openxmlformats.org/officeDocument/2006/relationships/hyperlink" Target="https://minedocs.com/20/Hycroft-Summary-Technical-Report-07312019.pdf" TargetMode="External"/><Relationship Id="rId417" Type="http://schemas.openxmlformats.org/officeDocument/2006/relationships/hyperlink" Target="https://s28.q4cdn.com/607153883/files/doc_financials/2022/ar/ffc8355f-9960-4b14-b391-4c0236bc43b5.pdf" TargetMode="External"/><Relationship Id="rId624" Type="http://schemas.openxmlformats.org/officeDocument/2006/relationships/hyperlink" Target="https://wp-andeanpm-2023.s3.ca-central-1.amazonaws.com/media/2024/02/28203450/Soledad-Mountain-Technical-Report-2023-31Jan24-FINAL.pdf" TargetMode="External"/><Relationship Id="rId831" Type="http://schemas.openxmlformats.org/officeDocument/2006/relationships/hyperlink" Target="https://www.redwoodmaterials.com/news/sustainable-battery-materials-process/" TargetMode="External"/><Relationship Id="rId1047" Type="http://schemas.openxmlformats.org/officeDocument/2006/relationships/hyperlink" Target="https://amg-v.com/news/article/amg-advanced-metallurgical-group-n-v-completes-feasibility-study-to-expand-spent-catalyst-processing-capacity/" TargetMode="External"/><Relationship Id="rId1254" Type="http://schemas.openxmlformats.org/officeDocument/2006/relationships/hyperlink" Target="https://www.ssrmining.com/_resources/reports/Technical-Report-CCV-2025-SK1300.pdf?v=051904" TargetMode="External"/><Relationship Id="rId1461" Type="http://schemas.openxmlformats.org/officeDocument/2006/relationships/hyperlink" Target="https://www.osha.gov/ords/imis/establishment.inspection_detail?id=1799762.015" TargetMode="External"/><Relationship Id="rId263" Type="http://schemas.openxmlformats.org/officeDocument/2006/relationships/hyperlink" Target="https://minedocs.com/21/PintoValley_TR_06112021.pdf" TargetMode="External"/><Relationship Id="rId470" Type="http://schemas.openxmlformats.org/officeDocument/2006/relationships/hyperlink" Target="https://pubs.usgs.gov/myb/vol1/2019/myb1-2019-titanium.pdf" TargetMode="External"/><Relationship Id="rId929" Type="http://schemas.openxmlformats.org/officeDocument/2006/relationships/hyperlink" Target="https://www.sabinmetal.com/locations/main-plant-sales-office" TargetMode="External"/><Relationship Id="rId1114" Type="http://schemas.openxmlformats.org/officeDocument/2006/relationships/hyperlink" Target="https://www.cameco.com/annual_report/2015/mda/our-operations-and-projects/uranium-operating-properties/crow-butte/" TargetMode="External"/><Relationship Id="rId1321" Type="http://schemas.openxmlformats.org/officeDocument/2006/relationships/hyperlink" Target="https://www.suncoke.com/~/media/Files/S/Suncoke/documents/presentations/2024/sxc-q1-2024-updated-investor-presentation-v1.pdf" TargetMode="External"/><Relationship Id="rId58" Type="http://schemas.openxmlformats.org/officeDocument/2006/relationships/hyperlink" Target="https://www.carmeuse.com/eu-en/products-map" TargetMode="External"/><Relationship Id="rId123" Type="http://schemas.openxmlformats.org/officeDocument/2006/relationships/hyperlink" Target="https://www.hecla.com/exploration/nevada-usa" TargetMode="External"/><Relationship Id="rId330" Type="http://schemas.openxmlformats.org/officeDocument/2006/relationships/hyperlink" Target="https://www.usg.com/en-US/about-usg/locations/manufacturing-plants" TargetMode="External"/><Relationship Id="rId568" Type="http://schemas.openxmlformats.org/officeDocument/2006/relationships/hyperlink" Target="https://pubs.usgs.gov/myb/vol1/2023/myb1-2023-germanium.pdf" TargetMode="External"/><Relationship Id="rId775" Type="http://schemas.openxmlformats.org/officeDocument/2006/relationships/hyperlink" Target="https://d9-wret.s3.us-west-2.amazonaws.com/assets/palladium/production/mineral-pubs/lead/myb1-2010-lead.pdf" TargetMode="External"/><Relationship Id="rId982" Type="http://schemas.openxmlformats.org/officeDocument/2006/relationships/hyperlink" Target="https://www.crystalsugar.com/about-our-cooperative/locations/" TargetMode="External"/><Relationship Id="rId1198" Type="http://schemas.openxmlformats.org/officeDocument/2006/relationships/hyperlink" Target="https://minerals.nv.gov/uploadedFiles/mineralsnvgov/content/Programs/Mining/2022%20Metallic%20Production%20by%20mine.pdf" TargetMode="External"/><Relationship Id="rId1419" Type="http://schemas.openxmlformats.org/officeDocument/2006/relationships/hyperlink" Target="https://www.usg.com/en-US/about-usg/locations/manufacturing-plants" TargetMode="External"/><Relationship Id="rId428" Type="http://schemas.openxmlformats.org/officeDocument/2006/relationships/hyperlink" Target="https://minerals.nv.gov/uploadedFiles/mineralsnvgov/content/Programs/Mining/2022%20Metallic%20Production%20by%20mine.pdf" TargetMode="External"/><Relationship Id="rId635" Type="http://schemas.openxmlformats.org/officeDocument/2006/relationships/hyperlink" Target="https://www.sec.gov/Archives/edgar/data/1526243/000110465922069319/tm2217499d1_ex96-1.htm" TargetMode="External"/><Relationship Id="rId842" Type="http://schemas.openxmlformats.org/officeDocument/2006/relationships/hyperlink" Target="https://bormansm.com/elemental-boron/" TargetMode="External"/><Relationship Id="rId1058" Type="http://schemas.openxmlformats.org/officeDocument/2006/relationships/hyperlink" Target="http://www.sulphuric-acid.com/Sulphuric-Acid-on-the-Web/Acid%20Plants/PVS%20Chemical%20-%20Chicago.htm" TargetMode="External"/><Relationship Id="rId1265" Type="http://schemas.openxmlformats.org/officeDocument/2006/relationships/hyperlink" Target="https://minedocs.com/23/NorthMet-FS-12302022.pdf" TargetMode="External"/><Relationship Id="rId1472" Type="http://schemas.openxmlformats.org/officeDocument/2006/relationships/hyperlink" Target="https://ugspub.nr.utah.gov/publications/uranium_data/MD00703_1.pdf" TargetMode="External"/><Relationship Id="rId274" Type="http://schemas.openxmlformats.org/officeDocument/2006/relationships/hyperlink" Target="https://www.idahogeology.org/pub/Staff_Reports/1999/S-99-2.pdf" TargetMode="External"/><Relationship Id="rId481" Type="http://schemas.openxmlformats.org/officeDocument/2006/relationships/hyperlink" Target="https://pubs.usgs.gov/myb/vol1/2022/myb1-2022-titanium.pdf" TargetMode="External"/><Relationship Id="rId702" Type="http://schemas.openxmlformats.org/officeDocument/2006/relationships/hyperlink" Target="https://www.tokaicarbon.co.jp/en/ir/ebook/an201901/pageindices/index23.html" TargetMode="External"/><Relationship Id="rId1125" Type="http://schemas.openxmlformats.org/officeDocument/2006/relationships/hyperlink" Target="https://www.prnewswire.com/news-releases/uranium-energy-corp-sweetwater-project-designated-by-us-government-for-fast-track-permitting-to-add-in-situ-recovery-capability-creating-the-largest-dual-feed-uranium-facility-in-the-us-302521478.html" TargetMode="External"/><Relationship Id="rId1332" Type="http://schemas.openxmlformats.org/officeDocument/2006/relationships/hyperlink" Target="https://static1.squarespace.com/static/6807b8b87d058a08ac563fb1/t/69906f9dde27ba74c399f405/1771073437914/Gold+Road+Presentation+-+February+2026.pdf" TargetMode="External"/><Relationship Id="rId69" Type="http://schemas.openxmlformats.org/officeDocument/2006/relationships/hyperlink" Target="https://www.graymont.com/locations/" TargetMode="External"/><Relationship Id="rId134" Type="http://schemas.openxmlformats.org/officeDocument/2006/relationships/hyperlink" Target="https://doerun.com/what-we-do/mining-milling/" TargetMode="External"/><Relationship Id="rId579" Type="http://schemas.openxmlformats.org/officeDocument/2006/relationships/hyperlink" Target="https://s22.q4cdn.com/546540291/files/doc_financials/2023/q4/slr-ssr-marigold-trs-feb-11-2024.pdf?v=032304" TargetMode="External"/><Relationship Id="rId786" Type="http://schemas.openxmlformats.org/officeDocument/2006/relationships/hyperlink" Target="https://www.thomasnet.com/company/powerlab-inc-79395/profile?heading=43630201&amp;coverage_area=NA&amp;companyId=powerlab-inc-79395&amp;card_position=4&amp;page_number=1&amp;suppliers_in_page=25" TargetMode="External"/><Relationship Id="rId993" Type="http://schemas.openxmlformats.org/officeDocument/2006/relationships/hyperlink" Target="https://www.graymont.com/locations/" TargetMode="External"/><Relationship Id="rId341" Type="http://schemas.openxmlformats.org/officeDocument/2006/relationships/hyperlink" Target="https://www.basf.com/us/en/pages/contracted-services/site-specific/Seneca" TargetMode="External"/><Relationship Id="rId439" Type="http://schemas.openxmlformats.org/officeDocument/2006/relationships/hyperlink" Target="https://minerals.nv.gov/uploadedFiles/mineralsnvgov/content/Programs/Mining/2022%20Metallic%20Production%20by%20mine.pdf" TargetMode="External"/><Relationship Id="rId646" Type="http://schemas.openxmlformats.org/officeDocument/2006/relationships/hyperlink" Target="https://d9-wret.s3-us-west-2.amazonaws.com/assets/palladium/production/mineral-pubs/bromine/myb1-2016-bromi.pdf" TargetMode="External"/><Relationship Id="rId1069" Type="http://schemas.openxmlformats.org/officeDocument/2006/relationships/hyperlink" Target="http://www.sulphuric-acid.com/Sulphuric-Acid-on-the-Web/Acid%20Plants/ConocoPhillips%20-%20Wilmington.htm" TargetMode="External"/><Relationship Id="rId1276" Type="http://schemas.openxmlformats.org/officeDocument/2006/relationships/hyperlink" Target="https://www.greatwesternmining.com/projects/western-milling-llc/" TargetMode="External"/><Relationship Id="rId1483" Type="http://schemas.openxmlformats.org/officeDocument/2006/relationships/hyperlink" Target="https://www.titanminingcorp.com/news/news-releases/titan-launches-processing-facility-for-us-natural-flake-graphite-production-in-new-york" TargetMode="External"/><Relationship Id="rId201" Type="http://schemas.openxmlformats.org/officeDocument/2006/relationships/hyperlink" Target="https://www.goldroyalty.com/portfolio/isabella-pearl/" TargetMode="External"/><Relationship Id="rId285" Type="http://schemas.openxmlformats.org/officeDocument/2006/relationships/hyperlink" Target="https://www.steeldust.com/products.php" TargetMode="External"/><Relationship Id="rId506" Type="http://schemas.openxmlformats.org/officeDocument/2006/relationships/hyperlink" Target="https://d9-wret.s3.us-west-2.amazonaws.com/assets/palladium/production/mineral-pubs/aluminum/alumimyb04.pdf" TargetMode="External"/><Relationship Id="rId853" Type="http://schemas.openxmlformats.org/officeDocument/2006/relationships/hyperlink" Target="https://minedocs.com/18/Stillwater-Operation-TRS-12312024.pdf" TargetMode="External"/><Relationship Id="rId1136" Type="http://schemas.openxmlformats.org/officeDocument/2006/relationships/hyperlink" Target="https://ir.hecla.com/Investors/annual-reports-filings/sec-filings-details/default.aspx?FilingId=19156252" TargetMode="External"/><Relationship Id="rId492" Type="http://schemas.openxmlformats.org/officeDocument/2006/relationships/hyperlink" Target="https://riverchem.com/" TargetMode="External"/><Relationship Id="rId713" Type="http://schemas.openxmlformats.org/officeDocument/2006/relationships/hyperlink" Target="https://usminecorp.com/ione-hmc-project/" TargetMode="External"/><Relationship Id="rId797" Type="http://schemas.openxmlformats.org/officeDocument/2006/relationships/hyperlink" Target="https://ir.aquametals.com/press-releases/detail/322/aqua-metals-advances-commercialization-of-aquarefining" TargetMode="External"/><Relationship Id="rId920" Type="http://schemas.openxmlformats.org/officeDocument/2006/relationships/hyperlink" Target="https://www.heraeus-precious-metals.com/en/company/press-and-news/heraeus-precious-metals-adds-a-smelter-to-its-recycling-capabilities/" TargetMode="External"/><Relationship Id="rId1343" Type="http://schemas.openxmlformats.org/officeDocument/2006/relationships/hyperlink" Target="https://www.rareelementresources.com/rare-element-resources-provides-rare-earth-demonstration-plant-update-2/" TargetMode="External"/><Relationship Id="rId145" Type="http://schemas.openxmlformats.org/officeDocument/2006/relationships/hyperlink" Target="https://www.koreazinc.co.kr/en/korea-zinc-partners-with-the-u-s-department-of-war-and-u-s-department-of-commerce-to-build-a-state-of-the-art-critical-minerals-smelter-in-the-united-states-with-6-6-billion-of-capital-expenditures/" TargetMode="External"/><Relationship Id="rId352" Type="http://schemas.openxmlformats.org/officeDocument/2006/relationships/hyperlink" Target="https://www.sec.gov/Archives/edgar/data/1285785/000124378623000008/pressreleaseq42022-ex991.htm" TargetMode="External"/><Relationship Id="rId1203" Type="http://schemas.openxmlformats.org/officeDocument/2006/relationships/hyperlink" Target="https://pubs.usgs.gov/myb/vol1/2022/myb1-2022-gold.pdf" TargetMode="External"/><Relationship Id="rId1287" Type="http://schemas.openxmlformats.org/officeDocument/2006/relationships/hyperlink" Target="https://originmine.com/mineral-park/" TargetMode="External"/><Relationship Id="rId1410" Type="http://schemas.openxmlformats.org/officeDocument/2006/relationships/hyperlink" Target="https://petelien.com/locations/" TargetMode="External"/><Relationship Id="rId1508" Type="http://schemas.openxmlformats.org/officeDocument/2006/relationships/hyperlink" Target="https://pubs.usgs.gov/myb/vol1/2021/myb1-2021-barite.pdf" TargetMode="External"/><Relationship Id="rId212" Type="http://schemas.openxmlformats.org/officeDocument/2006/relationships/hyperlink" Target="https://www.ssrmining.com/_resources/reports/Technical-Report-CCV-2025-SK1300.pdf?v=051904" TargetMode="External"/><Relationship Id="rId657" Type="http://schemas.openxmlformats.org/officeDocument/2006/relationships/hyperlink" Target="https://www.fastmarkets.com/insights/korea-zincs-jpmorgan-backed-crucible-plant-to-focus-on-us-material/" TargetMode="External"/><Relationship Id="rId864" Type="http://schemas.openxmlformats.org/officeDocument/2006/relationships/hyperlink" Target="https://www.csrsinc.com/projects/element-25-(hpmsm)" TargetMode="External"/><Relationship Id="rId1494" Type="http://schemas.openxmlformats.org/officeDocument/2006/relationships/hyperlink" Target="https://minedocs.com/23/Eagle-TR-12312022.pdf" TargetMode="External"/><Relationship Id="rId296" Type="http://schemas.openxmlformats.org/officeDocument/2006/relationships/hyperlink" Target="https://arcosaspecialtymaterials.com/location-cyril-ok-mine-2/" TargetMode="External"/><Relationship Id="rId517" Type="http://schemas.openxmlformats.org/officeDocument/2006/relationships/hyperlink" Target="https://pubs.usgs.gov/myb/vol1/2022/myb1-2022-barite.pdf" TargetMode="External"/><Relationship Id="rId724" Type="http://schemas.openxmlformats.org/officeDocument/2006/relationships/hyperlink" Target="https://pubs.usgs.gov/myb/vol1/2023/myb1-2023-helium.pdf" TargetMode="External"/><Relationship Id="rId931" Type="http://schemas.openxmlformats.org/officeDocument/2006/relationships/hyperlink" Target="https://www.sabinmetal.com/locations/main-plant-sales-office" TargetMode="External"/><Relationship Id="rId1147" Type="http://schemas.openxmlformats.org/officeDocument/2006/relationships/hyperlink" Target="https://brsengineering.com/wp-content/uploads/2025/08/BRS-Engineering-Velvet-Wood_Slick_Rock_Shootaring_43-101-March-6-2023.pdf" TargetMode="External"/><Relationship Id="rId1354" Type="http://schemas.openxmlformats.org/officeDocument/2006/relationships/hyperlink" Target="https://cdn.prod.website-files.com/67b9c5dc15db73b34fcf2bf3/69dcb7caacc18dfdd52202e2_Aclara%20-%20Integrated%20Value%20Chain%20press%20release.pdf" TargetMode="External"/><Relationship Id="rId60" Type="http://schemas.openxmlformats.org/officeDocument/2006/relationships/hyperlink" Target="https://www.carmeuse.com/eu-en/products-map" TargetMode="External"/><Relationship Id="rId156" Type="http://schemas.openxmlformats.org/officeDocument/2006/relationships/hyperlink" Target="https://www.goldroyalty.com/portfolio/railroad-pinion/" TargetMode="External"/><Relationship Id="rId363" Type="http://schemas.openxmlformats.org/officeDocument/2006/relationships/hyperlink" Target="https://www.highlandcopper.com/wp-content/uploads/2024/01/Feasability-Study-Update-Copperwood.pdf" TargetMode="External"/><Relationship Id="rId570" Type="http://schemas.openxmlformats.org/officeDocument/2006/relationships/hyperlink" Target="https://pubs.usgs.gov/myb/vol1/2023/myb1-2023-germanium.pdf" TargetMode="External"/><Relationship Id="rId1007" Type="http://schemas.openxmlformats.org/officeDocument/2006/relationships/hyperlink" Target="https://d18rn0p25nwr6d.cloudfront.net/CIK-0001421461/f3f2915d-667b-46d0-961b-b9042c082c2b.pdf" TargetMode="External"/><Relationship Id="rId1214" Type="http://schemas.openxmlformats.org/officeDocument/2006/relationships/hyperlink" Target="https://minerals.nv.gov/uploadedFiles/mineralsnvgov/content/Programs/Mining/2022%20Metallic%20Production%20by%20mine.pdf" TargetMode="External"/><Relationship Id="rId1421" Type="http://schemas.openxmlformats.org/officeDocument/2006/relationships/hyperlink" Target="https://www.uslm.com/USLM_Oklahoma.html" TargetMode="External"/><Relationship Id="rId223" Type="http://schemas.openxmlformats.org/officeDocument/2006/relationships/hyperlink" Target="https://ndep.nv.gov/uploads/documents/20241009TM_0096107_Factsheet_Midas_1.pdf" TargetMode="External"/><Relationship Id="rId430" Type="http://schemas.openxmlformats.org/officeDocument/2006/relationships/hyperlink" Target="http://content.stockpr.com/pershinggold/files/pages/relief-canyon/technical-reports/Relief+Canyon_2015_Technical_Report_v8.pdf" TargetMode="External"/><Relationship Id="rId668" Type="http://schemas.openxmlformats.org/officeDocument/2006/relationships/hyperlink" Target="https://www.usstrategicmetals.com/us-strategic-metals-solving-the-critical-battery-materials-supply-chain-puzzle/" TargetMode="External"/><Relationship Id="rId875" Type="http://schemas.openxmlformats.org/officeDocument/2006/relationships/hyperlink" Target="https://minedocs.com/18/Stillwater-Operation-TRS-12312024.pdf" TargetMode="External"/><Relationship Id="rId1060" Type="http://schemas.openxmlformats.org/officeDocument/2006/relationships/hyperlink" Target="http://www.sulphuric-acid.com/Sulphuric-Acid-on-the-Web/Acid%20Plants/PVS%20Chemical%20-%20Chicago.htm" TargetMode="External"/><Relationship Id="rId1298" Type="http://schemas.openxmlformats.org/officeDocument/2006/relationships/hyperlink" Target="https://makominingcorp.com/projects/usa/production/moss-mine/" TargetMode="External"/><Relationship Id="rId1519" Type="http://schemas.openxmlformats.org/officeDocument/2006/relationships/hyperlink" Target="https://pubs.usgs.gov/myb/vol1/2023/myb1-2023-germanium.pdf" TargetMode="External"/><Relationship Id="rId18" Type="http://schemas.openxmlformats.org/officeDocument/2006/relationships/hyperlink" Target="https://www.kinross.com/English/operations/default.aspx" TargetMode="External"/><Relationship Id="rId528" Type="http://schemas.openxmlformats.org/officeDocument/2006/relationships/hyperlink" Target="https://pubs.usgs.gov/myb/vol1/2022/myb1-2022-barite.pdf" TargetMode="External"/><Relationship Id="rId735" Type="http://schemas.openxmlformats.org/officeDocument/2006/relationships/hyperlink" Target="https://pubs.usgs.gov/myb/vol1/2023/myb1-2023-helium.pdf" TargetMode="External"/><Relationship Id="rId942" Type="http://schemas.openxmlformats.org/officeDocument/2006/relationships/hyperlink" Target="http://www.sulphuric-acid.com/sulphuric-acid-on-the-web/acid%20plants/Innophos%20-%20Geismar.htm" TargetMode="External"/><Relationship Id="rId1158" Type="http://schemas.openxmlformats.org/officeDocument/2006/relationships/hyperlink" Target="https://www.fastmarkets.com/insights/befesa-produces-shg-from-recycled-zinc/" TargetMode="External"/><Relationship Id="rId1365" Type="http://schemas.openxmlformats.org/officeDocument/2006/relationships/hyperlink" Target="https://www.thequartzcorp.com/high-purity-quartz" TargetMode="External"/><Relationship Id="rId167" Type="http://schemas.openxmlformats.org/officeDocument/2006/relationships/hyperlink" Target="https://nhmu.utah.edu/sites/default/files/fact-sheets/NHMU%20fact%20sheet%20-%20LF.pdf" TargetMode="External"/><Relationship Id="rId374" Type="http://schemas.openxmlformats.org/officeDocument/2006/relationships/hyperlink" Target="https://www.fortitudegold.com/news/news-releases/fortitude-gold-reports-2022-net-income-of-147-million-725-all-in-sustaining-cost-and-increased-cash-balance-to-45-million" TargetMode="External"/><Relationship Id="rId581" Type="http://schemas.openxmlformats.org/officeDocument/2006/relationships/hyperlink" Target="https://minedocs.com/26/Haile-TR-12312023.pdf" TargetMode="External"/><Relationship Id="rId1018" Type="http://schemas.openxmlformats.org/officeDocument/2006/relationships/hyperlink" Target="https://pubs.usgs.gov/myb/vol1/2019/myb1-2019-rhenium.pdf" TargetMode="External"/><Relationship Id="rId1225" Type="http://schemas.openxmlformats.org/officeDocument/2006/relationships/hyperlink" Target="https://rockproducts.com/2024/06/19/new-michigan-gypsum-plant-opens/" TargetMode="External"/><Relationship Id="rId1432" Type="http://schemas.openxmlformats.org/officeDocument/2006/relationships/hyperlink" Target="https://pubs.usgs.gov/myb/vol1/2021/myb1-2021-zirconium-hafnium.pdf" TargetMode="External"/><Relationship Id="rId71" Type="http://schemas.openxmlformats.org/officeDocument/2006/relationships/hyperlink" Target="https://www.graymont.com/locations/" TargetMode="External"/><Relationship Id="rId234" Type="http://schemas.openxmlformats.org/officeDocument/2006/relationships/hyperlink" Target="https://minedocs.com/21/Mineral_Ridge_Expansion-TR-12222020.pdf" TargetMode="External"/><Relationship Id="rId679" Type="http://schemas.openxmlformats.org/officeDocument/2006/relationships/hyperlink" Target="https://geostatsystems.com/documents/NI43-101_TR_Integrated-Feasibility-Study_Pumpkin-Hollow-Project_July092015.pdf" TargetMode="External"/><Relationship Id="rId802" Type="http://schemas.openxmlformats.org/officeDocument/2006/relationships/hyperlink" Target="https://ascendelements.com/covington-lithium-carbonate/" TargetMode="External"/><Relationship Id="rId886" Type="http://schemas.openxmlformats.org/officeDocument/2006/relationships/hyperlink" Target="https://minedocs.com/18/Stillwater-Operation-TRS-12312024.pdf" TargetMode="External"/><Relationship Id="rId2" Type="http://schemas.openxmlformats.org/officeDocument/2006/relationships/hyperlink" Target="https://www.timet.com/" TargetMode="External"/><Relationship Id="rId29" Type="http://schemas.openxmlformats.org/officeDocument/2006/relationships/hyperlink" Target="https://maps.app.goo.gl/ZjjZdNrSopUXq4AK8" TargetMode="External"/><Relationship Id="rId441" Type="http://schemas.openxmlformats.org/officeDocument/2006/relationships/hyperlink" Target="https://minerals.nv.gov/uploadedFiles/mineralsnvgov/content/Programs/Mining/2022%20Metallic%20Production%20by%20mine.pdf" TargetMode="External"/><Relationship Id="rId539" Type="http://schemas.openxmlformats.org/officeDocument/2006/relationships/hyperlink" Target="https://pubs.usgs.gov/myb/vol1/2021/myb1-2021-copper.pdf" TargetMode="External"/><Relationship Id="rId746" Type="http://schemas.openxmlformats.org/officeDocument/2006/relationships/hyperlink" Target="https://doerun.com/what-we-do/mining-milling/" TargetMode="External"/><Relationship Id="rId1071" Type="http://schemas.openxmlformats.org/officeDocument/2006/relationships/hyperlink" Target="http://www.sulphuric-acid.com/Sulphuric-Acid-on-the-Web/Acid%20Plants/Du%20Pont%20-%20Bayway.htm" TargetMode="External"/><Relationship Id="rId1169" Type="http://schemas.openxmlformats.org/officeDocument/2006/relationships/hyperlink" Target="https://d9-wret.s3.us-west-2.amazonaws.com/assets/palladium/production/mineral-pubs/aluminum/myb1-2009-alumi.pdf" TargetMode="External"/><Relationship Id="rId1376" Type="http://schemas.openxmlformats.org/officeDocument/2006/relationships/hyperlink" Target="https://www.sabinmetal.com/locations/sabin-metal-west-corporation" TargetMode="External"/><Relationship Id="rId178" Type="http://schemas.openxmlformats.org/officeDocument/2006/relationships/hyperlink" Target="https://nam.org/pentagon-korea-zinc-partner-on-tennessee-mineral-smelter-35425/?stream=series-input-stories" TargetMode="External"/><Relationship Id="rId301" Type="http://schemas.openxmlformats.org/officeDocument/2006/relationships/hyperlink" Target="https://dasmithdrilling.com/projects/american-gypsum-eagle-mine-gypsum-colorado" TargetMode="External"/><Relationship Id="rId953" Type="http://schemas.openxmlformats.org/officeDocument/2006/relationships/hyperlink" Target="https://www.michigansugar.com/products/co-products/sugarbeet-lime/" TargetMode="External"/><Relationship Id="rId1029" Type="http://schemas.openxmlformats.org/officeDocument/2006/relationships/hyperlink" Target="https://wp-integraresources-2024.s3.ca-central-1.amazonaws.com/media/2026/02/Integra-DeLamar-43-101-FS-Report-FINAL.pdf" TargetMode="External"/><Relationship Id="rId1236" Type="http://schemas.openxmlformats.org/officeDocument/2006/relationships/hyperlink" Target="https://www.thespectrum.com/story/news/2015/09/03/operations-move-ahead-gypsum-mine/71670672/" TargetMode="External"/><Relationship Id="rId82" Type="http://schemas.openxmlformats.org/officeDocument/2006/relationships/hyperlink" Target="https://www.michigansugar.com/about-us/locations/" TargetMode="External"/><Relationship Id="rId385" Type="http://schemas.openxmlformats.org/officeDocument/2006/relationships/hyperlink" Target="https://markets.ft.com/data/announce/detail?dockey=1323-16007280-17LBDAUDQA5RL9Q1L931C5SUDS" TargetMode="External"/><Relationship Id="rId592" Type="http://schemas.openxmlformats.org/officeDocument/2006/relationships/hyperlink" Target="https://minedocs.com/21/CoeurMiningInc_Rochester_TechnicalReport_Dec16_2020.pdf" TargetMode="External"/><Relationship Id="rId606" Type="http://schemas.openxmlformats.org/officeDocument/2006/relationships/hyperlink" Target="https://borealismining.com/wp-content/uploads/2024/10/Borealis_NI43101_Report.pdf" TargetMode="External"/><Relationship Id="rId813" Type="http://schemas.openxmlformats.org/officeDocument/2006/relationships/hyperlink" Target="https://www.thinkgeoenergy.com/ctr-geothermal-lithium-project-recognized-by-us-federal-permitting-program/" TargetMode="External"/><Relationship Id="rId1443" Type="http://schemas.openxmlformats.org/officeDocument/2006/relationships/hyperlink" Target="file:///C:\Users\tmobrien\AppData\Local\Temp\1\MicrosoftEdgeDownloads\08148484-31f1-4c35-874e-eb8b5febc12b\EPA-HQ-OAR-2004-0373-0027_content.pdf" TargetMode="External"/><Relationship Id="rId245" Type="http://schemas.openxmlformats.org/officeDocument/2006/relationships/hyperlink" Target="https://www.hooverandstrong.com/landing/Refining" TargetMode="External"/><Relationship Id="rId452" Type="http://schemas.openxmlformats.org/officeDocument/2006/relationships/hyperlink" Target="https://advchem.com/services/melting" TargetMode="External"/><Relationship Id="rId897" Type="http://schemas.openxmlformats.org/officeDocument/2006/relationships/hyperlink" Target="https://mowreygold.com/" TargetMode="External"/><Relationship Id="rId1082" Type="http://schemas.openxmlformats.org/officeDocument/2006/relationships/hyperlink" Target="http://www.sulphuric-acid.com/Sulphuric-Acid-on-the-Web/Acid%20Plants/Rhodia%20-%20Baytown.htm" TargetMode="External"/><Relationship Id="rId1303" Type="http://schemas.openxmlformats.org/officeDocument/2006/relationships/hyperlink" Target="https://www.sec.gov/Archives/edgar/data/1687187/000110465923002700/metc-20211231xex96d2.htm" TargetMode="External"/><Relationship Id="rId1510" Type="http://schemas.openxmlformats.org/officeDocument/2006/relationships/hyperlink" Target="https://lynasrareearths.com/wp-content/uploads/2023/12/Lynas-Rare-Earths_Open-House-Presentation-December-7-2023.pdf" TargetMode="External"/><Relationship Id="rId105" Type="http://schemas.openxmlformats.org/officeDocument/2006/relationships/hyperlink" Target="https://ir.hecla.com/Investors/annual-reports-filings/sec-filings-details/default.aspx?FilingId=19156252" TargetMode="External"/><Relationship Id="rId312" Type="http://schemas.openxmlformats.org/officeDocument/2006/relationships/hyperlink" Target="https://hollowayag.com/90years/" TargetMode="External"/><Relationship Id="rId757" Type="http://schemas.openxmlformats.org/officeDocument/2006/relationships/hyperlink" Target="https://www.ssrmining.com/operations/production/marigold/" TargetMode="External"/><Relationship Id="rId964" Type="http://schemas.openxmlformats.org/officeDocument/2006/relationships/hyperlink" Target="https://www.blm.gov/press-release/blm-seeks-public-comment-diamond-k-gypsum-chalk-hills-quarry-extension-proposal" TargetMode="External"/><Relationship Id="rId1387" Type="http://schemas.openxmlformats.org/officeDocument/2006/relationships/hyperlink" Target="https://www.coeur.com/operations-projects/kensington-ak/default.aspx" TargetMode="External"/><Relationship Id="rId93" Type="http://schemas.openxmlformats.org/officeDocument/2006/relationships/hyperlink" Target="https://wp-phoenixcopper-2024.s3.eu-west-2.amazonaws.com/media/2024/10/KonnexPFS.pdf" TargetMode="External"/><Relationship Id="rId189" Type="http://schemas.openxmlformats.org/officeDocument/2006/relationships/hyperlink" Target="https://www.westvaultmining.com/hasbrouck-gold-project/pre-feasibility-study/" TargetMode="External"/><Relationship Id="rId396" Type="http://schemas.openxmlformats.org/officeDocument/2006/relationships/hyperlink" Target="https://alexymetals.com/pages/about-us" TargetMode="External"/><Relationship Id="rId617" Type="http://schemas.openxmlformats.org/officeDocument/2006/relationships/hyperlink" Target="https://minedocs.com/23/Eagle-TR-12312022.pdf" TargetMode="External"/><Relationship Id="rId824" Type="http://schemas.openxmlformats.org/officeDocument/2006/relationships/hyperlink" Target="https://www.recyclingtoday.com/news/li-cycle-opens-alabama-spoke-lithium-ion-battery-recycling/" TargetMode="External"/><Relationship Id="rId1247" Type="http://schemas.openxmlformats.org/officeDocument/2006/relationships/hyperlink" Target="https://miningdataonline.com/property/639/Rawhide-Mine.aspx" TargetMode="External"/><Relationship Id="rId1454" Type="http://schemas.openxmlformats.org/officeDocument/2006/relationships/hyperlink" Target="https://d9-wret.s3.us-west-2.amazonaws.com/assets/palladium/production/mineral-pubs/magnesium/401496.pdf" TargetMode="External"/><Relationship Id="rId256" Type="http://schemas.openxmlformats.org/officeDocument/2006/relationships/hyperlink" Target="https://minedocs.com/24/Pan-TR-12312022.pdf" TargetMode="External"/><Relationship Id="rId463" Type="http://schemas.openxmlformats.org/officeDocument/2006/relationships/hyperlink" Target="https://s1.q4cdn.com/337451660/files/doc_downloads/FortuneMinerals_Revenue_PEA_457700.030_014_20140723.pdf" TargetMode="External"/><Relationship Id="rId670" Type="http://schemas.openxmlformats.org/officeDocument/2006/relationships/hyperlink" Target="https://www.usstrategicmetals.com/us-strategic-metals-solving-the-critical-battery-materials-supply-chain-puzzle/" TargetMode="External"/><Relationship Id="rId1093" Type="http://schemas.openxmlformats.org/officeDocument/2006/relationships/hyperlink" Target="https://natlawreview.com/press-releases/global-advanced-metals-awarded-dla-contract-tantalum-ingots" TargetMode="External"/><Relationship Id="rId1107" Type="http://schemas.openxmlformats.org/officeDocument/2006/relationships/hyperlink" Target="https://iperionx.com/wp-content/uploads/2022/07/Scoping-Study-June-30.pdf" TargetMode="External"/><Relationship Id="rId1314" Type="http://schemas.openxmlformats.org/officeDocument/2006/relationships/hyperlink" Target="https://d1io3yog0oux5.cloudfront.net/_79afbab468cd5ac4d26ec602760b5da7/clevelandcliffs/db/1172/10166/fact_sheet/CC_FactSheet_Monessen_022025.pdf" TargetMode="External"/><Relationship Id="rId1521" Type="http://schemas.openxmlformats.org/officeDocument/2006/relationships/hyperlink" Target="https://orlamining.com/news/orla-announces-results-of-updated-feasibility-study-for-south-railroad-project/" TargetMode="External"/><Relationship Id="rId116" Type="http://schemas.openxmlformats.org/officeDocument/2006/relationships/hyperlink" Target="https://fintel.io/doc/sec-freeport-mcmoran-inc-831259-10k-2023-february-15-19403-5016" TargetMode="External"/><Relationship Id="rId323" Type="http://schemas.openxmlformats.org/officeDocument/2006/relationships/hyperlink" Target="https://static.azdeq.gov/pn/%e2%80%a2%20Old%20-%20Check%20then%20remove/190213_pcc_tsd.pdf" TargetMode="External"/><Relationship Id="rId530" Type="http://schemas.openxmlformats.org/officeDocument/2006/relationships/hyperlink" Target="https://pubs.usgs.gov/myb/vol1/2022/myb1-2022-barite.pdf" TargetMode="External"/><Relationship Id="rId768" Type="http://schemas.openxmlformats.org/officeDocument/2006/relationships/hyperlink" Target="https://ir.aquametals.com/press-releases/detail/51/aqua-metals-provides-corporate-update" TargetMode="External"/><Relationship Id="rId975" Type="http://schemas.openxmlformats.org/officeDocument/2006/relationships/hyperlink" Target="https://www.carmeuse.com/eu-en/products-map" TargetMode="External"/><Relationship Id="rId1160" Type="http://schemas.openxmlformats.org/officeDocument/2006/relationships/hyperlink" Target="https://www.befesa.com/about-befesa/markets-sites/" TargetMode="External"/><Relationship Id="rId1398" Type="http://schemas.openxmlformats.org/officeDocument/2006/relationships/hyperlink" Target="https://mshascan.com/mine/ventucopa-quarry-0405481" TargetMode="External"/><Relationship Id="rId20" Type="http://schemas.openxmlformats.org/officeDocument/2006/relationships/hyperlink" Target="https://www.barrick.com/English/operations/nevada-gold-mines/default.aspx" TargetMode="External"/><Relationship Id="rId628" Type="http://schemas.openxmlformats.org/officeDocument/2006/relationships/hyperlink" Target="https://minedocs.com/19/Sunshine-PEA-01172020.pdf" TargetMode="External"/><Relationship Id="rId835" Type="http://schemas.openxmlformats.org/officeDocument/2006/relationships/hyperlink" Target="https://minedocs.com/24/Compass_Minerals-F10-K-2022.pdf" TargetMode="External"/><Relationship Id="rId1258" Type="http://schemas.openxmlformats.org/officeDocument/2006/relationships/hyperlink" Target="https://www.kinross.com/English/operations/default.aspx" TargetMode="External"/><Relationship Id="rId1465" Type="http://schemas.openxmlformats.org/officeDocument/2006/relationships/hyperlink" Target="https://d9-wret.s3-us-west-2.amazonaws.com/assets/palladium/production/atoms/files/dir-2016-lime.pdf" TargetMode="External"/><Relationship Id="rId267" Type="http://schemas.openxmlformats.org/officeDocument/2006/relationships/hyperlink" Target="https://western-uranium.com/reports/Technical_Report_Sunday_Mine_Complex.pdf" TargetMode="External"/><Relationship Id="rId474" Type="http://schemas.openxmlformats.org/officeDocument/2006/relationships/hyperlink" Target="https://pubs.usgs.gov/myb/vol1/2022/myb1-2022-titanium.pdf" TargetMode="External"/><Relationship Id="rId1020" Type="http://schemas.openxmlformats.org/officeDocument/2006/relationships/hyperlink" Target="https://www.bloomberg.com/profile/company/7654695Z:US" TargetMode="External"/><Relationship Id="rId1118" Type="http://schemas.openxmlformats.org/officeDocument/2006/relationships/hyperlink" Target="https://encoreuranium.com/wp-content/uploads/2025/02/2025_2_13_South-Texas-Uranium-Project-Technical-Report_FINAL.pdf" TargetMode="External"/><Relationship Id="rId1325" Type="http://schemas.openxmlformats.org/officeDocument/2006/relationships/hyperlink" Target="https://americas-gold.com/site/assets/files/6067/nr20260121-1.pdf" TargetMode="External"/><Relationship Id="rId1532" Type="http://schemas.openxmlformats.org/officeDocument/2006/relationships/hyperlink" Target="https://minedocs.com/17/TennesseeMines_Fact_Sheet_072017.pdf" TargetMode="External"/><Relationship Id="rId127" Type="http://schemas.openxmlformats.org/officeDocument/2006/relationships/hyperlink" Target="https://goldresourcecorp.com/site/assets/files/6493/sk1300_b40_gold_resource_corp_filed_10_27_2023.pdf" TargetMode="External"/><Relationship Id="rId681" Type="http://schemas.openxmlformats.org/officeDocument/2006/relationships/hyperlink" Target="https://geostatsystems.com/documents/NI43-101_TR_Integrated-Feasibility-Study_Pumpkin-Hollow-Project_July092015.pdf" TargetMode="External"/><Relationship Id="rId779" Type="http://schemas.openxmlformats.org/officeDocument/2006/relationships/hyperlink" Target="https://response.epa.gov/site/site_profile.aspx?site_id=14697" TargetMode="External"/><Relationship Id="rId902" Type="http://schemas.openxmlformats.org/officeDocument/2006/relationships/hyperlink" Target="https://metalor.com/wp-content/uploads/2020/06/Metalor-USA_LBMA-Gold_Audit-report_2020_without-annex.pdf" TargetMode="External"/><Relationship Id="rId986" Type="http://schemas.openxmlformats.org/officeDocument/2006/relationships/hyperlink" Target="https://www.graymont.com/locations/" TargetMode="External"/><Relationship Id="rId31" Type="http://schemas.openxmlformats.org/officeDocument/2006/relationships/hyperlink" Target="https://maps.app.goo.gl/ES1u9mqnufi1Jf3XA" TargetMode="External"/><Relationship Id="rId334" Type="http://schemas.openxmlformats.org/officeDocument/2006/relationships/hyperlink" Target="https://www.usg.com/en-US/about-usg/locations/manufacturing-plants" TargetMode="External"/><Relationship Id="rId541" Type="http://schemas.openxmlformats.org/officeDocument/2006/relationships/hyperlink" Target="https://pubs.usgs.gov/myb/vol1/2021/myb1-2021-copper.pdf" TargetMode="External"/><Relationship Id="rId639" Type="http://schemas.openxmlformats.org/officeDocument/2006/relationships/hyperlink" Target="https://pubs.usgs.gov/myb/vol1/2022/myb1-2022-beryllium.pdf" TargetMode="External"/><Relationship Id="rId1171" Type="http://schemas.openxmlformats.org/officeDocument/2006/relationships/hyperlink" Target="file:///C:\Users\tmobrien\AppData\Local\Temp\1\MicrosoftEdgeDownloads\4c0b354c-8de5-436d-a30a-e720584a38ce\EPA-HQ-OAR-2006-0940-0022_content.pdf" TargetMode="External"/><Relationship Id="rId1269" Type="http://schemas.openxmlformats.org/officeDocument/2006/relationships/hyperlink" Target="https://minedocs.com/23/NorthMet-FS-12302022.pdf" TargetMode="External"/><Relationship Id="rId1476" Type="http://schemas.openxmlformats.org/officeDocument/2006/relationships/hyperlink" Target="https://www.riotinto.com/en/news/releases/2021/rio-tinto-achieves-battery-grade-lithium-production-at-boron-plant" TargetMode="External"/><Relationship Id="rId180" Type="http://schemas.openxmlformats.org/officeDocument/2006/relationships/hyperlink" Target="https://nam.org/pentagon-korea-zinc-partner-on-tennessee-mineral-smelter-35425/?stream=series-input-stories" TargetMode="External"/><Relationship Id="rId278" Type="http://schemas.openxmlformats.org/officeDocument/2006/relationships/hyperlink" Target="https://bunkerhillmining.com/news-and-media/news-releases/bunker-hill-announces-prefeasibility-study-for-first-phase-of-mine-restart" TargetMode="External"/><Relationship Id="rId401" Type="http://schemas.openxmlformats.org/officeDocument/2006/relationships/hyperlink" Target="https://s205.q4cdn.com/276554285/files/doc_financials/2022/ar/2022_cg_aif.pdf" TargetMode="External"/><Relationship Id="rId846" Type="http://schemas.openxmlformats.org/officeDocument/2006/relationships/hyperlink" Target="https://pubs.usgs.gov/myb/vol1/2023/myb1-2023-manganese.pdf" TargetMode="External"/><Relationship Id="rId1031" Type="http://schemas.openxmlformats.org/officeDocument/2006/relationships/hyperlink" Target="https://pubs.usgs.gov/myb/vol1/2022/myb1-2022-selenium-tellurium.pdf" TargetMode="External"/><Relationship Id="rId1129" Type="http://schemas.openxmlformats.org/officeDocument/2006/relationships/hyperlink" Target="https://www.sec.gov/Archives/edgar/data/1334933/000143774922022435/ex_423213.htm" TargetMode="External"/><Relationship Id="rId485" Type="http://schemas.openxmlformats.org/officeDocument/2006/relationships/hyperlink" Target="https://pubs.usgs.gov/myb/vol1/2021/myb1-2021-tungsten.pdf" TargetMode="External"/><Relationship Id="rId692" Type="http://schemas.openxmlformats.org/officeDocument/2006/relationships/hyperlink" Target="https://fintel.io/doc/sec-freeport-mcmoran-inc-831259-10k-2023-february-15-19403-5016" TargetMode="External"/><Relationship Id="rId706" Type="http://schemas.openxmlformats.org/officeDocument/2006/relationships/hyperlink" Target="https://www.entegris.com/en/home/about-us/news/entegris-increases-manufacturing-capacity-for-high-performance-materials.html" TargetMode="External"/><Relationship Id="rId913" Type="http://schemas.openxmlformats.org/officeDocument/2006/relationships/hyperlink" Target="https://www.hooverandstrong.com/landing/Refining" TargetMode="External"/><Relationship Id="rId1336" Type="http://schemas.openxmlformats.org/officeDocument/2006/relationships/hyperlink" Target="https://www.equinoxgold.com/wp-content/uploads/2023/01/2020-Mesquite.pdf;%20https:/www.equinoxgold.com/our-mines/mesquite-gold-mine/" TargetMode="External"/><Relationship Id="rId1543" Type="http://schemas.openxmlformats.org/officeDocument/2006/relationships/printerSettings" Target="../printerSettings/printerSettings1.bin"/><Relationship Id="rId42" Type="http://schemas.openxmlformats.org/officeDocument/2006/relationships/hyperlink" Target="https://maps.app.goo.gl/FAwwXEutVyXFxtjh7" TargetMode="External"/><Relationship Id="rId138" Type="http://schemas.openxmlformats.org/officeDocument/2006/relationships/hyperlink" Target="https://minedocs.com/21/CastleMountain_FS_02262021.pdf" TargetMode="External"/><Relationship Id="rId345" Type="http://schemas.openxmlformats.org/officeDocument/2006/relationships/hyperlink" Target="https://usvanadium.com/us-vanadium-high-purity-vanadium/" TargetMode="External"/><Relationship Id="rId552" Type="http://schemas.openxmlformats.org/officeDocument/2006/relationships/hyperlink" Target="https://doerun.com/what-we-do/mining-milling/" TargetMode="External"/><Relationship Id="rId997" Type="http://schemas.openxmlformats.org/officeDocument/2006/relationships/hyperlink" Target="https://www.lime.org/find-a-lime-plant/?startrow=2" TargetMode="External"/><Relationship Id="rId1182" Type="http://schemas.openxmlformats.org/officeDocument/2006/relationships/hyperlink" Target="https://dggs.alaska.gov/webpubs/dggs/po/text/po2025_001.pdf" TargetMode="External"/><Relationship Id="rId1403" Type="http://schemas.openxmlformats.org/officeDocument/2006/relationships/hyperlink" Target="https://buildingclean.org/manufacturers/facility/10220" TargetMode="External"/><Relationship Id="rId191" Type="http://schemas.openxmlformats.org/officeDocument/2006/relationships/hyperlink" Target="https://investors.fcx.com/investors/news-releases/news-release-details/2023/Freeport-McMoRan-Reports-Fourth-Quarter-And-Year-Ended-2022-Results/default.aspx" TargetMode="External"/><Relationship Id="rId205" Type="http://schemas.openxmlformats.org/officeDocument/2006/relationships/hyperlink" Target="https://www.prnewswire.com/news-releases/clifton-mining-company-otcbb-cftn-clifton--january-2023-report-301720147.html" TargetMode="External"/><Relationship Id="rId412" Type="http://schemas.openxmlformats.org/officeDocument/2006/relationships/hyperlink" Target="https://www.annualreports.com/HostedData/AnnualReportArchive/k/LSE_KRS_2022.pdf" TargetMode="External"/><Relationship Id="rId857" Type="http://schemas.openxmlformats.org/officeDocument/2006/relationships/hyperlink" Target="https://19january2017snapshot.epa.gov/hwcorrectiveactionsites/hazardous-waste-cleanup-international-metals-reclamation-company-formerly_.html" TargetMode="External"/><Relationship Id="rId1042" Type="http://schemas.openxmlformats.org/officeDocument/2006/relationships/hyperlink" Target="https://recsilicon.com/about-us/" TargetMode="External"/><Relationship Id="rId1487" Type="http://schemas.openxmlformats.org/officeDocument/2006/relationships/hyperlink" Target="https://www.mininggazette.com/news/front-page/2025/12/eagle-mine-sold/" TargetMode="External"/><Relationship Id="rId289" Type="http://schemas.openxmlformats.org/officeDocument/2006/relationships/hyperlink" Target="https://geoinfo.nmt.edu/resources/minerals/industrial/home.html" TargetMode="External"/><Relationship Id="rId496" Type="http://schemas.openxmlformats.org/officeDocument/2006/relationships/hyperlink" Target="https://www.teck.com/news/news-releases/2025/teck-announces-2024-production-and-2025-guidance-update" TargetMode="External"/><Relationship Id="rId717" Type="http://schemas.openxmlformats.org/officeDocument/2006/relationships/hyperlink" Target="https://pubs.usgs.gov/myb/vol1/2021/myb1-2021-zirconium-hafnium.pdf" TargetMode="External"/><Relationship Id="rId924" Type="http://schemas.openxmlformats.org/officeDocument/2006/relationships/hyperlink" Target="https://matthey.com/documents/d/guest/jm-inc-rppg-compliance-report-fy2024-25-2-pdf" TargetMode="External"/><Relationship Id="rId1347" Type="http://schemas.openxmlformats.org/officeDocument/2006/relationships/hyperlink" Target="https://www.mining.com/energy-fuels-set-to-become-rare-earth-producer-in-2021/" TargetMode="External"/><Relationship Id="rId53" Type="http://schemas.openxmlformats.org/officeDocument/2006/relationships/hyperlink" Target="https://www.lime.org/find-a-lime-plant/?categories=&amp;pagenum=" TargetMode="External"/><Relationship Id="rId149" Type="http://schemas.openxmlformats.org/officeDocument/2006/relationships/hyperlink" Target="https://www.montanaresources.com/about/" TargetMode="External"/><Relationship Id="rId356" Type="http://schemas.openxmlformats.org/officeDocument/2006/relationships/hyperlink" Target="https://itafos.com/site/assets/files/2139/itafos-2022-aif-03-22-2023-ac-vfinal.pdf" TargetMode="External"/><Relationship Id="rId563" Type="http://schemas.openxmlformats.org/officeDocument/2006/relationships/hyperlink" Target="https://d9-wret.s3.us-west-2.amazonaws.com/assets/palladium/production/mineral-pubs/copper/240498.pdf" TargetMode="External"/><Relationship Id="rId770" Type="http://schemas.openxmlformats.org/officeDocument/2006/relationships/hyperlink" Target="https://ecobat.com/location/ecobat-resources-new-york-middletown/" TargetMode="External"/><Relationship Id="rId1193" Type="http://schemas.openxmlformats.org/officeDocument/2006/relationships/hyperlink" Target="https://www.sibanyestillwater.com/business/americas/recycling/reldan/" TargetMode="External"/><Relationship Id="rId1207" Type="http://schemas.openxmlformats.org/officeDocument/2006/relationships/hyperlink" Target="https://minerals.nv.gov/uploadedFiles/mineralsnvgov/content/Programs/Mining/2022%20Metallic%20Production%20by%20mine.pdf" TargetMode="External"/><Relationship Id="rId1414" Type="http://schemas.openxmlformats.org/officeDocument/2006/relationships/hyperlink" Target="https://mlc.com/mississippi-lime-completes-acquisition-of-southern-lime-begins-integration-of-the-calera-alabama-based-business-2/" TargetMode="External"/><Relationship Id="rId216" Type="http://schemas.openxmlformats.org/officeDocument/2006/relationships/hyperlink" Target="https://operations.newmont.com/united-states/nevada-usa" TargetMode="External"/><Relationship Id="rId423" Type="http://schemas.openxmlformats.org/officeDocument/2006/relationships/hyperlink" Target="https://www.stratawyo.com/wp-content/uploads/2017/11/UR-Energy-2015-Shirley-Basin-PEA_Final.pdf" TargetMode="External"/><Relationship Id="rId868" Type="http://schemas.openxmlformats.org/officeDocument/2006/relationships/hyperlink" Target="https://talonmetals.com/talon-metals-and-westmoreland-mining-sign-land-agreement-to-progress-north-dakota-minerals-processing-facility/" TargetMode="External"/><Relationship Id="rId1053" Type="http://schemas.openxmlformats.org/officeDocument/2006/relationships/hyperlink" Target="http://www.sulphuric-acid.com/sulphuric-acid-on-the-web/acid%20plants/General%20Chemical%20-%20Richmond.htm" TargetMode="External"/><Relationship Id="rId1260" Type="http://schemas.openxmlformats.org/officeDocument/2006/relationships/hyperlink" Target="https://www.fcx.com/sites/fcx/files/documents/operations/TRS-morenci.pdf" TargetMode="External"/><Relationship Id="rId1498" Type="http://schemas.openxmlformats.org/officeDocument/2006/relationships/hyperlink" Target="https://www.mininggazette.com/news/front-page/2025/12/eagle-mine-sold/" TargetMode="External"/><Relationship Id="rId630" Type="http://schemas.openxmlformats.org/officeDocument/2006/relationships/hyperlink" Target="https://minedocs.com/19/Sunshine-PEA-01172020.pdf" TargetMode="External"/><Relationship Id="rId728" Type="http://schemas.openxmlformats.org/officeDocument/2006/relationships/hyperlink" Target="https://pubs.usgs.gov/myb/vol1/2023/myb1-2023-helium.pdf" TargetMode="External"/><Relationship Id="rId935" Type="http://schemas.openxmlformats.org/officeDocument/2006/relationships/hyperlink" Target="https://condagrowingidaho.com/about" TargetMode="External"/><Relationship Id="rId1358" Type="http://schemas.openxmlformats.org/officeDocument/2006/relationships/hyperlink" Target="https://www.war.gov/News/Releases/release/article/2418542/dod-announces-rare-earth-element-awards-to-strengthen-domestic-industrial-base/" TargetMode="External"/><Relationship Id="rId64" Type="http://schemas.openxmlformats.org/officeDocument/2006/relationships/hyperlink" Target="https://www.crystalsugar.com/about-our-cooperative/locations/" TargetMode="External"/><Relationship Id="rId367" Type="http://schemas.openxmlformats.org/officeDocument/2006/relationships/hyperlink" Target="https://www.transatlanticminingcorp.com/wp-content/uploads/2017/08/TCO_USGrantNI43-101_Geology-Report.pdf" TargetMode="External"/><Relationship Id="rId574" Type="http://schemas.openxmlformats.org/officeDocument/2006/relationships/hyperlink" Target="https://www.nsrltd.com/our-assets/pogo-operations/" TargetMode="External"/><Relationship Id="rId1120" Type="http://schemas.openxmlformats.org/officeDocument/2006/relationships/hyperlink" Target="https://encoreuranium.com/wp-content/uploads/2025/02/2025_2_13_South-Texas-Uranium-Project-Technical-Report_FINAL.pdf" TargetMode="External"/><Relationship Id="rId1218" Type="http://schemas.openxmlformats.org/officeDocument/2006/relationships/hyperlink" Target="https://pubs.usgs.gov/myb/vol1/2022/myb1-2022-fluorspar.pdf" TargetMode="External"/><Relationship Id="rId1425" Type="http://schemas.openxmlformats.org/officeDocument/2006/relationships/hyperlink" Target="https://wyomingsugar.com/" TargetMode="External"/><Relationship Id="rId227" Type="http://schemas.openxmlformats.org/officeDocument/2006/relationships/hyperlink" Target="https://sunshinesilvermining.com/" TargetMode="External"/><Relationship Id="rId781" Type="http://schemas.openxmlformats.org/officeDocument/2006/relationships/hyperlink" Target="https://minedocs.com/21/Doe_Run-History_of_Mining-2008.pdf" TargetMode="External"/><Relationship Id="rId879" Type="http://schemas.openxmlformats.org/officeDocument/2006/relationships/hyperlink" Target="https://minedocs.com/18/Stillwater-Operation-TRS-12312024.pdf" TargetMode="External"/><Relationship Id="rId434" Type="http://schemas.openxmlformats.org/officeDocument/2006/relationships/hyperlink" Target="https://minerals.nv.gov/uploadedFiles/mineralsnvgov/content/Programs/Mining/2022%20Metallic%20Production%20by%20mine.pdf" TargetMode="External"/><Relationship Id="rId641" Type="http://schemas.openxmlformats.org/officeDocument/2006/relationships/hyperlink" Target="https://wcsecure.weblink.com.au/pdf/INR/02952628.pdf" TargetMode="External"/><Relationship Id="rId739" Type="http://schemas.openxmlformats.org/officeDocument/2006/relationships/hyperlink" Target="https://pubs.usgs.gov/myb/vol1/2023/myb1-2023-helium.pdf" TargetMode="External"/><Relationship Id="rId1064" Type="http://schemas.openxmlformats.org/officeDocument/2006/relationships/hyperlink" Target="https://wp-phoenixcopper-2024.s3.eu-west-2.amazonaws.com/media/2024/10/KonnexPFS.pdf" TargetMode="External"/><Relationship Id="rId1271" Type="http://schemas.openxmlformats.org/officeDocument/2006/relationships/hyperlink" Target="https://minedocs.com/23/NorthMet-FS-12302022.pdf" TargetMode="External"/><Relationship Id="rId1369" Type="http://schemas.openxmlformats.org/officeDocument/2006/relationships/hyperlink" Target="https://minedocs.com/26/Haile-TR-12312023.pdf" TargetMode="External"/><Relationship Id="rId280" Type="http://schemas.openxmlformats.org/officeDocument/2006/relationships/hyperlink" Target="https://bunkerhillmining.com/news-and-media/news-releases/bunker-hill-announces-prefeasibility-study-for-first-phase-of-mine-restart" TargetMode="External"/><Relationship Id="rId501" Type="http://schemas.openxmlformats.org/officeDocument/2006/relationships/hyperlink" Target="https://batterycouncil.org/news/essential-energy-tour-ecobat/" TargetMode="External"/><Relationship Id="rId946" Type="http://schemas.openxmlformats.org/officeDocument/2006/relationships/hyperlink" Target="https://pubs.usgs.gov/of/2000/of00-425/chapters/15_Ballard.pdf" TargetMode="External"/><Relationship Id="rId1131" Type="http://schemas.openxmlformats.org/officeDocument/2006/relationships/hyperlink" Target="https://www.transatlanticminingcorp.com/wp-content/uploads/2026/01/26.01-Monitor_TR_Final.pdf" TargetMode="External"/><Relationship Id="rId1229" Type="http://schemas.openxmlformats.org/officeDocument/2006/relationships/hyperlink" Target="https://arcosaspecialtymaterials.com/location-cyril-ok-mine-2/" TargetMode="External"/><Relationship Id="rId75" Type="http://schemas.openxmlformats.org/officeDocument/2006/relationships/hyperlink" Target="https://www.energy.virginia.gov/public/documents/newsroom/2023/Press_Release_Lhoist_Fatality_Investigation_Completed20230620.pdf" TargetMode="External"/><Relationship Id="rId140" Type="http://schemas.openxmlformats.org/officeDocument/2006/relationships/hyperlink" Target="https://www.sec.gov/Archives/edgar/data/831259/000083125922000009/fcx-20211231.htm" TargetMode="External"/><Relationship Id="rId378" Type="http://schemas.openxmlformats.org/officeDocument/2006/relationships/hyperlink" Target="https://wcsecure.weblink.com.au/pdf/INR/02952628.pdf" TargetMode="External"/><Relationship Id="rId585" Type="http://schemas.openxmlformats.org/officeDocument/2006/relationships/hyperlink" Target="https://minedocs.com/24/Pan-TR-12312022.pdf" TargetMode="External"/><Relationship Id="rId792" Type="http://schemas.openxmlformats.org/officeDocument/2006/relationships/hyperlink" Target="https://americanbatterytechnology.com/projects/recycling-plant/" TargetMode="External"/><Relationship Id="rId806" Type="http://schemas.openxmlformats.org/officeDocument/2006/relationships/hyperlink" Target="https://atlaspolicy.com/wp-content/uploads/2025/05/Ascend-Elements-in-Hopkinsville-Case-Study.pdf" TargetMode="External"/><Relationship Id="rId1436" Type="http://schemas.openxmlformats.org/officeDocument/2006/relationships/hyperlink" Target="http://www.sulphuric-acid.com/Sulphuric-Acid-on-the-Web/Acid%20Plants/Martin%20Midstream%20-%20Plainview.htm" TargetMode="External"/><Relationship Id="rId6" Type="http://schemas.openxmlformats.org/officeDocument/2006/relationships/hyperlink" Target="https://www.ssrmining.com/operations/production/cripple-creek-victor/" TargetMode="External"/><Relationship Id="rId238" Type="http://schemas.openxmlformats.org/officeDocument/2006/relationships/hyperlink" Target="https://www.montanagoldfieldsinc.com/montana-tunnels/" TargetMode="External"/><Relationship Id="rId445" Type="http://schemas.openxmlformats.org/officeDocument/2006/relationships/hyperlink" Target="https://s203.q4cdn.com/782025361/files/doc_financials/2022/ar/2022-Annual-Report.pdf" TargetMode="External"/><Relationship Id="rId652" Type="http://schemas.openxmlformats.org/officeDocument/2006/relationships/hyperlink" Target="https://www.fastmarkets.com/insights/korea-zincs-jpmorgan-backed-crucible-plant-to-focus-on-us-material/" TargetMode="External"/><Relationship Id="rId1075" Type="http://schemas.openxmlformats.org/officeDocument/2006/relationships/hyperlink" Target="http://www.sulphuric-acid.com/Sulphuric-Acid-on-the-Web/Acid%20Plants/Flint%20Hills%20Resources%20-%20Rosemount.htm" TargetMode="External"/><Relationship Id="rId1282" Type="http://schemas.openxmlformats.org/officeDocument/2006/relationships/hyperlink" Target="https://ndep.nv.gov/uploads/documents/20241009TM_0096107_Factsheet_Midas_1.pdf" TargetMode="External"/><Relationship Id="rId1503" Type="http://schemas.openxmlformats.org/officeDocument/2006/relationships/hyperlink" Target="https://www.asbury.com/materials/graphite/" TargetMode="External"/><Relationship Id="rId291" Type="http://schemas.openxmlformats.org/officeDocument/2006/relationships/hyperlink" Target="https://www.empireminingco.com/copy-of-agriculture" TargetMode="External"/><Relationship Id="rId305" Type="http://schemas.openxmlformats.org/officeDocument/2006/relationships/hyperlink" Target="https://www.coeur.com/operations-projects/kensington-ak/default.aspx" TargetMode="External"/><Relationship Id="rId512" Type="http://schemas.openxmlformats.org/officeDocument/2006/relationships/hyperlink" Target="https://pubs.usgs.gov/myb/vol1/2022/myb1-2022-barite.pdf" TargetMode="External"/><Relationship Id="rId957" Type="http://schemas.openxmlformats.org/officeDocument/2006/relationships/hyperlink" Target="https://www.gp.com/about-us/locations/kansas" TargetMode="External"/><Relationship Id="rId1142" Type="http://schemas.openxmlformats.org/officeDocument/2006/relationships/hyperlink" Target="https://www.isoenergy.ca/portfolio/us/tony-m/" TargetMode="External"/><Relationship Id="rId86" Type="http://schemas.openxmlformats.org/officeDocument/2006/relationships/hyperlink" Target="https://cmxgoldandsilver.com/wp-content/uploads/2024/01/Clayton-NI-43-101.pdf" TargetMode="External"/><Relationship Id="rId151" Type="http://schemas.openxmlformats.org/officeDocument/2006/relationships/hyperlink" Target="https://www.goldroyalty.com/portfolio/rawhide/" TargetMode="External"/><Relationship Id="rId389" Type="http://schemas.openxmlformats.org/officeDocument/2006/relationships/hyperlink" Target="https://southernjewelrynews.com/featured-articles/united-precious-metals-refining-steady-growth-since-1988/" TargetMode="External"/><Relationship Id="rId596" Type="http://schemas.openxmlformats.org/officeDocument/2006/relationships/hyperlink" Target="https://s21.q4cdn.com/390685383/files/technical_reports/gold_bar/2021_Gold_Bar_Feasibility_Study.pdf" TargetMode="External"/><Relationship Id="rId817" Type="http://schemas.openxmlformats.org/officeDocument/2006/relationships/hyperlink" Target="https://www.cirbasolutions.com/cirba-solutions-selected-for-200-million-award-negotiations-for-critical-materials-refining/" TargetMode="External"/><Relationship Id="rId1002" Type="http://schemas.openxmlformats.org/officeDocument/2006/relationships/hyperlink" Target="https://magnesiaspecialties.com/company/about" TargetMode="External"/><Relationship Id="rId1447" Type="http://schemas.openxmlformats.org/officeDocument/2006/relationships/hyperlink" Target="https://www.redwoodmaterials.com/news/sustainable-battery-materials-process/" TargetMode="External"/><Relationship Id="rId249" Type="http://schemas.openxmlformats.org/officeDocument/2006/relationships/hyperlink" Target="https://www.epa.gov/mn/polymet-now-newrange-copper-nickel-llc" TargetMode="External"/><Relationship Id="rId456" Type="http://schemas.openxmlformats.org/officeDocument/2006/relationships/hyperlink" Target="https://minedocs.com/21/CastleMountain_FS_02262021.pdf" TargetMode="External"/><Relationship Id="rId663" Type="http://schemas.openxmlformats.org/officeDocument/2006/relationships/hyperlink" Target="https://minedocs.com/23/NorthMet-FS-12302022.pdf" TargetMode="External"/><Relationship Id="rId870" Type="http://schemas.openxmlformats.org/officeDocument/2006/relationships/hyperlink" Target="https://talonmetals.com/talon-metals-and-westmoreland-mining-sign-land-agreement-to-progress-north-dakota-minerals-processing-facility/" TargetMode="External"/><Relationship Id="rId1086" Type="http://schemas.openxmlformats.org/officeDocument/2006/relationships/hyperlink" Target="http://www.sulphuric-acid.com/Sulphuric-Acid-on-the-Web/Acid%20Plants/Rhodia%20-%20Baytown.htm" TargetMode="External"/><Relationship Id="rId1293" Type="http://schemas.openxmlformats.org/officeDocument/2006/relationships/hyperlink" Target="https://www.asarco.com/mines/" TargetMode="External"/><Relationship Id="rId1307" Type="http://schemas.openxmlformats.org/officeDocument/2006/relationships/hyperlink" Target="https://www.gem.wiki/Leer_Coal_Mine" TargetMode="External"/><Relationship Id="rId1514" Type="http://schemas.openxmlformats.org/officeDocument/2006/relationships/hyperlink" Target="https://www.mining.com/web/grupo-mexico-targets-us-expansion-on-copper-boom/" TargetMode="External"/><Relationship Id="rId13" Type="http://schemas.openxmlformats.org/officeDocument/2006/relationships/hyperlink" Target="https://americas-gold.com/operations/galena-complex/" TargetMode="External"/><Relationship Id="rId109" Type="http://schemas.openxmlformats.org/officeDocument/2006/relationships/hyperlink" Target="https://www.usantimony.com/uamy-production-facilities" TargetMode="External"/><Relationship Id="rId316" Type="http://schemas.openxmlformats.org/officeDocument/2006/relationships/hyperlink" Target="https://facilityexplorer.iowadnr.gov/FacilityExplorer/SiteDetail.aspx?facID=310401884" TargetMode="External"/><Relationship Id="rId523" Type="http://schemas.openxmlformats.org/officeDocument/2006/relationships/hyperlink" Target="https://pubs.usgs.gov/myb/vol1/2022/myb1-2022-barite.pdf" TargetMode="External"/><Relationship Id="rId968" Type="http://schemas.openxmlformats.org/officeDocument/2006/relationships/hyperlink" Target="https://www.lime.org/find-a-lime-plant/?categories=75&amp;pagenum=" TargetMode="External"/><Relationship Id="rId1153" Type="http://schemas.openxmlformats.org/officeDocument/2006/relationships/hyperlink" Target="https://minedocs.com/25/Gibellini-TR-09272023.pdf" TargetMode="External"/><Relationship Id="rId97" Type="http://schemas.openxmlformats.org/officeDocument/2006/relationships/hyperlink" Target="https://ir.hecla.com/News--Media/news-releases/news-details/2026/Hecla-Reports-Fourth-Quarter-and-Full-Year-2025-Results/default.aspx" TargetMode="External"/><Relationship Id="rId730" Type="http://schemas.openxmlformats.org/officeDocument/2006/relationships/hyperlink" Target="https://pubs.usgs.gov/myb/vol1/2023/myb1-2023-helium.pdf" TargetMode="External"/><Relationship Id="rId828" Type="http://schemas.openxmlformats.org/officeDocument/2006/relationships/hyperlink" Target="https://www.redwoodmaterials.com/news/sustainable-battery-materials-process/" TargetMode="External"/><Relationship Id="rId1013" Type="http://schemas.openxmlformats.org/officeDocument/2006/relationships/hyperlink" Target="https://www.goldseiten.de/artikel/308083--IC-Potash-Announces-the-Results-of-a-Preliminary-Economic-Assessment-of-Its-Ochoa-Polyhalite-Project-with-a-Capex-of-368-Million-28Prozent-IRR-and-an-NPV~.html" TargetMode="External"/><Relationship Id="rId1360" Type="http://schemas.openxmlformats.org/officeDocument/2006/relationships/hyperlink" Target="https://hypromagusa.com/following-completion-of-expansion-concept-studies-hypromag-usa-advances-expansion-to-three-states-supporting-a-path-totriple-u-s-rare-earth-magnet-capacity-by-2029/" TargetMode="External"/><Relationship Id="rId1458" Type="http://schemas.openxmlformats.org/officeDocument/2006/relationships/hyperlink" Target="https://www.asarco.com/mines/" TargetMode="External"/><Relationship Id="rId162" Type="http://schemas.openxmlformats.org/officeDocument/2006/relationships/hyperlink" Target="https://integraresources.com/asset/florida-canyon-mine/" TargetMode="External"/><Relationship Id="rId467" Type="http://schemas.openxmlformats.org/officeDocument/2006/relationships/hyperlink" Target="https://minedocs.com/12/Shafter_PEA_07112018.pdf" TargetMode="External"/><Relationship Id="rId1097" Type="http://schemas.openxmlformats.org/officeDocument/2006/relationships/hyperlink" Target="https://www.tintech.com/materials" TargetMode="External"/><Relationship Id="rId1220" Type="http://schemas.openxmlformats.org/officeDocument/2006/relationships/hyperlink" Target="https://cleantechctv.com/projects/cleantech-kentucky-illinois-fluorspar-projects-map/" TargetMode="External"/><Relationship Id="rId1318" Type="http://schemas.openxmlformats.org/officeDocument/2006/relationships/hyperlink" Target="https://www.suncoke.com/~/media/Files/S/Suncoke/documents/presentations/2024/sxc-q1-2024-updated-investor-presentation-v1.pdf" TargetMode="External"/><Relationship Id="rId1525" Type="http://schemas.openxmlformats.org/officeDocument/2006/relationships/hyperlink" Target="https://www.minerals.nv.gov/siteassets/content/programs/mining/2022_Metallic_Production_by_mine.pdf" TargetMode="External"/><Relationship Id="rId674" Type="http://schemas.openxmlformats.org/officeDocument/2006/relationships/hyperlink" Target="file:///C:\Users\tmobrien\OneDrive%20-%20DOI\old%20Desktop\facilities\Carlota.pdf" TargetMode="External"/><Relationship Id="rId881" Type="http://schemas.openxmlformats.org/officeDocument/2006/relationships/hyperlink" Target="https://minedocs.com/18/Stillwater-Operation-TRS-12312024.pdf" TargetMode="External"/><Relationship Id="rId979" Type="http://schemas.openxmlformats.org/officeDocument/2006/relationships/hyperlink" Target="https://www.amalgamatedsugar.com/nampa-factory/" TargetMode="External"/><Relationship Id="rId24" Type="http://schemas.openxmlformats.org/officeDocument/2006/relationships/hyperlink" Target="https://integraresources.com/asset/florida-canyon-mine/" TargetMode="External"/><Relationship Id="rId327" Type="http://schemas.openxmlformats.org/officeDocument/2006/relationships/hyperlink" Target="https://www.mdf.coop/lime-information" TargetMode="External"/><Relationship Id="rId534" Type="http://schemas.openxmlformats.org/officeDocument/2006/relationships/hyperlink" Target="https://d9-wret.s3.us-west-2.amazonaws.com/assets/palladium/production/mineral-pubs/boron/myb1-2012-boron.pdf" TargetMode="External"/><Relationship Id="rId741" Type="http://schemas.openxmlformats.org/officeDocument/2006/relationships/hyperlink" Target="https://makominingcorp.com/projects/usa/production/moss-mine/" TargetMode="External"/><Relationship Id="rId839" Type="http://schemas.openxmlformats.org/officeDocument/2006/relationships/hyperlink" Target="https://pubs.usgs.gov/myb/vol1/2022/myb1-2022-magnesium-metal.pdf" TargetMode="External"/><Relationship Id="rId1164" Type="http://schemas.openxmlformats.org/officeDocument/2006/relationships/hyperlink" Target="https://www.steeldust.com/" TargetMode="External"/><Relationship Id="rId1371" Type="http://schemas.openxmlformats.org/officeDocument/2006/relationships/hyperlink" Target="https://d9-wret.s3.us-west-2.amazonaws.com/assets/palladium/production/s3fs-public/media/files/myb1-2023-fepig-ert.xlsx" TargetMode="External"/><Relationship Id="rId1469" Type="http://schemas.openxmlformats.org/officeDocument/2006/relationships/hyperlink" Target="https://www.goldroyalty.com/portfolio/railroad-pinion/" TargetMode="External"/><Relationship Id="rId173" Type="http://schemas.openxmlformats.org/officeDocument/2006/relationships/hyperlink" Target="https://www.goldroadusa.com/about1" TargetMode="External"/><Relationship Id="rId380" Type="http://schemas.openxmlformats.org/officeDocument/2006/relationships/hyperlink" Target="https://s203.q4cdn.com/835901927/files/doc_financials/2023/ar/NewLAC-ThackerPassFeasibilityStudyNI43-101-October2023.pdf" TargetMode="External"/><Relationship Id="rId601" Type="http://schemas.openxmlformats.org/officeDocument/2006/relationships/hyperlink" Target="https://miningdataonline.com/property/639/Rawhide-Mine.aspx" TargetMode="External"/><Relationship Id="rId1024" Type="http://schemas.openxmlformats.org/officeDocument/2006/relationships/hyperlink" Target="https://link.springer.com/article/10.1007/s13563-023-00392-0" TargetMode="External"/><Relationship Id="rId1231" Type="http://schemas.openxmlformats.org/officeDocument/2006/relationships/hyperlink" Target="https://www.bhpioneer.com/covid-19/black-hawk-residents-evacuated-because-of-sinkholes/article_a2b8c4ba-8afe-11ea-8001-9fbfe5308c55.html" TargetMode="External"/><Relationship Id="rId240" Type="http://schemas.openxmlformats.org/officeDocument/2006/relationships/hyperlink" Target="https://www.montanagoldfieldsinc.com/montana-tunnels/" TargetMode="External"/><Relationship Id="rId478" Type="http://schemas.openxmlformats.org/officeDocument/2006/relationships/hyperlink" Target="https://pubs.usgs.gov/myb/vol1/2022/myb1-2022-titanium.pdf" TargetMode="External"/><Relationship Id="rId685" Type="http://schemas.openxmlformats.org/officeDocument/2006/relationships/hyperlink" Target="https://pubs.usgs.gov/myb/vol1/2021/myb1-2021-copper.pdf" TargetMode="External"/><Relationship Id="rId892" Type="http://schemas.openxmlformats.org/officeDocument/2006/relationships/hyperlink" Target="https://minedocs.com/18/Stillwater-Operation-TRS-12312024.pdf" TargetMode="External"/><Relationship Id="rId906" Type="http://schemas.openxmlformats.org/officeDocument/2006/relationships/hyperlink" Target="https://metalfinishing.org/wp-content/uploads/2023-MFASC-EXHIBITOR-HANDBOOK.pdf" TargetMode="External"/><Relationship Id="rId1329" Type="http://schemas.openxmlformats.org/officeDocument/2006/relationships/hyperlink" Target="https://solidus-resources.com/spring-valley-project/2025-feasibility-study/" TargetMode="External"/><Relationship Id="rId1536" Type="http://schemas.openxmlformats.org/officeDocument/2006/relationships/hyperlink" Target="https://climaxmolybdenum.com/sites/climaxmoly/files/documents/pdfs/technical-library/metallurgical-product-datasheets/PDS_RMC_CFB_US.pdf" TargetMode="External"/><Relationship Id="rId35" Type="http://schemas.openxmlformats.org/officeDocument/2006/relationships/hyperlink" Target="https://www.whiterivernow.com/2024/11/05/arkansas-lime-company-celebrates-100th-year-at-limedale/" TargetMode="External"/><Relationship Id="rId100" Type="http://schemas.openxmlformats.org/officeDocument/2006/relationships/hyperlink" Target="https://www.transatlanticminingcorp.com/wp-content/uploads/2026/01/26.01-Monitor_TR_Final.pdf" TargetMode="External"/><Relationship Id="rId338" Type="http://schemas.openxmlformats.org/officeDocument/2006/relationships/hyperlink" Target="https://www.westernsugar.com/who-we-are/our-facilities/scottsbluff-ne-manufacturing-facility/" TargetMode="External"/><Relationship Id="rId545" Type="http://schemas.openxmlformats.org/officeDocument/2006/relationships/hyperlink" Target="https://pubs.usgs.gov/myb/vol1/2021/myb1-2021-copper.pdf" TargetMode="External"/><Relationship Id="rId752" Type="http://schemas.openxmlformats.org/officeDocument/2006/relationships/hyperlink" Target="https://ndep.nv.gov/uploads/documents/20241009TM_0096107_Factsheet_Midas_1.pdf" TargetMode="External"/><Relationship Id="rId1175" Type="http://schemas.openxmlformats.org/officeDocument/2006/relationships/hyperlink" Target="https://bluemoonmetals.com/project/blue-moon/" TargetMode="External"/><Relationship Id="rId1382" Type="http://schemas.openxmlformats.org/officeDocument/2006/relationships/hyperlink" Target="https://permitting.mdaqmd.ca.gov/facility/view/3707" TargetMode="External"/><Relationship Id="rId184" Type="http://schemas.openxmlformats.org/officeDocument/2006/relationships/hyperlink" Target="https://nam.org/pentagon-korea-zinc-partner-on-tennessee-mineral-smelter-35425/?stream=series-input-stories" TargetMode="External"/><Relationship Id="rId391" Type="http://schemas.openxmlformats.org/officeDocument/2006/relationships/hyperlink" Target="https://www.recyclingtoday.com/news/metallix-usa-sibanye-stillwater-south-africa-acquisition-gold-silver-platinum-recycling/" TargetMode="External"/><Relationship Id="rId405" Type="http://schemas.openxmlformats.org/officeDocument/2006/relationships/hyperlink" Target="https://www.sec.gov/Archives/edgar/data/1334933/000143774923027072/uec20230731_10k.htm" TargetMode="External"/><Relationship Id="rId612" Type="http://schemas.openxmlformats.org/officeDocument/2006/relationships/hyperlink" Target="https://www.canadianminingjournal.com/featured-article/good-news-from-bagdad-the-mine/" TargetMode="External"/><Relationship Id="rId1035" Type="http://schemas.openxmlformats.org/officeDocument/2006/relationships/hyperlink" Target="https://www.ferroglobe.com/about-ferroglobe/industrial-footprint/beverly" TargetMode="External"/><Relationship Id="rId1242" Type="http://schemas.openxmlformats.org/officeDocument/2006/relationships/hyperlink" Target="https://miningrecord.com/santa-fe-gold-acquires-fully-permitted-billali-jim-crow-and-imperial-mines/" TargetMode="External"/><Relationship Id="rId251" Type="http://schemas.openxmlformats.org/officeDocument/2006/relationships/hyperlink" Target="https://www.epa.gov/mn/polymet-now-newrange-copper-nickel-llc" TargetMode="External"/><Relationship Id="rId489" Type="http://schemas.openxmlformats.org/officeDocument/2006/relationships/hyperlink" Target="https://pubs.usgs.gov/myb/vol1/2023/myb1-2023-vanadium.pdf" TargetMode="External"/><Relationship Id="rId696" Type="http://schemas.openxmlformats.org/officeDocument/2006/relationships/hyperlink" Target="https://pubs.usgs.gov/myb/vol1/2022/myb1-2022-graphite.pdf" TargetMode="External"/><Relationship Id="rId917" Type="http://schemas.openxmlformats.org/officeDocument/2006/relationships/hyperlink" Target="https://p2infohouse.org/ref/30/29778.pdf" TargetMode="External"/><Relationship Id="rId1102" Type="http://schemas.openxmlformats.org/officeDocument/2006/relationships/hyperlink" Target="https://appiancapitaladvisory.com/portfolio/asm/" TargetMode="External"/><Relationship Id="rId46" Type="http://schemas.openxmlformats.org/officeDocument/2006/relationships/hyperlink" Target="https://maps.app.goo.gl/jeTMYYyGZAaBeLwH9" TargetMode="External"/><Relationship Id="rId349" Type="http://schemas.openxmlformats.org/officeDocument/2006/relationships/hyperlink" Target="https://www.accessnewswire.com/newsroom/en/food-and-beverage-products/mosaic-revises-guidance-1036136" TargetMode="External"/><Relationship Id="rId556" Type="http://schemas.openxmlformats.org/officeDocument/2006/relationships/hyperlink" Target="https://www.gunnisoncopper.com/news/news-2025/gunnison-copper-announces-first-copper-sales-from-johnson-ca2025-09-25-033502" TargetMode="External"/><Relationship Id="rId763" Type="http://schemas.openxmlformats.org/officeDocument/2006/relationships/hyperlink" Target="https://nepis.epa.gov/Exe/ZyNET.exe/2000NSWQ.txt?ZyActionD=ZyDocument&amp;Client=EPA&amp;Index=1991%20Thru%201994&amp;Docs=&amp;Query=&amp;Time=&amp;EndTime=&amp;SearchMethod=1&amp;TocRestrict=n&amp;Toc=&amp;TocEntry=&amp;QField=&amp;QFieldYear=&amp;QFieldMonth=&amp;QFieldDay=&amp;UseQField=&amp;IntQFieldOp=0&amp;ExtQFieldOp=0&amp;XmlQuery=&amp;File=D%3A%5CZYFILES%5CINDEX%20DATA%5C91THRU94%5CTXT%5C00000016%5C2000NSWQ.txt&amp;User=ANONYMOUS&amp;Password=anonymous&amp;SortMethod=h%7C-&amp;MaximumDocuments=1&amp;FuzzyDegree=0&amp;ImageQuality=r75g8/r75g8/x150y150g16/i425&amp;Display=hpfr&amp;DefSeekPage=&amp;SearchBack=ZyActionL&amp;Back=ZyActionS&amp;BackDesc=Results%20page&amp;MaximumPages=1&amp;ZyEntry=2" TargetMode="External"/><Relationship Id="rId1186" Type="http://schemas.openxmlformats.org/officeDocument/2006/relationships/hyperlink" Target="https://www.usantimony.com/uamy-production-facilities" TargetMode="External"/><Relationship Id="rId1393" Type="http://schemas.openxmlformats.org/officeDocument/2006/relationships/hyperlink" Target="https://aurisnoble.com/" TargetMode="External"/><Relationship Id="rId1407" Type="http://schemas.openxmlformats.org/officeDocument/2006/relationships/hyperlink" Target="https://www.researchgate.net/figure/Location-of-the-Tawas-quarry-and-samples-used-in-this-research-a-The-red-box-shows_fig2_333145244" TargetMode="External"/><Relationship Id="rId111" Type="http://schemas.openxmlformats.org/officeDocument/2006/relationships/hyperlink" Target="https://www.usantimony.com/uamy-production-facilities" TargetMode="External"/><Relationship Id="rId195" Type="http://schemas.openxmlformats.org/officeDocument/2006/relationships/hyperlink" Target="https://minedocs.com/20/Hycroft-Summary-Technical-Report-07312019.pdf" TargetMode="External"/><Relationship Id="rId209" Type="http://schemas.openxmlformats.org/officeDocument/2006/relationships/hyperlink" Target="https://www.equinoxgold.com/news/equinox-gold-completes-acquisition-of-the-mesquite-gold-mine-in-california/" TargetMode="External"/><Relationship Id="rId416" Type="http://schemas.openxmlformats.org/officeDocument/2006/relationships/hyperlink" Target="https://www.juniorminingnetwork.com/junior-miner-news/press-releases/350-tsx/or/114621-osisko-announces-agreement-to-acquire-a-metals-stream-on-the-high-grade-trixie-mine-in-utah-s-historic-tintic-mining-district.html" TargetMode="External"/><Relationship Id="rId970" Type="http://schemas.openxmlformats.org/officeDocument/2006/relationships/hyperlink" Target="https://www.lime.org/find-a-lime-plant/?categories=&amp;pagenum=" TargetMode="External"/><Relationship Id="rId1046" Type="http://schemas.openxmlformats.org/officeDocument/2006/relationships/hyperlink" Target="https://www.bernreuter.com/newsroom/press-releases/bernreuter-research-wacker-is-new-polysilicon-market-leader/" TargetMode="External"/><Relationship Id="rId1253" Type="http://schemas.openxmlformats.org/officeDocument/2006/relationships/hyperlink" Target="https://www.ssrmining.com/_resources/reports/Technical-Report-CCV-2025-SK1300.pdf?v=051904" TargetMode="External"/><Relationship Id="rId623" Type="http://schemas.openxmlformats.org/officeDocument/2006/relationships/hyperlink" Target="https://wp-andeanpm-2023.s3.ca-central-1.amazonaws.com/media/2024/02/28203450/Soledad-Mountain-Technical-Report-2023-31Jan24-FINAL.pdf" TargetMode="External"/><Relationship Id="rId830" Type="http://schemas.openxmlformats.org/officeDocument/2006/relationships/hyperlink" Target="https://www.redwoodmaterials.com/news/sustainable-battery-materials-process/" TargetMode="External"/><Relationship Id="rId928" Type="http://schemas.openxmlformats.org/officeDocument/2006/relationships/hyperlink" Target="https://www.sabinmetal.com/locations/main-plant-sales-office" TargetMode="External"/><Relationship Id="rId1460" Type="http://schemas.openxmlformats.org/officeDocument/2006/relationships/hyperlink" Target="https://www.basf.com/us/en/pages/contracted-services/site-specific/Seneca" TargetMode="External"/><Relationship Id="rId57" Type="http://schemas.openxmlformats.org/officeDocument/2006/relationships/hyperlink" Target="https://www.carmeuse.com/eu-en/products-map" TargetMode="External"/><Relationship Id="rId262" Type="http://schemas.openxmlformats.org/officeDocument/2006/relationships/hyperlink" Target="https://minedocs.com/21/PintoValley_TR_06112021.pdf" TargetMode="External"/><Relationship Id="rId567" Type="http://schemas.openxmlformats.org/officeDocument/2006/relationships/hyperlink" Target="https://pubs.usgs.gov/myb/vol1/2022/myb1-2022-gallium.pdf" TargetMode="External"/><Relationship Id="rId1113" Type="http://schemas.openxmlformats.org/officeDocument/2006/relationships/hyperlink" Target="https://www.cameco.com/annual_report/2015/mda/our-operations-and-projects/uranium-operating-properties/crow-butte/" TargetMode="External"/><Relationship Id="rId1197" Type="http://schemas.openxmlformats.org/officeDocument/2006/relationships/hyperlink" Target="https://www.montanaresources.com/about/" TargetMode="External"/><Relationship Id="rId1320" Type="http://schemas.openxmlformats.org/officeDocument/2006/relationships/hyperlink" Target="https://www.suncoke.com/~/media/Files/S/Suncoke/documents/presentations/2024/sxc-q1-2024-updated-investor-presentation-v1.pdf" TargetMode="External"/><Relationship Id="rId1418" Type="http://schemas.openxmlformats.org/officeDocument/2006/relationships/hyperlink" Target="https://arlweb.msha.gov/FATALS/1999/FTL99M16.HTM" TargetMode="External"/><Relationship Id="rId122" Type="http://schemas.openxmlformats.org/officeDocument/2006/relationships/hyperlink" Target="https://www.hecla.com/exploration/nevada-usa" TargetMode="External"/><Relationship Id="rId774" Type="http://schemas.openxmlformats.org/officeDocument/2006/relationships/hyperlink" Target="https://harriscompany.com/projects/gopher-resource-smelter-battery-recycling-plant" TargetMode="External"/><Relationship Id="rId981" Type="http://schemas.openxmlformats.org/officeDocument/2006/relationships/hyperlink" Target="https://www.crystalsugar.com/about-our-cooperative/locations/" TargetMode="External"/><Relationship Id="rId1057" Type="http://schemas.openxmlformats.org/officeDocument/2006/relationships/hyperlink" Target="https://www.ineos.com/sites/port-neches/" TargetMode="External"/><Relationship Id="rId427" Type="http://schemas.openxmlformats.org/officeDocument/2006/relationships/hyperlink" Target="https://minerals.nv.gov/uploadedFiles/mineralsnvgov/content/Programs/Mining/2022%20Metallic%20Production%20by%20mine.pdf" TargetMode="External"/><Relationship Id="rId634" Type="http://schemas.openxmlformats.org/officeDocument/2006/relationships/hyperlink" Target="https://www.sec.gov/Archives/edgar/data/1526243/000110465922069319/tm2217499d1_ex96-1.htm" TargetMode="External"/><Relationship Id="rId841" Type="http://schemas.openxmlformats.org/officeDocument/2006/relationships/hyperlink" Target="https://pubs.usgs.gov/myb/vol1/2022/myb1-2022-magnesium-metal.pdf" TargetMode="External"/><Relationship Id="rId1264" Type="http://schemas.openxmlformats.org/officeDocument/2006/relationships/hyperlink" Target="https://minedocs.com/23/NorthMet-FS-12302022.pdf" TargetMode="External"/><Relationship Id="rId1471" Type="http://schemas.openxmlformats.org/officeDocument/2006/relationships/hyperlink" Target="https://ugspub.nr.utah.gov/publications/uranium_data/MD00703_1.pdf" TargetMode="External"/><Relationship Id="rId273" Type="http://schemas.openxmlformats.org/officeDocument/2006/relationships/hyperlink" Target="https://www.idahogeology.org/pub/Staff_Reports/1999/S-99-2.pdf" TargetMode="External"/><Relationship Id="rId480" Type="http://schemas.openxmlformats.org/officeDocument/2006/relationships/hyperlink" Target="https://pubs.usgs.gov/myb/vol1/2022/myb1-2022-titanium.pdf" TargetMode="External"/><Relationship Id="rId701" Type="http://schemas.openxmlformats.org/officeDocument/2006/relationships/hyperlink" Target="https://westwaterresources.com/operations/kellyton-processing-plant/default.aspx" TargetMode="External"/><Relationship Id="rId939" Type="http://schemas.openxmlformats.org/officeDocument/2006/relationships/hyperlink" Target="https://geology.utah.gov/map-pub/survey-notes/todays-and-tomorrows-phosphate/" TargetMode="External"/><Relationship Id="rId1124" Type="http://schemas.openxmlformats.org/officeDocument/2006/relationships/hyperlink" Target="https://www.prnewswire.com/news-releases/uranium-energy-corp-sweetwater-project-designated-by-us-government-for-fast-track-permitting-to-add-in-situ-recovery-capability-creating-the-largest-dual-feed-uranium-facility-in-the-us-302521478.html" TargetMode="External"/><Relationship Id="rId1331" Type="http://schemas.openxmlformats.org/officeDocument/2006/relationships/hyperlink" Target="https://minedocs.com/28/Reward-FS-09032024.pdf" TargetMode="External"/><Relationship Id="rId68" Type="http://schemas.openxmlformats.org/officeDocument/2006/relationships/hyperlink" Target="https://www.graymont.com/locations/" TargetMode="External"/><Relationship Id="rId133" Type="http://schemas.openxmlformats.org/officeDocument/2006/relationships/hyperlink" Target="https://doerun.com/what-we-do/mining-milling/" TargetMode="External"/><Relationship Id="rId340" Type="http://schemas.openxmlformats.org/officeDocument/2006/relationships/hyperlink" Target="https://www.basf.com/us/en/pages/contracted-services/site-specific/Seneca" TargetMode="External"/><Relationship Id="rId578" Type="http://schemas.openxmlformats.org/officeDocument/2006/relationships/hyperlink" Target="https://s22.q4cdn.com/546540291/files/doc_financials/2023/q4/slr-ssr-marigold-trs-feb-11-2024.pdf?v=032304" TargetMode="External"/><Relationship Id="rId785" Type="http://schemas.openxmlformats.org/officeDocument/2006/relationships/hyperlink" Target="https://www.thomasnet.com/company/powerlab-inc-79395/profile?heading=43630201&amp;coverage_area=NA&amp;companyId=powerlab-inc-79395&amp;card_position=4&amp;page_number=1&amp;suppliers_in_page=25" TargetMode="External"/><Relationship Id="rId992" Type="http://schemas.openxmlformats.org/officeDocument/2006/relationships/hyperlink" Target="https://www.graymont.com/locations/" TargetMode="External"/><Relationship Id="rId1429" Type="http://schemas.openxmlformats.org/officeDocument/2006/relationships/hyperlink" Target="https://s1.q4cdn.com/337451660/files/doc_downloads/FortuneMinerals_Revenue_PEA_457700.030_014_20140723.pdf" TargetMode="External"/><Relationship Id="rId200" Type="http://schemas.openxmlformats.org/officeDocument/2006/relationships/hyperlink" Target="https://www.goldroyalty.com/portfolio/isabella-pearl/" TargetMode="External"/><Relationship Id="rId438" Type="http://schemas.openxmlformats.org/officeDocument/2006/relationships/hyperlink" Target="https://minerals.nv.gov/uploadedFiles/mineralsnvgov/content/Programs/Mining/2022%20Metallic%20Production%20by%20mine.pdf" TargetMode="External"/><Relationship Id="rId645" Type="http://schemas.openxmlformats.org/officeDocument/2006/relationships/hyperlink" Target="https://d9-wret.s3-us-west-2.amazonaws.com/assets/palladium/production/mineral-pubs/bromine/myb1-2016-bromi.pdf" TargetMode="External"/><Relationship Id="rId852" Type="http://schemas.openxmlformats.org/officeDocument/2006/relationships/hyperlink" Target="https://minedocs.com/18/Stillwater-Operation-TRS-12312024.pdf" TargetMode="External"/><Relationship Id="rId1068" Type="http://schemas.openxmlformats.org/officeDocument/2006/relationships/hyperlink" Target="http://www.sulphuric-acid.com/Sulphuric-Acid-on-the-Web/Acid%20Plants/ConocoPhillips%20-%20Westlake.htm" TargetMode="External"/><Relationship Id="rId1275" Type="http://schemas.openxmlformats.org/officeDocument/2006/relationships/hyperlink" Target="https://www.greatwesternmining.com/projects/western-milling-llc/" TargetMode="External"/><Relationship Id="rId1482" Type="http://schemas.openxmlformats.org/officeDocument/2006/relationships/hyperlink" Target="https://www.gunnisoncopper.com/news/news-2025/gunnison-copper-announces-first-copper-sales-from-johnson-ca2025-09-25-033502" TargetMode="External"/><Relationship Id="rId284" Type="http://schemas.openxmlformats.org/officeDocument/2006/relationships/hyperlink" Target="https://www.alabamapigments.com/" TargetMode="External"/><Relationship Id="rId491" Type="http://schemas.openxmlformats.org/officeDocument/2006/relationships/hyperlink" Target="https://pubs.usgs.gov/myb/vol1/2023/myb1-2023-vanadium.pdf" TargetMode="External"/><Relationship Id="rId505" Type="http://schemas.openxmlformats.org/officeDocument/2006/relationships/hyperlink" Target="https://d9-wret.s3.us-west-2.amazonaws.com/assets/palladium/production/mineral-pubs/lead/lead_myb03.pdf" TargetMode="External"/><Relationship Id="rId712" Type="http://schemas.openxmlformats.org/officeDocument/2006/relationships/hyperlink" Target="https://www.chemours.com/en/about-chemours/global-reach/southern-ionics-minerals" TargetMode="External"/><Relationship Id="rId1135" Type="http://schemas.openxmlformats.org/officeDocument/2006/relationships/hyperlink" Target="https://ir.hecla.com/Investors/annual-reports-filings/sec-filings-details/default.aspx?FilingId=19156252" TargetMode="External"/><Relationship Id="rId1342" Type="http://schemas.openxmlformats.org/officeDocument/2006/relationships/hyperlink" Target="https://www.rareelementresources.com/bear-lodge-project/" TargetMode="External"/><Relationship Id="rId79" Type="http://schemas.openxmlformats.org/officeDocument/2006/relationships/hyperlink" Target="https://www.rhimagnesita.com/north-america/" TargetMode="External"/><Relationship Id="rId144" Type="http://schemas.openxmlformats.org/officeDocument/2006/relationships/hyperlink" Target="https://www.cnbc.com/2025/12/15/pentagon-korea-zinc-refinery-tennessee.html?msockid=1c73399e70b4602809062ec471ae6101" TargetMode="External"/><Relationship Id="rId589" Type="http://schemas.openxmlformats.org/officeDocument/2006/relationships/hyperlink" Target="https://minedocs.com/21/CoeurMiningInc_Rochester_TechnicalReport_Dec16_2020.pdf" TargetMode="External"/><Relationship Id="rId796" Type="http://schemas.openxmlformats.org/officeDocument/2006/relationships/hyperlink" Target="https://americanbatterytechnology.com/press-release/american-battery-technology-company-publishes-milestone-pre-feasibility-study-accelerating-commercialization-of-its-tonopah-flats-lithium-project-one-of-the-largest-lithium-resources-in-the-united-st/" TargetMode="External"/><Relationship Id="rId1202" Type="http://schemas.openxmlformats.org/officeDocument/2006/relationships/hyperlink" Target="https://www.azomining.com/suppliers.aspx?SupplierID=1234" TargetMode="External"/><Relationship Id="rId351" Type="http://schemas.openxmlformats.org/officeDocument/2006/relationships/hyperlink" Target="https://www.accessnewswire.com/newsroom/en/food-and-beverage-products/mosaic-revises-guidance-1036136" TargetMode="External"/><Relationship Id="rId449" Type="http://schemas.openxmlformats.org/officeDocument/2006/relationships/hyperlink" Target="https://minedocs.com/24/Compass_Minerals-F10-K-2022.pdf" TargetMode="External"/><Relationship Id="rId656" Type="http://schemas.openxmlformats.org/officeDocument/2006/relationships/hyperlink" Target="https://www.fastmarkets.com/insights/korea-zincs-jpmorgan-backed-crucible-plant-to-focus-on-us-material/" TargetMode="External"/><Relationship Id="rId863" Type="http://schemas.openxmlformats.org/officeDocument/2006/relationships/hyperlink" Target="https://nthcycle.com/news/nth-cycle-begins-operations-of-first-domestic-commercial-scale-nickel-and-cobalt-scrap-refining-system-in-fairfield-ohio/" TargetMode="External"/><Relationship Id="rId1079" Type="http://schemas.openxmlformats.org/officeDocument/2006/relationships/hyperlink" Target="http://www.sulphuric-acid.com/Sulphuric-Acid-on-the-Web/Acid%20Plants/Marsulex%20-%20Oregon.htm" TargetMode="External"/><Relationship Id="rId1286" Type="http://schemas.openxmlformats.org/officeDocument/2006/relationships/hyperlink" Target="https://comstock.inc/press-release/comstock-announces-full-year-2022-results/" TargetMode="External"/><Relationship Id="rId1493" Type="http://schemas.openxmlformats.org/officeDocument/2006/relationships/hyperlink" Target="https://minedocs.com/23/Eagle-TR-12312022.pdf" TargetMode="External"/><Relationship Id="rId1507" Type="http://schemas.openxmlformats.org/officeDocument/2006/relationships/hyperlink" Target="https://www.asbury.com/about-us/our-story/" TargetMode="External"/><Relationship Id="rId211" Type="http://schemas.openxmlformats.org/officeDocument/2006/relationships/hyperlink" Target="https://www.ssrmining.com/_resources/reports/Technical-Report-CCV-2025-SK1300.pdf?v=051904" TargetMode="External"/><Relationship Id="rId295" Type="http://schemas.openxmlformats.org/officeDocument/2006/relationships/hyperlink" Target="https://www.stgeorgeutah.com/news/bureau-of-land-management-should-cedar-canyons-dry-creek-gypsum-mine-be-expanded/article_d770bd10-b1ab-11ef-88ba-bf283f91db26.html" TargetMode="External"/><Relationship Id="rId309" Type="http://schemas.openxmlformats.org/officeDocument/2006/relationships/hyperlink" Target="https://gypsumresources.com/" TargetMode="External"/><Relationship Id="rId516" Type="http://schemas.openxmlformats.org/officeDocument/2006/relationships/hyperlink" Target="https://pubs.usgs.gov/myb/vol1/2022/myb1-2022-barite.pdf" TargetMode="External"/><Relationship Id="rId1146" Type="http://schemas.openxmlformats.org/officeDocument/2006/relationships/hyperlink" Target="https://brsengineering.com/wp-content/uploads/2025/08/BRS-Engineering-Velvet-Wood_Slick_Rock_Shootaring_43-101-March-6-2023.pdf" TargetMode="External"/><Relationship Id="rId723" Type="http://schemas.openxmlformats.org/officeDocument/2006/relationships/hyperlink" Target="https://pubs.usgs.gov/myb/vol1/2023/myb1-2023-helium.pdf" TargetMode="External"/><Relationship Id="rId930" Type="http://schemas.openxmlformats.org/officeDocument/2006/relationships/hyperlink" Target="https://www.sabinmetal.com/locations/main-plant-sales-office" TargetMode="External"/><Relationship Id="rId1006" Type="http://schemas.openxmlformats.org/officeDocument/2006/relationships/hyperlink" Target="https://d18rn0p25nwr6d.cloudfront.net/CIK-0001421461/f3f2915d-667b-46d0-961b-b9042c082c2b.pdf" TargetMode="External"/><Relationship Id="rId1353" Type="http://schemas.openxmlformats.org/officeDocument/2006/relationships/hyperlink" Target="https://cdn.prod.website-files.com/67b9c5dc15db73b34fcf2bf3/69dcb7caacc18dfdd52202e2_Aclara%20-%20Integrated%20Value%20Chain%20press%20release.pdf" TargetMode="External"/><Relationship Id="rId155" Type="http://schemas.openxmlformats.org/officeDocument/2006/relationships/hyperlink" Target="https://minedocs.com/21/PintoValley_TR_06112021.pdf" TargetMode="External"/><Relationship Id="rId362" Type="http://schemas.openxmlformats.org/officeDocument/2006/relationships/hyperlink" Target="https://goldresourcecorp.com/site/assets/files/6493/sk1300_b40_gold_resource_corp_filed_10_27_2023.pdf" TargetMode="External"/><Relationship Id="rId1213" Type="http://schemas.openxmlformats.org/officeDocument/2006/relationships/hyperlink" Target="https://minerals.nv.gov/uploadedFiles/mineralsnvgov/content/Programs/Mining/2022%20Metallic%20Production%20by%20mine.pdf" TargetMode="External"/><Relationship Id="rId1297" Type="http://schemas.openxmlformats.org/officeDocument/2006/relationships/hyperlink" Target="https://makominingcorp.com/projects/usa/production/moss-mine/" TargetMode="External"/><Relationship Id="rId1420" Type="http://schemas.openxmlformats.org/officeDocument/2006/relationships/hyperlink" Target="https://www.usg.com/en-US/about-usg/locations/manufacturing-plants" TargetMode="External"/><Relationship Id="rId1518" Type="http://schemas.openxmlformats.org/officeDocument/2006/relationships/hyperlink" Target="https://minedocs.com/17/FactSheetCLARKSVILLE2016.pdf" TargetMode="External"/><Relationship Id="rId222" Type="http://schemas.openxmlformats.org/officeDocument/2006/relationships/hyperlink" Target="https://ndep.nv.gov/uploads/documents/20241009TM_0096107_Factsheet_Midas_1.pdf" TargetMode="External"/><Relationship Id="rId667" Type="http://schemas.openxmlformats.org/officeDocument/2006/relationships/hyperlink" Target="https://www.usstrategicmetals.com/us-strategic-metals-solving-the-critical-battery-materials-supply-chain-puzzle/" TargetMode="External"/><Relationship Id="rId874" Type="http://schemas.openxmlformats.org/officeDocument/2006/relationships/hyperlink" Target="https://minedocs.com/18/Stillwater-Operation-TRS-12312024.pdf" TargetMode="External"/><Relationship Id="rId17" Type="http://schemas.openxmlformats.org/officeDocument/2006/relationships/hyperlink" Target="https://www.kinross.com/English/operations/default.aspx" TargetMode="External"/><Relationship Id="rId527" Type="http://schemas.openxmlformats.org/officeDocument/2006/relationships/hyperlink" Target="https://pubs.usgs.gov/myb/vol1/2022/myb1-2022-barite.pdf" TargetMode="External"/><Relationship Id="rId734" Type="http://schemas.openxmlformats.org/officeDocument/2006/relationships/hyperlink" Target="https://pubs.usgs.gov/myb/vol1/2023/myb1-2023-helium.pdf" TargetMode="External"/><Relationship Id="rId941" Type="http://schemas.openxmlformats.org/officeDocument/2006/relationships/hyperlink" Target="https://www.londonstockexchange.com/news-article/KRS/commencement-of-commercial-production-at-delta/16596696" TargetMode="External"/><Relationship Id="rId1157" Type="http://schemas.openxmlformats.org/officeDocument/2006/relationships/hyperlink" Target="https://ghgdata.epa.gov/flight/details/1004427/2023/E" TargetMode="External"/><Relationship Id="rId1364" Type="http://schemas.openxmlformats.org/officeDocument/2006/relationships/hyperlink" Target="https://www.sibelco.com/en/news/sibelco-announces-a-major-expansion-of-its-spruce-pine-usa-high-purity-quartz-operations" TargetMode="External"/><Relationship Id="rId70" Type="http://schemas.openxmlformats.org/officeDocument/2006/relationships/hyperlink" Target="https://www.graymont.com/locations/" TargetMode="External"/><Relationship Id="rId166" Type="http://schemas.openxmlformats.org/officeDocument/2006/relationships/hyperlink" Target="https://nhmu.utah.edu/sites/default/files/fact-sheets/NHMU%20fact%20sheet%20-%20LF.pdf" TargetMode="External"/><Relationship Id="rId373" Type="http://schemas.openxmlformats.org/officeDocument/2006/relationships/hyperlink" Target="https://www.i80gold.com/wp-content/uploads/2025/03/Granite-Creek-PEA-Technical-Report-Final-03_31_25.pdf" TargetMode="External"/><Relationship Id="rId580" Type="http://schemas.openxmlformats.org/officeDocument/2006/relationships/hyperlink" Target="https://minerals.nv.gov/uploadedFiles/mineralsnvgov/content/Programs/Mining/2022%20Metallic%20Production%20by%20mine.pdf" TargetMode="External"/><Relationship Id="rId801" Type="http://schemas.openxmlformats.org/officeDocument/2006/relationships/hyperlink" Target="https://ascendelements.com/covington-lithium-carbonate/" TargetMode="External"/><Relationship Id="rId1017" Type="http://schemas.openxmlformats.org/officeDocument/2006/relationships/hyperlink" Target="https://colonialmetals.com/products/" TargetMode="External"/><Relationship Id="rId1224" Type="http://schemas.openxmlformats.org/officeDocument/2006/relationships/hyperlink" Target="https://pubs.usgs.gov/myb/vol1/2022/myb1-2022-fluorspar.pdf" TargetMode="External"/><Relationship Id="rId1431" Type="http://schemas.openxmlformats.org/officeDocument/2006/relationships/hyperlink" Target="https://waelzsp.com/" TargetMode="External"/><Relationship Id="rId1" Type="http://schemas.openxmlformats.org/officeDocument/2006/relationships/hyperlink" Target="https://www.timet.com/" TargetMode="External"/><Relationship Id="rId233" Type="http://schemas.openxmlformats.org/officeDocument/2006/relationships/hyperlink" Target="https://minedocs.com/21/Mineral_Ridge_Expansion-TR-12222020.pdf" TargetMode="External"/><Relationship Id="rId440" Type="http://schemas.openxmlformats.org/officeDocument/2006/relationships/hyperlink" Target="https://minerals.nv.gov/uploadedFiles/mineralsnvgov/content/Programs/Mining/2022%20Metallic%20Production%20by%20mine.pdf" TargetMode="External"/><Relationship Id="rId678" Type="http://schemas.openxmlformats.org/officeDocument/2006/relationships/hyperlink" Target="https://www.miningnewsnorth.com/story/2011/03/27/news/fire-river-resumes-mining-at-nixon-fork/2387.html" TargetMode="External"/><Relationship Id="rId885" Type="http://schemas.openxmlformats.org/officeDocument/2006/relationships/hyperlink" Target="https://minedocs.com/18/Stillwater-Operation-TRS-12312024.pdf" TargetMode="External"/><Relationship Id="rId1070" Type="http://schemas.openxmlformats.org/officeDocument/2006/relationships/hyperlink" Target="http://www.sulphuric-acid.com/Sulphuric-Acid-on-the-Web/Acid%20Plants/CornerstoneChemical-Fortier.htm" TargetMode="External"/><Relationship Id="rId1529" Type="http://schemas.openxmlformats.org/officeDocument/2006/relationships/hyperlink" Target="https://minedocs.com/21/Doe_Run-History_of_Mining-2008.pdf" TargetMode="External"/><Relationship Id="rId28" Type="http://schemas.openxmlformats.org/officeDocument/2006/relationships/hyperlink" Target="https://www.equinoxgold.com/news/equinox-gold-completes-acquisition-of-the-mesquite-gold-mine-in-california/" TargetMode="External"/><Relationship Id="rId300" Type="http://schemas.openxmlformats.org/officeDocument/2006/relationships/hyperlink" Target="https://arcosaspecialtymaterials.com/location-cyril-ok-mine-2/" TargetMode="External"/><Relationship Id="rId538" Type="http://schemas.openxmlformats.org/officeDocument/2006/relationships/hyperlink" Target="https://pubs.usgs.gov/myb/vol1/2021/myb1-2021-copper.pdf" TargetMode="External"/><Relationship Id="rId745" Type="http://schemas.openxmlformats.org/officeDocument/2006/relationships/hyperlink" Target="https://doerun.com/what-we-do/mining-milling/" TargetMode="External"/><Relationship Id="rId952" Type="http://schemas.openxmlformats.org/officeDocument/2006/relationships/hyperlink" Target="https://www.whiterivernow.com/2024/11/05/arkansas-lime-company-celebrates-100th-year-at-limedale/" TargetMode="External"/><Relationship Id="rId1168" Type="http://schemas.openxmlformats.org/officeDocument/2006/relationships/hyperlink" Target="https://imperialgp.com/our-companies/" TargetMode="External"/><Relationship Id="rId1375" Type="http://schemas.openxmlformats.org/officeDocument/2006/relationships/hyperlink" Target="https://www.sabinmetal.com/locations/sabin-metal-west-corporation" TargetMode="External"/><Relationship Id="rId81" Type="http://schemas.openxmlformats.org/officeDocument/2006/relationships/hyperlink" Target="https://www.michigansugar.com/about-us/locations/" TargetMode="External"/><Relationship Id="rId177" Type="http://schemas.openxmlformats.org/officeDocument/2006/relationships/hyperlink" Target="https://nam.org/pentagon-korea-zinc-partner-on-tennessee-mineral-smelter-35425/?stream=series-input-stories" TargetMode="External"/><Relationship Id="rId384" Type="http://schemas.openxmlformats.org/officeDocument/2006/relationships/hyperlink" Target="https://s28.q4cdn.com/607153883/files/doc_financials/2023/ar/22a5383e-3bd9-44c0-a3a0-46ea1482496a.pdf" TargetMode="External"/><Relationship Id="rId591" Type="http://schemas.openxmlformats.org/officeDocument/2006/relationships/hyperlink" Target="https://minedocs.com/21/CoeurMiningInc_Rochester_TechnicalReport_Dec16_2020.pdf" TargetMode="External"/><Relationship Id="rId605" Type="http://schemas.openxmlformats.org/officeDocument/2006/relationships/hyperlink" Target="https://borealismining.com/wp-content/uploads/2024/10/Borealis_NI43101_Report.pdf" TargetMode="External"/><Relationship Id="rId812" Type="http://schemas.openxmlformats.org/officeDocument/2006/relationships/hyperlink" Target="https://www.cirbasolutions.com/cirba-solutions-expands-ohio-lithium-ion-processing-facility/?srsltid=AfmBOopefissdZd2B6QqfC62EnSVGAA05EsaU_B2WcsWZsF7d5_N0G5x" TargetMode="External"/><Relationship Id="rId1028" Type="http://schemas.openxmlformats.org/officeDocument/2006/relationships/hyperlink" Target="https://wp-integraresources-2024.s3.ca-central-1.amazonaws.com/media/2026/02/Integra-DeLamar-43-101-FS-Report-FINAL.pdf" TargetMode="External"/><Relationship Id="rId1235" Type="http://schemas.openxmlformats.org/officeDocument/2006/relationships/hyperlink" Target="https://www.stgeorgeutah.com/news/bureau-of-land-management-should-cedar-canyons-dry-creek-gypsum-mine-be-expanded/article_d770bd10-b1ab-11ef-88ba-bf283f91db26.html" TargetMode="External"/><Relationship Id="rId1442" Type="http://schemas.openxmlformats.org/officeDocument/2006/relationships/hyperlink" Target="https://www.pitandquarry.com/mlc-to-revamp-dolomitic-lime-site-in-missouri/" TargetMode="External"/><Relationship Id="rId244" Type="http://schemas.openxmlformats.org/officeDocument/2006/relationships/hyperlink" Target="https://makominingcorp.com/projects/usa/production/moss-mine/" TargetMode="External"/><Relationship Id="rId689" Type="http://schemas.openxmlformats.org/officeDocument/2006/relationships/hyperlink" Target="https://d9-wret.s3.us-west-2.amazonaws.com/assets/palladium/production/mineral-pubs/copper/240496.pdf" TargetMode="External"/><Relationship Id="rId896" Type="http://schemas.openxmlformats.org/officeDocument/2006/relationships/hyperlink" Target="https://minedocs.com/18/Stillwater-Operation-TRS-12312024.pdf" TargetMode="External"/><Relationship Id="rId1081" Type="http://schemas.openxmlformats.org/officeDocument/2006/relationships/hyperlink" Target="http://www.sulphuric-acid.com/Sulphuric-Acid-on-the-Web/Acid%20Plants/Rhodia%20-%20Dominguez.htm" TargetMode="External"/><Relationship Id="rId1302" Type="http://schemas.openxmlformats.org/officeDocument/2006/relationships/hyperlink" Target="https://multimetdev.com/wp-content/uploads/2020/06/CuMo_PEA_NI43-101_June-2-2020.pdf" TargetMode="External"/><Relationship Id="rId39" Type="http://schemas.openxmlformats.org/officeDocument/2006/relationships/hyperlink" Target="https://www.msha.gov/data-reports/statistics/mines/az/black-rock-mine" TargetMode="External"/><Relationship Id="rId451" Type="http://schemas.openxmlformats.org/officeDocument/2006/relationships/hyperlink" Target="https://pubs.usgs.gov/periodicals/mcs2022/mcs2022-bauxite-alumina.pdf" TargetMode="External"/><Relationship Id="rId549" Type="http://schemas.openxmlformats.org/officeDocument/2006/relationships/hyperlink" Target="https://www.aurubis.com/dam/jcr:a1012ca0-be19-4f6c-aac1-068d385d6e14/20250922_Factsheet%20Richmond.pdf" TargetMode="External"/><Relationship Id="rId756" Type="http://schemas.openxmlformats.org/officeDocument/2006/relationships/hyperlink" Target="https://minerals.nv.gov/uploadedFiles/mineralsnvgov/content/Programs/Mining/2022%20Metallic%20Production%20by%20mine.pdf" TargetMode="External"/><Relationship Id="rId1179" Type="http://schemas.openxmlformats.org/officeDocument/2006/relationships/hyperlink" Target="https://www.south32.net/docs/default-source/exchange-releases/hermosa-project-update-0x428e857ed5e3eb3f.pdf?sfvrsn=441372c7_0" TargetMode="External"/><Relationship Id="rId1386" Type="http://schemas.openxmlformats.org/officeDocument/2006/relationships/hyperlink" Target="https://www.basinelectric.com/About-Us/Organization/Subsidiaries/Wyoming-Lime-Producers/" TargetMode="External"/><Relationship Id="rId104" Type="http://schemas.openxmlformats.org/officeDocument/2006/relationships/hyperlink" Target="https://ir.hecla.com/Investors/annual-reports-filings/sec-filings-details/default.aspx?FilingId=19156252" TargetMode="External"/><Relationship Id="rId188" Type="http://schemas.openxmlformats.org/officeDocument/2006/relationships/hyperlink" Target="https://investors.oceanagold.com/2023-02-21-OceanaGold-Reports-Full-Year-2022-Financial-Results" TargetMode="External"/><Relationship Id="rId311" Type="http://schemas.openxmlformats.org/officeDocument/2006/relationships/hyperlink" Target="https://www.hoskinsent.com/solutions" TargetMode="External"/><Relationship Id="rId395" Type="http://schemas.openxmlformats.org/officeDocument/2006/relationships/hyperlink" Target="https://www.recyclingtoday.com/news/metallix-usa-sibanye-stillwater-south-africa-acquisition-gold-silver-platinum-recycling/" TargetMode="External"/><Relationship Id="rId409" Type="http://schemas.openxmlformats.org/officeDocument/2006/relationships/hyperlink" Target="https://www.riotinto.com/en/invest/invest-archive" TargetMode="External"/><Relationship Id="rId963" Type="http://schemas.openxmlformats.org/officeDocument/2006/relationships/hyperlink" Target="https://www.certainteed.com/about-us/locations" TargetMode="External"/><Relationship Id="rId1039" Type="http://schemas.openxmlformats.org/officeDocument/2006/relationships/hyperlink" Target="https://comstock.inc/press-release/comstock-metals-awarded-tax-abatement-from-the-nevada-governors-office-of-economic-development/" TargetMode="External"/><Relationship Id="rId1246" Type="http://schemas.openxmlformats.org/officeDocument/2006/relationships/hyperlink" Target="https://miningdataonline.com/property/639/Rawhide-Mine.aspx" TargetMode="External"/><Relationship Id="rId92" Type="http://schemas.openxmlformats.org/officeDocument/2006/relationships/hyperlink" Target="https://www.capitaliq.spglobal.com/apisv3/spg-webplatform-core/metalsAndMiningProperty/profile?ID=33492" TargetMode="External"/><Relationship Id="rId616" Type="http://schemas.openxmlformats.org/officeDocument/2006/relationships/hyperlink" Target="https://www.sec.gov/Archives/edgar/data/831259/000083125922000009/fcx-20211231.htm" TargetMode="External"/><Relationship Id="rId823" Type="http://schemas.openxmlformats.org/officeDocument/2006/relationships/hyperlink" Target="https://www.recyclingtoday.com/news/li-cycle-opens-alabama-spoke-lithium-ion-battery-recycling/" TargetMode="External"/><Relationship Id="rId1453" Type="http://schemas.openxmlformats.org/officeDocument/2006/relationships/hyperlink" Target="https://d9-wret.s3.us-west-2.amazonaws.com/assets/palladium/production/mineral-pubs/magnesium/401496.pdf" TargetMode="External"/><Relationship Id="rId255" Type="http://schemas.openxmlformats.org/officeDocument/2006/relationships/hyperlink" Target="https://minedocs.com/24/Pan-TR-12312022.pdf" TargetMode="External"/><Relationship Id="rId462" Type="http://schemas.openxmlformats.org/officeDocument/2006/relationships/hyperlink" Target="https://miningdataonline.com/property/10/Golden-Sunlight-Mine.aspx" TargetMode="External"/><Relationship Id="rId1092" Type="http://schemas.openxmlformats.org/officeDocument/2006/relationships/hyperlink" Target="https://investor.materion.com/news/news-details/2022/Materion-Announces-20M-in-Investments-in-Massachusetts-Facility-to-Expand-Capacity-for-the-Semiconductor-Industry/default.aspx" TargetMode="External"/><Relationship Id="rId1106" Type="http://schemas.openxmlformats.org/officeDocument/2006/relationships/hyperlink" Target="https://iperionx.com/wp-content/uploads/2022/07/Scoping-Study-June-30.pdf" TargetMode="External"/><Relationship Id="rId1313" Type="http://schemas.openxmlformats.org/officeDocument/2006/relationships/hyperlink" Target="https://www.spglobal.com/energy/en/news-research/latest-news/crude-oil/082520-usgc-calcined-petcoke-producers-close-plants-as-hurricane-laura-approaches" TargetMode="External"/><Relationship Id="rId1397" Type="http://schemas.openxmlformats.org/officeDocument/2006/relationships/hyperlink" Target="https://www.linkedin.com/company/gypsum-resources" TargetMode="External"/><Relationship Id="rId1520" Type="http://schemas.openxmlformats.org/officeDocument/2006/relationships/hyperlink" Target="https://orlamining.com/news/orla-announces-results-of-updated-feasibility-study-for-south-railroad-project/" TargetMode="External"/><Relationship Id="rId115" Type="http://schemas.openxmlformats.org/officeDocument/2006/relationships/hyperlink" Target="https://www.recyclingtoday.com/news/sibanye-stillwater-group-integrates-recently-acquired-abington-reldan-metals-llc/" TargetMode="External"/><Relationship Id="rId322" Type="http://schemas.openxmlformats.org/officeDocument/2006/relationships/hyperlink" Target="https://petelien.com/locations/" TargetMode="External"/><Relationship Id="rId767" Type="http://schemas.openxmlformats.org/officeDocument/2006/relationships/hyperlink" Target="https://ecobat.com/location/ecobat-resources-indiana-indianapolis/" TargetMode="External"/><Relationship Id="rId974" Type="http://schemas.openxmlformats.org/officeDocument/2006/relationships/hyperlink" Target="https://www.carmeuse.com/eu-en/products-map/348" TargetMode="External"/><Relationship Id="rId199" Type="http://schemas.openxmlformats.org/officeDocument/2006/relationships/hyperlink" Target="https://miningrecord.com/santa-fe-gold-acquires-fully-permitted-billali-jim-crow-and-imperial-mines/" TargetMode="External"/><Relationship Id="rId627" Type="http://schemas.openxmlformats.org/officeDocument/2006/relationships/hyperlink" Target="https://minedocs.com/19/Sunshine-PEA-01172020.pdf" TargetMode="External"/><Relationship Id="rId834" Type="http://schemas.openxmlformats.org/officeDocument/2006/relationships/hyperlink" Target="https://www.standardlithium.com/projects/smackover/south-west-arkansas/" TargetMode="External"/><Relationship Id="rId1257" Type="http://schemas.openxmlformats.org/officeDocument/2006/relationships/hyperlink" Target="https://ritcheymetals.com/company/facilities/" TargetMode="External"/><Relationship Id="rId1464" Type="http://schemas.openxmlformats.org/officeDocument/2006/relationships/hyperlink" Target="https://www.linwoodmining.com/" TargetMode="External"/><Relationship Id="rId266" Type="http://schemas.openxmlformats.org/officeDocument/2006/relationships/hyperlink" Target="https://www.kinterracapital.com/portfolio/pumpkin-hollow-copper" TargetMode="External"/><Relationship Id="rId473" Type="http://schemas.openxmlformats.org/officeDocument/2006/relationships/hyperlink" Target="https://pubs.usgs.gov/myb/vol1/2022/myb1-2022-titanium.pdf" TargetMode="External"/><Relationship Id="rId680" Type="http://schemas.openxmlformats.org/officeDocument/2006/relationships/hyperlink" Target="https://geostatsystems.com/documents/NI43-101_TR_Integrated-Feasibility-Study_Pumpkin-Hollow-Project_July092015.pdf" TargetMode="External"/><Relationship Id="rId901" Type="http://schemas.openxmlformats.org/officeDocument/2006/relationships/hyperlink" Target="https://metalor.com/wp-content/uploads/2020/06/Metalor-USA_LBMA-Gold_Audit-report_2020_without-annex.pdf" TargetMode="External"/><Relationship Id="rId1117" Type="http://schemas.openxmlformats.org/officeDocument/2006/relationships/hyperlink" Target="https://www.energyfuels.com/pinyon-plain-mine/" TargetMode="External"/><Relationship Id="rId1324" Type="http://schemas.openxmlformats.org/officeDocument/2006/relationships/hyperlink" Target="https://www.spglobal.com/ratings/es/regulatory/article/-/view/type/HTML/id/3283221" TargetMode="External"/><Relationship Id="rId1531" Type="http://schemas.openxmlformats.org/officeDocument/2006/relationships/hyperlink" Target="https://minedocs.com/17/TennesseeMines_Fact_Sheet_072017.pdf" TargetMode="External"/><Relationship Id="rId30" Type="http://schemas.openxmlformats.org/officeDocument/2006/relationships/hyperlink" Target="https://www.mass.gov/news/attorney-generals-office-announces-proposed-settlement-with-minerals-processing-facility-in-the-town-of-adams-over-alleged-state-and-federal-environmental-violations" TargetMode="External"/><Relationship Id="rId126" Type="http://schemas.openxmlformats.org/officeDocument/2006/relationships/hyperlink" Target="https://goldresourcecorp.com/site/assets/files/6493/sk1300_b40_gold_resource_corp_filed_10_27_2023.pdf" TargetMode="External"/><Relationship Id="rId333" Type="http://schemas.openxmlformats.org/officeDocument/2006/relationships/hyperlink" Target="https://www.usg.com/en-US/about-usg/locations/manufacturing-plants" TargetMode="External"/><Relationship Id="rId540" Type="http://schemas.openxmlformats.org/officeDocument/2006/relationships/hyperlink" Target="https://pubs.usgs.gov/myb/vol1/2021/myb1-2021-copper.pdf" TargetMode="External"/><Relationship Id="rId778" Type="http://schemas.openxmlformats.org/officeDocument/2006/relationships/hyperlink" Target="https://response.epa.gov/site/site_profile.aspx?site_id=14697" TargetMode="External"/><Relationship Id="rId985" Type="http://schemas.openxmlformats.org/officeDocument/2006/relationships/hyperlink" Target="https://www.graymont.com/locations/" TargetMode="External"/><Relationship Id="rId1170" Type="http://schemas.openxmlformats.org/officeDocument/2006/relationships/hyperlink" Target="https://d9-wret.s3.us-west-2.amazonaws.com/assets/palladium/production/mineral-pubs/aluminum/myb1-2009-alumi.pdf" TargetMode="External"/><Relationship Id="rId638" Type="http://schemas.openxmlformats.org/officeDocument/2006/relationships/hyperlink" Target="https://s203.q4cdn.com/782025361/files/doc_financials/2022/ar/2022-Annual-Report.pdf" TargetMode="External"/><Relationship Id="rId845" Type="http://schemas.openxmlformats.org/officeDocument/2006/relationships/hyperlink" Target="https://www.fpiwv.com/" TargetMode="External"/><Relationship Id="rId1030" Type="http://schemas.openxmlformats.org/officeDocument/2006/relationships/hyperlink" Target="https://pubs.usgs.gov/myb/vol1/2022/myb1-2022-selenium-tellurium.pdf" TargetMode="External"/><Relationship Id="rId1268" Type="http://schemas.openxmlformats.org/officeDocument/2006/relationships/hyperlink" Target="https://minedocs.com/23/NorthMet-FS-12302022.pdf" TargetMode="External"/><Relationship Id="rId1475" Type="http://schemas.openxmlformats.org/officeDocument/2006/relationships/hyperlink" Target="https://minedocs.com/12/Shafter_PEA_07112018.pdf" TargetMode="External"/><Relationship Id="rId277" Type="http://schemas.openxmlformats.org/officeDocument/2006/relationships/hyperlink" Target="https://bunkerhillmining.com/news-and-media/news-releases/bunker-hill-announces-prefeasibility-study-for-first-phase-of-mine-restart" TargetMode="External"/><Relationship Id="rId400" Type="http://schemas.openxmlformats.org/officeDocument/2006/relationships/hyperlink" Target="https://www.resource-capital.ch/en/news/view/sibanye-stillwater-to-acquire-reldan-a-us-based-metals-recycler-enhancing-its-exposure-to-the-circular-economy/" TargetMode="External"/><Relationship Id="rId484" Type="http://schemas.openxmlformats.org/officeDocument/2006/relationships/hyperlink" Target="https://pubs.usgs.gov/myb/vol1/2021/myb1-2021-tungsten.pdf" TargetMode="External"/><Relationship Id="rId705" Type="http://schemas.openxmlformats.org/officeDocument/2006/relationships/hyperlink" Target="https://www.sglcarbon.com/news/user-upload/SGL_Carbon_AR_2024_EN_s.pdf" TargetMode="External"/><Relationship Id="rId1128" Type="http://schemas.openxmlformats.org/officeDocument/2006/relationships/hyperlink" Target="https://www.uraniumenergy.com/projects/wyoming/" TargetMode="External"/><Relationship Id="rId1335" Type="http://schemas.openxmlformats.org/officeDocument/2006/relationships/hyperlink" Target="file:///C:\Users\tmobrien\OneDrive%20-%20DOI\old%20Desktop\facilities\transatlantic%20mining%20corp%20PEA.pdf" TargetMode="External"/><Relationship Id="rId1542" Type="http://schemas.openxmlformats.org/officeDocument/2006/relationships/hyperlink" Target="https://pubs.usgs.gov/myb/vol1/2019/myb1-2019-boron.pdf" TargetMode="External"/><Relationship Id="rId137" Type="http://schemas.openxmlformats.org/officeDocument/2006/relationships/hyperlink" Target="https://minedocs.com/21/CastleMountain_FS_02262021.pdf" TargetMode="External"/><Relationship Id="rId344" Type="http://schemas.openxmlformats.org/officeDocument/2006/relationships/hyperlink" Target="https://fintel.io/doc/sec-freeport-mcmoran-inc-831259-10k-2023-february-15-19403-5016" TargetMode="External"/><Relationship Id="rId691" Type="http://schemas.openxmlformats.org/officeDocument/2006/relationships/hyperlink" Target="https://fintel.io/doc/sec-freeport-mcmoran-inc-831259-10k-2023-february-15-19403-5016" TargetMode="External"/><Relationship Id="rId789" Type="http://schemas.openxmlformats.org/officeDocument/2006/relationships/hyperlink" Target="https://s203.q4cdn.com/835901927/files/doc_financials/2023/ar/NewLAC-ThackerPassFeasibilityStudyNI43-101-October2023.pdf" TargetMode="External"/><Relationship Id="rId912" Type="http://schemas.openxmlformats.org/officeDocument/2006/relationships/hyperlink" Target="https://www.hooverandstrong.com/landing/Refining" TargetMode="External"/><Relationship Id="rId996" Type="http://schemas.openxmlformats.org/officeDocument/2006/relationships/hyperlink" Target="https://www.lime.org/find-a-lime-plant/?startrow=2" TargetMode="External"/><Relationship Id="rId41" Type="http://schemas.openxmlformats.org/officeDocument/2006/relationships/hyperlink" Target="https://www.pitandquarry.com/mlc-to-revamp-dolomitic-lime-site-in-missouri/" TargetMode="External"/><Relationship Id="rId551" Type="http://schemas.openxmlformats.org/officeDocument/2006/relationships/hyperlink" Target="https://minedocs.com/17/FactSheetCLARKSVILLE2016.pdf" TargetMode="External"/><Relationship Id="rId649" Type="http://schemas.openxmlformats.org/officeDocument/2006/relationships/hyperlink" Target="https://pubs.usgs.gov/myb/vol1/2019/myb1-2019-cadmium.pdf" TargetMode="External"/><Relationship Id="rId856" Type="http://schemas.openxmlformats.org/officeDocument/2006/relationships/hyperlink" Target="https://19january2017snapshot.epa.gov/hwcorrectiveactionsites/hazardous-waste-cleanup-international-metals-reclamation-company-formerly_.html" TargetMode="External"/><Relationship Id="rId1181" Type="http://schemas.openxmlformats.org/officeDocument/2006/relationships/hyperlink" Target="https://www.south32.net/docs/default-source/exchange-releases/hermosa-project-update-0x428e857ed5e3eb3f.pdf?sfvrsn=441372c7_0" TargetMode="External"/><Relationship Id="rId1279" Type="http://schemas.openxmlformats.org/officeDocument/2006/relationships/hyperlink" Target="https://www.sec.gov/Archives/edgar/data/1041548/000114420408031546/v115478_ex99-1.htm" TargetMode="External"/><Relationship Id="rId1402" Type="http://schemas.openxmlformats.org/officeDocument/2006/relationships/hyperlink" Target="https://www.mlc.com/locations/" TargetMode="External"/><Relationship Id="rId1486" Type="http://schemas.openxmlformats.org/officeDocument/2006/relationships/hyperlink" Target="https://www.mininggazette.com/news/front-page/2025/12/eagle-mine-sold/" TargetMode="External"/><Relationship Id="rId190" Type="http://schemas.openxmlformats.org/officeDocument/2006/relationships/hyperlink" Target="https://www.westvaultmining.com/hasbrouck-gold-project/pre-feasibility-study/" TargetMode="External"/><Relationship Id="rId204" Type="http://schemas.openxmlformats.org/officeDocument/2006/relationships/hyperlink" Target="https://www.firstmajestic.com/projects/exploration-development/jerritt-canyon/" TargetMode="External"/><Relationship Id="rId288" Type="http://schemas.openxmlformats.org/officeDocument/2006/relationships/hyperlink" Target="https://mshascan.com/mine/republic-pit-south-3400256" TargetMode="External"/><Relationship Id="rId411" Type="http://schemas.openxmlformats.org/officeDocument/2006/relationships/hyperlink" Target="https://www.google.com/url?sa=t&amp;rct=j&amp;q=&amp;esrc=s&amp;source=web&amp;cd=&amp;ved=2ahUKEwjM_7GazP6PAxUhQzABHaeDEB0QFnoECBoQAQ&amp;url=https%3A%2F%2Fwww.world-nuclear-news.org%2FArticles%2FNew-mine-in-Utah-nears-production&amp;usg=AOvVaw3AJVROWgk8wlrYg_UgSV_K&amp;opi=89978449" TargetMode="External"/><Relationship Id="rId509" Type="http://schemas.openxmlformats.org/officeDocument/2006/relationships/hyperlink" Target="https://pubs.usgs.gov/myb/vol1/2022/myb1-2022-barite.pdf" TargetMode="External"/><Relationship Id="rId1041" Type="http://schemas.openxmlformats.org/officeDocument/2006/relationships/hyperlink" Target="https://storage.mfn.se/937e65eb-ca32-4b69-a3d8-fcd5b72ea43b/rec-silicon-annual-report-2024.pdf" TargetMode="External"/><Relationship Id="rId1139" Type="http://schemas.openxmlformats.org/officeDocument/2006/relationships/hyperlink" Target="https://encoreuranium.com/wp-content/uploads/2025/03/Dewey-Burdock-2024-S-K-1300-Technical-Report-Summary_ROpt.pdf" TargetMode="External"/><Relationship Id="rId1346" Type="http://schemas.openxmlformats.org/officeDocument/2006/relationships/hyperlink" Target="https://minedocs.com/28/Mountain-Pass-TR-10012024.pdf" TargetMode="External"/><Relationship Id="rId495" Type="http://schemas.openxmlformats.org/officeDocument/2006/relationships/hyperlink" Target="https://pubs.usgs.gov/myb/vol1/2018/myb1-2018-zinc.pdf" TargetMode="External"/><Relationship Id="rId716" Type="http://schemas.openxmlformats.org/officeDocument/2006/relationships/hyperlink" Target="https://pubs.usgs.gov/myb/vol1/2021/myb1-2021-zirconium-hafnium.pdf" TargetMode="External"/><Relationship Id="rId923" Type="http://schemas.openxmlformats.org/officeDocument/2006/relationships/hyperlink" Target="https://matthey.com/documents/d/guest/jm-inc-rppg-compliance-report-fy2024-25-2-pdf" TargetMode="External"/><Relationship Id="rId52" Type="http://schemas.openxmlformats.org/officeDocument/2006/relationships/hyperlink" Target="https://www.lime.org/find-a-lime-plant/?categories=&amp;pagenum=" TargetMode="External"/><Relationship Id="rId148" Type="http://schemas.openxmlformats.org/officeDocument/2006/relationships/hyperlink" Target="https://www.montanaresources.com/about/" TargetMode="External"/><Relationship Id="rId355" Type="http://schemas.openxmlformats.org/officeDocument/2006/relationships/hyperlink" Target="https://bunkerhillmining.com/news-and-media/news-releases/bunker-hill-announces-prefeasibility-study-for-first-phase-of-mine-restart" TargetMode="External"/><Relationship Id="rId562" Type="http://schemas.openxmlformats.org/officeDocument/2006/relationships/hyperlink" Target="https://www.metalcenternews.com/editorial/current-issue/red-metal-report/44922" TargetMode="External"/><Relationship Id="rId1192" Type="http://schemas.openxmlformats.org/officeDocument/2006/relationships/hyperlink" Target="https://www.i80gold.com/wp-content/uploads/2025/03/Granite-Creek-PEA-Technical-Report-Final-03_31_25.pdf" TargetMode="External"/><Relationship Id="rId1206" Type="http://schemas.openxmlformats.org/officeDocument/2006/relationships/hyperlink" Target="https://minedocs.com/21/PintoValley_TR_06112021.pdf" TargetMode="External"/><Relationship Id="rId1413" Type="http://schemas.openxmlformats.org/officeDocument/2006/relationships/hyperlink" Target="https://www.sugarproducer.com/2024/05/update-sidney-sugars-incorporated-to" TargetMode="External"/><Relationship Id="rId215" Type="http://schemas.openxmlformats.org/officeDocument/2006/relationships/hyperlink" Target="https://operations.newmont.com/united-states/nevada-usa" TargetMode="External"/><Relationship Id="rId422" Type="http://schemas.openxmlformats.org/officeDocument/2006/relationships/hyperlink" Target="https://www.e-mj.com/news/us-and-canada/cameco-begins-production-at-north-butte/" TargetMode="External"/><Relationship Id="rId867" Type="http://schemas.openxmlformats.org/officeDocument/2006/relationships/hyperlink" Target="https://www.mining.com/electric-metals-stock-nearly-triples-on-north-star-manganese-pea/" TargetMode="External"/><Relationship Id="rId1052" Type="http://schemas.openxmlformats.org/officeDocument/2006/relationships/hyperlink" Target="http://www.sulphuric-acid.com/Sulphuric-Acid-on-the-Web/Acid%20Plants/Chemtrade%20-%20Cairo.htm" TargetMode="External"/><Relationship Id="rId1497" Type="http://schemas.openxmlformats.org/officeDocument/2006/relationships/hyperlink" Target="https://www.mininggazette.com/news/front-page/2025/12/eagle-mine-sold/" TargetMode="External"/><Relationship Id="rId299" Type="http://schemas.openxmlformats.org/officeDocument/2006/relationships/hyperlink" Target="https://arcosaspecialtymaterials.com/location-cyril-ok-mine-2/" TargetMode="External"/><Relationship Id="rId727" Type="http://schemas.openxmlformats.org/officeDocument/2006/relationships/hyperlink" Target="https://pubs.usgs.gov/myb/vol1/2023/myb1-2023-helium.pdf" TargetMode="External"/><Relationship Id="rId934" Type="http://schemas.openxmlformats.org/officeDocument/2006/relationships/hyperlink" Target="https://itafos.com/site/assets/files/2139/itafos-2022-aif-03-22-2023-ac-vfinal.pdf" TargetMode="External"/><Relationship Id="rId1357" Type="http://schemas.openxmlformats.org/officeDocument/2006/relationships/hyperlink" Target="https://www.reecycleinc.com/restart-demonstration-plant" TargetMode="External"/><Relationship Id="rId63" Type="http://schemas.openxmlformats.org/officeDocument/2006/relationships/hyperlink" Target="https://www.amalgamatedsugar.com/nampa-factory/" TargetMode="External"/><Relationship Id="rId159" Type="http://schemas.openxmlformats.org/officeDocument/2006/relationships/hyperlink" Target="https://integraresources.com/asset/florida-canyon-mine/" TargetMode="External"/><Relationship Id="rId366" Type="http://schemas.openxmlformats.org/officeDocument/2006/relationships/hyperlink" Target="https://www.accessnewswire.com/newsroom/en/metals-and-mining/cotec-holdings-corp.-investment-magiron-secures-potentially-significant-iron-ore-f-862969" TargetMode="External"/><Relationship Id="rId573" Type="http://schemas.openxmlformats.org/officeDocument/2006/relationships/hyperlink" Target="https://pubs.usgs.gov/myb/vol1/2022/myb1-2022-gold.pdf" TargetMode="External"/><Relationship Id="rId780" Type="http://schemas.openxmlformats.org/officeDocument/2006/relationships/hyperlink" Target="https://response.epa.gov/site/site_profile.aspx?site_id=14697" TargetMode="External"/><Relationship Id="rId1217" Type="http://schemas.openxmlformats.org/officeDocument/2006/relationships/hyperlink" Target="https://wp-integraresources-2024.s3.ca-central-1.amazonaws.com/media/2024/11/fcgv-2024-07-12-technical-report-ni-43-101-florida-canyon.pdf" TargetMode="External"/><Relationship Id="rId1424" Type="http://schemas.openxmlformats.org/officeDocument/2006/relationships/hyperlink" Target="https://www.westernsugar.com/who-we-are/our-facilities/scottsbluff-ne-manufacturing-facility/" TargetMode="External"/><Relationship Id="rId226" Type="http://schemas.openxmlformats.org/officeDocument/2006/relationships/hyperlink" Target="https://sunshinesilvermining.com/" TargetMode="External"/><Relationship Id="rId433" Type="http://schemas.openxmlformats.org/officeDocument/2006/relationships/hyperlink" Target="https://minerals.nv.gov/uploadedFiles/mineralsnvgov/content/Programs/Mining/2022%20Metallic%20Production%20by%20mine.pdf" TargetMode="External"/><Relationship Id="rId878" Type="http://schemas.openxmlformats.org/officeDocument/2006/relationships/hyperlink" Target="https://minedocs.com/18/Stillwater-Operation-TRS-12312024.pdf" TargetMode="External"/><Relationship Id="rId1063" Type="http://schemas.openxmlformats.org/officeDocument/2006/relationships/hyperlink" Target="http://www.sulphuric-acid.com/Sulphuric-Acid-on-the-Web/Acid%20Plants/Chemtrade%20-%20Beaumont.htm" TargetMode="External"/><Relationship Id="rId1270" Type="http://schemas.openxmlformats.org/officeDocument/2006/relationships/hyperlink" Target="https://minedocs.com/23/NorthMet-FS-12302022.pdf" TargetMode="External"/><Relationship Id="rId640" Type="http://schemas.openxmlformats.org/officeDocument/2006/relationships/hyperlink" Target="https://wcsecure.weblink.com.au/pdf/INR/02952628.pdf" TargetMode="External"/><Relationship Id="rId738" Type="http://schemas.openxmlformats.org/officeDocument/2006/relationships/hyperlink" Target="https://pubs.usgs.gov/myb/vol1/2023/myb1-2023-helium.pdf" TargetMode="External"/><Relationship Id="rId945" Type="http://schemas.openxmlformats.org/officeDocument/2006/relationships/hyperlink" Target="https://s205.q4cdn.com/697440571/files/doc_financials/2025/ar/Full-20F-final-accessibility.pdf" TargetMode="External"/><Relationship Id="rId1368" Type="http://schemas.openxmlformats.org/officeDocument/2006/relationships/hyperlink" Target="https://minedocs.com/26/Haile-TR-12312023.pdf" TargetMode="External"/><Relationship Id="rId74" Type="http://schemas.openxmlformats.org/officeDocument/2006/relationships/hyperlink" Target="https://www.lime.org/find-a-lime-plant/?startrow=2" TargetMode="External"/><Relationship Id="rId377" Type="http://schemas.openxmlformats.org/officeDocument/2006/relationships/hyperlink" Target="https://minedocs.com/28/Reward-FS-09032024.pdf" TargetMode="External"/><Relationship Id="rId500" Type="http://schemas.openxmlformats.org/officeDocument/2006/relationships/hyperlink" Target="https://www.vertiv.com/4afc22/globalassets/documents/battcon-static-assets/2017/secondary-lead-smelting-as-an-integral-part-of-battery-manufacturing.pdf" TargetMode="External"/><Relationship Id="rId584" Type="http://schemas.openxmlformats.org/officeDocument/2006/relationships/hyperlink" Target="https://s28.q4cdn.com/583965976/files/doc_multimedia/portfolios/wharf-2017.pdf" TargetMode="External"/><Relationship Id="rId805" Type="http://schemas.openxmlformats.org/officeDocument/2006/relationships/hyperlink" Target="https://atlaspolicy.com/wp-content/uploads/2025/05/Ascend-Elements-in-Hopkinsville-Case-Study.pdf" TargetMode="External"/><Relationship Id="rId1130" Type="http://schemas.openxmlformats.org/officeDocument/2006/relationships/hyperlink" Target="https://www.transatlanticminingcorp.com/wp-content/uploads/2026/01/26.01-Monitor_TR_Final.pdf" TargetMode="External"/><Relationship Id="rId1228" Type="http://schemas.openxmlformats.org/officeDocument/2006/relationships/hyperlink" Target="https://arcosaspecialtymaterials.com/location-cyril-ok-mine-2/" TargetMode="External"/><Relationship Id="rId1435" Type="http://schemas.openxmlformats.org/officeDocument/2006/relationships/hyperlink" Target="https://www.kgs.ku.edu/Publications/Bulletins/133/04_blaine.html" TargetMode="External"/><Relationship Id="rId5" Type="http://schemas.openxmlformats.org/officeDocument/2006/relationships/hyperlink" Target="https://makominingcorp.com/projects/usa/production/moss-mine/" TargetMode="External"/><Relationship Id="rId237" Type="http://schemas.openxmlformats.org/officeDocument/2006/relationships/hyperlink" Target="https://www.asarco.com/mines/" TargetMode="External"/><Relationship Id="rId791" Type="http://schemas.openxmlformats.org/officeDocument/2006/relationships/hyperlink" Target="https://americanbatterytechnology.com/projects/recycling-plant/" TargetMode="External"/><Relationship Id="rId889" Type="http://schemas.openxmlformats.org/officeDocument/2006/relationships/hyperlink" Target="https://minedocs.com/18/Stillwater-Operation-TRS-12312024.pdf" TargetMode="External"/><Relationship Id="rId1074" Type="http://schemas.openxmlformats.org/officeDocument/2006/relationships/hyperlink" Target="http://www.sulphuric-acid.com/sulphuric-acid-on-the-web/acid%20plants/Du%20Pont%20-%20Red%20Lion.htm" TargetMode="External"/><Relationship Id="rId444" Type="http://schemas.openxmlformats.org/officeDocument/2006/relationships/hyperlink" Target="https://www.riotinto.com/en/invest/invest-archive" TargetMode="External"/><Relationship Id="rId651" Type="http://schemas.openxmlformats.org/officeDocument/2006/relationships/hyperlink" Target="https://pubs.usgs.gov/myb/vol1/2019/myb1-2019-cadmium.pdf" TargetMode="External"/><Relationship Id="rId749" Type="http://schemas.openxmlformats.org/officeDocument/2006/relationships/hyperlink" Target="https://doerun.com/what-we-do/mining-milling/" TargetMode="External"/><Relationship Id="rId1281" Type="http://schemas.openxmlformats.org/officeDocument/2006/relationships/hyperlink" Target="https://ndep.nv.gov/uploads/documents/20241009TM_0096107_Factsheet_Midas_1.pdf" TargetMode="External"/><Relationship Id="rId1379" Type="http://schemas.openxmlformats.org/officeDocument/2006/relationships/hyperlink" Target="https://peprofessional.com/2022/06/aterian-becomes-the-king-of-zinc-with-combination-of-u-s-zinc-with-everzinc/" TargetMode="External"/><Relationship Id="rId1502" Type="http://schemas.openxmlformats.org/officeDocument/2006/relationships/hyperlink" Target="https://www.mininggazette.com/news/front-page/2025/12/eagle-mine-sold/" TargetMode="External"/><Relationship Id="rId290" Type="http://schemas.openxmlformats.org/officeDocument/2006/relationships/hyperlink" Target="https://permitting.mdaqmd.ca.gov/facility/view/3707" TargetMode="External"/><Relationship Id="rId304" Type="http://schemas.openxmlformats.org/officeDocument/2006/relationships/hyperlink" Target="https://www.basinelectric.com/About-Us/Organization/Subsidiaries/Wyoming-Lime-Producers/" TargetMode="External"/><Relationship Id="rId388" Type="http://schemas.openxmlformats.org/officeDocument/2006/relationships/hyperlink" Target="https://s203.q4cdn.com/782025361/files/doc_financials/2023/ar/materion-2023-annual-report.pdf" TargetMode="External"/><Relationship Id="rId511" Type="http://schemas.openxmlformats.org/officeDocument/2006/relationships/hyperlink" Target="https://pubs.usgs.gov/myb/vol1/2022/myb1-2022-barite.pdf" TargetMode="External"/><Relationship Id="rId609" Type="http://schemas.openxmlformats.org/officeDocument/2006/relationships/hyperlink" Target="https://www.i80gold.com/wp-content/uploads/2025/03/Granite-Creek-PEA-Technical-Report-Final-03_31_25.pdf" TargetMode="External"/><Relationship Id="rId956" Type="http://schemas.openxmlformats.org/officeDocument/2006/relationships/hyperlink" Target="https://www.msha.gov/data-reports/statistics/mines/az/black-rock-mine" TargetMode="External"/><Relationship Id="rId1141" Type="http://schemas.openxmlformats.org/officeDocument/2006/relationships/hyperlink" Target="https://www.western-uranium.com/_resources/presentations/corporate-presentation.pdf" TargetMode="External"/><Relationship Id="rId1239" Type="http://schemas.openxmlformats.org/officeDocument/2006/relationships/hyperlink" Target="https://goldresourcecorp.com/site/assets/files/6493/sk1300_b40_gold_resource_corp_filed_10_27_2023.pdf" TargetMode="External"/><Relationship Id="rId85" Type="http://schemas.openxmlformats.org/officeDocument/2006/relationships/hyperlink" Target="https://wp-integraresources-2024.s3.ca-central-1.amazonaws.com/media/2026/02/Integra-DeLamar-43-101-FS-Report-FINAL.pdf" TargetMode="External"/><Relationship Id="rId150" Type="http://schemas.openxmlformats.org/officeDocument/2006/relationships/hyperlink" Target="https://www.highlandcopper.com/wp-content/uploads/2024/01/Feasability-Study-Update-Copperwood.pdf" TargetMode="External"/><Relationship Id="rId595" Type="http://schemas.openxmlformats.org/officeDocument/2006/relationships/hyperlink" Target="https://s21.q4cdn.com/390685383/files/technical_reports/gold_bar/2021_Gold_Bar_Feasibility_Study.pdf" TargetMode="External"/><Relationship Id="rId816" Type="http://schemas.openxmlformats.org/officeDocument/2006/relationships/hyperlink" Target="https://www.cirbasolutions.com/cirba-solutions-selected-for-200-million-award-negotiations-for-critical-materials-refining/" TargetMode="External"/><Relationship Id="rId1001" Type="http://schemas.openxmlformats.org/officeDocument/2006/relationships/hyperlink" Target="https://www.rhimagnesita.com/north-america/" TargetMode="External"/><Relationship Id="rId1446" Type="http://schemas.openxmlformats.org/officeDocument/2006/relationships/hyperlink" Target="https://www.kinross.com/English/operations/default.aspx" TargetMode="External"/><Relationship Id="rId248" Type="http://schemas.openxmlformats.org/officeDocument/2006/relationships/hyperlink" Target="https://www.epa.gov/mn/polymet-now-newrange-copper-nickel-llc" TargetMode="External"/><Relationship Id="rId455" Type="http://schemas.openxmlformats.org/officeDocument/2006/relationships/hyperlink" Target="https://www.sec.gov/Archives/edgar/data/1041548/000114420408031546/v115478_ex99-1.htm" TargetMode="External"/><Relationship Id="rId662" Type="http://schemas.openxmlformats.org/officeDocument/2006/relationships/hyperlink" Target="https://www.fastmarkets.com/insights/korea-zincs-jpmorgan-backed-crucible-plant-to-focus-on-us-material/" TargetMode="External"/><Relationship Id="rId1085" Type="http://schemas.openxmlformats.org/officeDocument/2006/relationships/hyperlink" Target="https://ir.hecla.com/News--Media/news-releases/news-details/2026/Hecla-Reports-Fourth-Quarter-and-Full-Year-2025-Results/default.aspx" TargetMode="External"/><Relationship Id="rId1292" Type="http://schemas.openxmlformats.org/officeDocument/2006/relationships/hyperlink" Target="https://www.asarco.com/mines/" TargetMode="External"/><Relationship Id="rId1306" Type="http://schemas.openxmlformats.org/officeDocument/2006/relationships/hyperlink" Target="https://www.gem.wiki/Buchanan_1_Coal_Mine" TargetMode="External"/><Relationship Id="rId1513" Type="http://schemas.openxmlformats.org/officeDocument/2006/relationships/hyperlink" Target="https://www.newschannel10.com/2022/08/24/asarco-announced-indefinite-shutdown-amarillo-refinery-due-freight-costs-producing-rod/" TargetMode="External"/><Relationship Id="rId12" Type="http://schemas.openxmlformats.org/officeDocument/2006/relationships/hyperlink" Target="https://doerun.com/what-we-do/mining-milling/" TargetMode="External"/><Relationship Id="rId108" Type="http://schemas.openxmlformats.org/officeDocument/2006/relationships/hyperlink" Target="https://www.usantimony.com/uamy-production-facilities" TargetMode="External"/><Relationship Id="rId315" Type="http://schemas.openxmlformats.org/officeDocument/2006/relationships/hyperlink" Target="https://nationalgypsum.widen.net/view/pdf/k4sk3kqpuo/EVOLVE_X_Fire-Shield_Rotan_EPD11057_05-23-30.pdf?t.download=true&amp;u=vtetuw+pdf" TargetMode="External"/><Relationship Id="rId522" Type="http://schemas.openxmlformats.org/officeDocument/2006/relationships/hyperlink" Target="https://pubs.usgs.gov/myb/vol1/2022/myb1-2022-barite.pdf" TargetMode="External"/><Relationship Id="rId967" Type="http://schemas.openxmlformats.org/officeDocument/2006/relationships/hyperlink" Target="https://www.lime.org/find-a-lime-plant/?categories=58&amp;pagenum=" TargetMode="External"/><Relationship Id="rId1152" Type="http://schemas.openxmlformats.org/officeDocument/2006/relationships/hyperlink" Target="https://minedocs.com/25/Gibellini-TR-09272023.pdf" TargetMode="External"/><Relationship Id="rId96" Type="http://schemas.openxmlformats.org/officeDocument/2006/relationships/hyperlink" Target="https://ir.hecla.com/News--Media/news-releases/news-details/2026/Hecla-Reports-Fourth-Quarter-and-Full-Year-2025-Results/default.aspx" TargetMode="External"/><Relationship Id="rId161" Type="http://schemas.openxmlformats.org/officeDocument/2006/relationships/hyperlink" Target="https://doerun.com/what-we-do/mining-milling/" TargetMode="External"/><Relationship Id="rId399" Type="http://schemas.openxmlformats.org/officeDocument/2006/relationships/hyperlink" Target="https://www.resource-capital.ch/en/news/view/sibanye-stillwater-to-acquire-reldan-a-us-based-metals-recycler-enhancing-its-exposure-to-the-circular-economy/" TargetMode="External"/><Relationship Id="rId827" Type="http://schemas.openxmlformats.org/officeDocument/2006/relationships/hyperlink" Target="https://www.recyclingtoday.com/news/li-cycle-secures-100-percent-offtake-agreement-with-glencore-for-mhp/" TargetMode="External"/><Relationship Id="rId1012" Type="http://schemas.openxmlformats.org/officeDocument/2006/relationships/hyperlink" Target="https://peakminerals.com/wp-content/uploads/2025/06/2025.6.20-Peak-Minerals-Teaser.pdf" TargetMode="External"/><Relationship Id="rId1457" Type="http://schemas.openxmlformats.org/officeDocument/2006/relationships/hyperlink" Target="https://nhmu.utah.edu/sites/default/files/fact-sheets/NHMU%20fact%20sheet%20-%20LF.pdf" TargetMode="External"/><Relationship Id="rId259" Type="http://schemas.openxmlformats.org/officeDocument/2006/relationships/hyperlink" Target="https://minedocs.com/19/Phoenix-Fact-Sheet-10192021.pdf" TargetMode="External"/><Relationship Id="rId466" Type="http://schemas.openxmlformats.org/officeDocument/2006/relationships/hyperlink" Target="https://www.asahirefining.com/" TargetMode="External"/><Relationship Id="rId673" Type="http://schemas.openxmlformats.org/officeDocument/2006/relationships/hyperlink" Target="file:///C:\Users\tmobrien\OneDrive%20-%20DOI\old%20Desktop\facilities\Carlota.pdf" TargetMode="External"/><Relationship Id="rId880" Type="http://schemas.openxmlformats.org/officeDocument/2006/relationships/hyperlink" Target="https://minedocs.com/18/Stillwater-Operation-TRS-12312024.pdf" TargetMode="External"/><Relationship Id="rId1096" Type="http://schemas.openxmlformats.org/officeDocument/2006/relationships/hyperlink" Target="https://www.internationaltin.org/nathan-trotter-breaks-ground-on-us-tin-smelter/" TargetMode="External"/><Relationship Id="rId1317" Type="http://schemas.openxmlformats.org/officeDocument/2006/relationships/hyperlink" Target="https://www.suncoke.com/~/media/Files/S/Suncoke/documents/presentations/2024/sxc-q1-2024-updated-investor-presentation-v1.pdf" TargetMode="External"/><Relationship Id="rId1524" Type="http://schemas.openxmlformats.org/officeDocument/2006/relationships/hyperlink" Target="https://www.minerals.nv.gov/siteassets/content/programs/mining/2022_Metallic_Production_by_mine.pdf" TargetMode="External"/><Relationship Id="rId23" Type="http://schemas.openxmlformats.org/officeDocument/2006/relationships/hyperlink" Target="https://www.barrick.com/English/operations/nevada-gold-mines/default.aspx" TargetMode="External"/><Relationship Id="rId119" Type="http://schemas.openxmlformats.org/officeDocument/2006/relationships/hyperlink" Target="https://www.upr.org/utah-news/2025-12-02/this-secretive-refinery-makes-gold-utahs-biggest-export-and-its-expanding" TargetMode="External"/><Relationship Id="rId326" Type="http://schemas.openxmlformats.org/officeDocument/2006/relationships/hyperlink" Target="https://www.sugarproducer.com/2024/05/update-sidney-sugars-incorporated-to" TargetMode="External"/><Relationship Id="rId533" Type="http://schemas.openxmlformats.org/officeDocument/2006/relationships/hyperlink" Target="https://pubs.usgs.gov/myb/vol1/2022/myb1-2022-barite.pdf" TargetMode="External"/><Relationship Id="rId978" Type="http://schemas.openxmlformats.org/officeDocument/2006/relationships/hyperlink" Target="https://www.amalgamatedsugar.com/mini-cassia-factory/" TargetMode="External"/><Relationship Id="rId1163" Type="http://schemas.openxmlformats.org/officeDocument/2006/relationships/hyperlink" Target="https://www.steeldust.com/" TargetMode="External"/><Relationship Id="rId1370" Type="http://schemas.openxmlformats.org/officeDocument/2006/relationships/hyperlink" Target="https://www.ferroglobe.com/static-files/98064c31-754a-4c29-9f6f-38f1669a3445" TargetMode="External"/><Relationship Id="rId740" Type="http://schemas.openxmlformats.org/officeDocument/2006/relationships/hyperlink" Target="https://www.fcx.com/operations/north-america" TargetMode="External"/><Relationship Id="rId838" Type="http://schemas.openxmlformats.org/officeDocument/2006/relationships/hyperlink" Target="https://amacor.us/" TargetMode="External"/><Relationship Id="rId1023" Type="http://schemas.openxmlformats.org/officeDocument/2006/relationships/hyperlink" Target="https://titanintl.com/projects/rhenium/" TargetMode="External"/><Relationship Id="rId1468" Type="http://schemas.openxmlformats.org/officeDocument/2006/relationships/hyperlink" Target="https://ecm.idem.in.gov/cs/idcplg?IdcService=GET_FILE&amp;dID=83734269&amp;dDocName=83738312&amp;Rendition=web&amp;noSaveAs=1" TargetMode="External"/><Relationship Id="rId172" Type="http://schemas.openxmlformats.org/officeDocument/2006/relationships/hyperlink" Target="https://www.goldroadusa.com/about1" TargetMode="External"/><Relationship Id="rId477" Type="http://schemas.openxmlformats.org/officeDocument/2006/relationships/hyperlink" Target="https://pubs.usgs.gov/myb/vol1/2022/myb1-2022-titanium.pdf" TargetMode="External"/><Relationship Id="rId600" Type="http://schemas.openxmlformats.org/officeDocument/2006/relationships/hyperlink" Target="https://minedocs.com/20/Hycroft-Summary-Technical-Report-07312019.pdf" TargetMode="External"/><Relationship Id="rId684" Type="http://schemas.openxmlformats.org/officeDocument/2006/relationships/hyperlink" Target="https://tucson.com/news/local/mine-tales-ray-mining-district-has-history-of-more-than-a-century/article_5560fe20-f4c4-559f-8298-1c8be0b75c77.html" TargetMode="External"/><Relationship Id="rId1230" Type="http://schemas.openxmlformats.org/officeDocument/2006/relationships/hyperlink" Target="https://arcosaspecialtymaterials.com/location-cyril-ok-mine-2/" TargetMode="External"/><Relationship Id="rId1328" Type="http://schemas.openxmlformats.org/officeDocument/2006/relationships/hyperlink" Target="https://americas-gold.com/site/assets/files/6085/nr20260330b-1.pdf" TargetMode="External"/><Relationship Id="rId1535" Type="http://schemas.openxmlformats.org/officeDocument/2006/relationships/hyperlink" Target="https://pubs.usgs.gov/myb/vol1/2019/myb1-2019-molybdenum.pdf" TargetMode="External"/><Relationship Id="rId337" Type="http://schemas.openxmlformats.org/officeDocument/2006/relationships/hyperlink" Target="https://www.westernsugar.com/who-we-are/our-facilities/lovell-wy-manufacturing-facility/" TargetMode="External"/><Relationship Id="rId891" Type="http://schemas.openxmlformats.org/officeDocument/2006/relationships/hyperlink" Target="https://minedocs.com/18/Stillwater-Operation-TRS-12312024.pdf" TargetMode="External"/><Relationship Id="rId905" Type="http://schemas.openxmlformats.org/officeDocument/2006/relationships/hyperlink" Target="https://www.advchem.com/" TargetMode="External"/><Relationship Id="rId989" Type="http://schemas.openxmlformats.org/officeDocument/2006/relationships/hyperlink" Target="https://www.graymont.com/locations/" TargetMode="External"/><Relationship Id="rId34" Type="http://schemas.openxmlformats.org/officeDocument/2006/relationships/hyperlink" Target="https://pabcogypsum.com/" TargetMode="External"/><Relationship Id="rId544" Type="http://schemas.openxmlformats.org/officeDocument/2006/relationships/hyperlink" Target="https://pubs.usgs.gov/myb/vol1/2021/myb1-2021-copper.pdf" TargetMode="External"/><Relationship Id="rId751" Type="http://schemas.openxmlformats.org/officeDocument/2006/relationships/hyperlink" Target="https://mineraalamos.com/our-assets/gold-rock/" TargetMode="External"/><Relationship Id="rId849" Type="http://schemas.openxmlformats.org/officeDocument/2006/relationships/hyperlink" Target="https://pubs.usgs.gov/myb/vol1/2021/myb1-2021-selenium-tellurium.pdf" TargetMode="External"/><Relationship Id="rId1174" Type="http://schemas.openxmlformats.org/officeDocument/2006/relationships/hyperlink" Target="https://bluemoonmetals.com/project/blue-moon/" TargetMode="External"/><Relationship Id="rId1381" Type="http://schemas.openxmlformats.org/officeDocument/2006/relationships/hyperlink" Target="https://geoinfo.nmt.edu/resources/minerals/industrial/home.html" TargetMode="External"/><Relationship Id="rId1479" Type="http://schemas.openxmlformats.org/officeDocument/2006/relationships/hyperlink" Target="https://www.globenewswire.com/news-release/2024/09/12/2945625/0/en/centerra-gold-announces-thompson-creek-feasibility-study-results-and-strategic-plan-for-us-molybdenum-operations-including-a-restart-of-the-thompson-creek-mine-and-ramp-up-of-lange.html" TargetMode="External"/><Relationship Id="rId183" Type="http://schemas.openxmlformats.org/officeDocument/2006/relationships/hyperlink" Target="https://nam.org/pentagon-korea-zinc-partner-on-tennessee-mineral-smelter-35425/?stream=series-input-stories" TargetMode="External"/><Relationship Id="rId390" Type="http://schemas.openxmlformats.org/officeDocument/2006/relationships/hyperlink" Target="https://www.recyclingtoday.com/news/metallix-usa-sibanye-stillwater-south-africa-acquisition-gold-silver-platinum-recycling/" TargetMode="External"/><Relationship Id="rId404" Type="http://schemas.openxmlformats.org/officeDocument/2006/relationships/hyperlink" Target="https://www.uraniumenergy.com/_resources/reports/Burke_Hollow_43-101_12_14_17.pdf" TargetMode="External"/><Relationship Id="rId611" Type="http://schemas.openxmlformats.org/officeDocument/2006/relationships/hyperlink" Target="http://content.stockpr.com/pershinggold/files/pages/relief-canyon/technical-reports/Relief+Canyon_2015_Technical_Report_v8.pdf" TargetMode="External"/><Relationship Id="rId1034" Type="http://schemas.openxmlformats.org/officeDocument/2006/relationships/hyperlink" Target="https://www.fastmarkets.com/insights/ira-energy-transition-to-spur-western-silicon-metal-production/" TargetMode="External"/><Relationship Id="rId1241" Type="http://schemas.openxmlformats.org/officeDocument/2006/relationships/hyperlink" Target="https://miningrecord.com/santa-fe-gold-acquires-fully-permitted-billali-jim-crow-and-imperial-mines/" TargetMode="External"/><Relationship Id="rId1339" Type="http://schemas.openxmlformats.org/officeDocument/2006/relationships/hyperlink" Target="file:///C:\Users\tmobrien\OneDrive%20-%20DOI\old%20Desktop\facilities\Pinson%20PFS.pdf" TargetMode="External"/><Relationship Id="rId250" Type="http://schemas.openxmlformats.org/officeDocument/2006/relationships/hyperlink" Target="https://www.epa.gov/mn/polymet-now-newrange-copper-nickel-llc" TargetMode="External"/><Relationship Id="rId488" Type="http://schemas.openxmlformats.org/officeDocument/2006/relationships/hyperlink" Target="https://pubs.usgs.gov/myb/vol1/2021/myb1-2021-tungsten.pdf" TargetMode="External"/><Relationship Id="rId695" Type="http://schemas.openxmlformats.org/officeDocument/2006/relationships/hyperlink" Target="https://pubs.usgs.gov/myb/vol1/2022/myb1-2022-graphite.pdf" TargetMode="External"/><Relationship Id="rId709" Type="http://schemas.openxmlformats.org/officeDocument/2006/relationships/hyperlink" Target="https://pubs.usgs.gov/myb/vol1/2022/myb1-2022-titanium.pdf" TargetMode="External"/><Relationship Id="rId916" Type="http://schemas.openxmlformats.org/officeDocument/2006/relationships/hyperlink" Target="https://p2infohouse.org/ref/30/29778.pdf" TargetMode="External"/><Relationship Id="rId1101" Type="http://schemas.openxmlformats.org/officeDocument/2006/relationships/hyperlink" Target="https://appiancapitaladvisory.com/portfolio/asm/" TargetMode="External"/><Relationship Id="rId45" Type="http://schemas.openxmlformats.org/officeDocument/2006/relationships/hyperlink" Target="https://www.michigansugar.com/wp-content/uploads/2026/03/Lime-Program-Prices-and-Procedures.pdf" TargetMode="External"/><Relationship Id="rId110" Type="http://schemas.openxmlformats.org/officeDocument/2006/relationships/hyperlink" Target="https://www.usantimony.com/uamy-production-facilities" TargetMode="External"/><Relationship Id="rId348" Type="http://schemas.openxmlformats.org/officeDocument/2006/relationships/hyperlink" Target="https://western-uranium.com/reports/Technical_Report_Sunday_Mine_Complex.pdf" TargetMode="External"/><Relationship Id="rId555" Type="http://schemas.openxmlformats.org/officeDocument/2006/relationships/hyperlink" Target="https://resource-recycling.com/e-scrap/2022/05/25/the-strategy-behind-exurbans-us-smelter-project/" TargetMode="External"/><Relationship Id="rId762" Type="http://schemas.openxmlformats.org/officeDocument/2006/relationships/hyperlink" Target="https://pubs.usgs.gov/myb/vol1/2019/myb1-2019-lead.pdf" TargetMode="External"/><Relationship Id="rId1185" Type="http://schemas.openxmlformats.org/officeDocument/2006/relationships/hyperlink" Target="https://www.usantimony.com/uamy-production-facilities" TargetMode="External"/><Relationship Id="rId1392" Type="http://schemas.openxmlformats.org/officeDocument/2006/relationships/hyperlink" Target="https://aurisnoble.com/" TargetMode="External"/><Relationship Id="rId1406" Type="http://schemas.openxmlformats.org/officeDocument/2006/relationships/hyperlink" Target="https://www.newswire.ca/news-releases/fire-river-gold-corp-update-on-the-progress-of-the-nixon-fork-gold-mine-510247581.html" TargetMode="External"/><Relationship Id="rId194" Type="http://schemas.openxmlformats.org/officeDocument/2006/relationships/hyperlink" Target="https://minedocs.com/20/Hycroft-Summary-Technical-Report-07312019.pdf" TargetMode="External"/><Relationship Id="rId208" Type="http://schemas.openxmlformats.org/officeDocument/2006/relationships/hyperlink" Target="https://www.minerals.nv.gov/siteassets/content/programs/mining/2022_Metallic_Production_by_mine.pdf" TargetMode="External"/><Relationship Id="rId415" Type="http://schemas.openxmlformats.org/officeDocument/2006/relationships/hyperlink" Target="https://minedocs.com/24/Compass_Minerals-F10-K-2022.pdf" TargetMode="External"/><Relationship Id="rId622" Type="http://schemas.openxmlformats.org/officeDocument/2006/relationships/hyperlink" Target="https://www.fcx.com/sites/fcx/files/documents/operations/TRS-morenci.pdf" TargetMode="External"/><Relationship Id="rId1045" Type="http://schemas.openxmlformats.org/officeDocument/2006/relationships/hyperlink" Target="https://www.mlive.com/public-interest/2021/03/hidden-in-the-cornfields-michigan-has-its-own-little-silicon-valley.html" TargetMode="External"/><Relationship Id="rId1252" Type="http://schemas.openxmlformats.org/officeDocument/2006/relationships/hyperlink" Target="https://www.tasekomines.com/_resources/investors/technical_report_florence_copper_march_2023.pdf" TargetMode="External"/><Relationship Id="rId261" Type="http://schemas.openxmlformats.org/officeDocument/2006/relationships/hyperlink" Target="https://minedocs.com/19/Phoenix-Fact-Sheet-10192021.pdf" TargetMode="External"/><Relationship Id="rId499" Type="http://schemas.openxmlformats.org/officeDocument/2006/relationships/hyperlink" Target="https://www.vertiv.com/4afc22/globalassets/documents/battcon-static-assets/2017/secondary-lead-smelting-as-an-integral-part-of-battery-manufacturing.pdf" TargetMode="External"/><Relationship Id="rId927" Type="http://schemas.openxmlformats.org/officeDocument/2006/relationships/hyperlink" Target="https://www.sabinmetal.com/locations/main-plant-sales-office" TargetMode="External"/><Relationship Id="rId1112" Type="http://schemas.openxmlformats.org/officeDocument/2006/relationships/hyperlink" Target="https://energyfuels.com/wp-content/uploads/2025/01/REVISED-FINAL_SLR-Energy-Fuels-La-Sal-FINAL-Technical-Report-23-Feb-2022.pdf" TargetMode="External"/><Relationship Id="rId56" Type="http://schemas.openxmlformats.org/officeDocument/2006/relationships/hyperlink" Target="https://www.carmeuse.com/eu-en/products-map/348" TargetMode="External"/><Relationship Id="rId359" Type="http://schemas.openxmlformats.org/officeDocument/2006/relationships/hyperlink" Target="https://www.syrahresources.com.au/our-business/vidalia-active-anode-material-facility" TargetMode="External"/><Relationship Id="rId566" Type="http://schemas.openxmlformats.org/officeDocument/2006/relationships/hyperlink" Target="https://pubs.usgs.gov/myb/vol1/2022/myb1-2022-gallium.pdf" TargetMode="External"/><Relationship Id="rId773" Type="http://schemas.openxmlformats.org/officeDocument/2006/relationships/hyperlink" Target="https://harriscompany.com/projects/gopher-resource-smelter-battery-recycling-plant" TargetMode="External"/><Relationship Id="rId1196" Type="http://schemas.openxmlformats.org/officeDocument/2006/relationships/hyperlink" Target="https://www.montanaresources.com/about/" TargetMode="External"/><Relationship Id="rId1417" Type="http://schemas.openxmlformats.org/officeDocument/2006/relationships/hyperlink" Target="https://www.usg.com/en-US/about-usg/locations/manufacturing-plants" TargetMode="External"/><Relationship Id="rId121" Type="http://schemas.openxmlformats.org/officeDocument/2006/relationships/hyperlink" Target="https://www.amesgoldsmith.com/about-us/" TargetMode="External"/><Relationship Id="rId219" Type="http://schemas.openxmlformats.org/officeDocument/2006/relationships/hyperlink" Target="https://www.recyclingtoday.com/news/metallix-usa-sibanye-stillwater-south-africa-acquisition-gold-silver-platinum-recycling/" TargetMode="External"/><Relationship Id="rId426" Type="http://schemas.openxmlformats.org/officeDocument/2006/relationships/hyperlink" Target="https://minerals.nv.gov/uploadedFiles/mineralsnvgov/content/Programs/Mining/2022%20Metallic%20Production%20by%20mine.pdf" TargetMode="External"/><Relationship Id="rId633" Type="http://schemas.openxmlformats.org/officeDocument/2006/relationships/hyperlink" Target="https://www.sec.gov/Archives/edgar/data/1526243/000110465922069319/tm2217499d1_ex96-1.htm" TargetMode="External"/><Relationship Id="rId980" Type="http://schemas.openxmlformats.org/officeDocument/2006/relationships/hyperlink" Target="https://www.amalgamatedsugar.com/twin-falls-factory/" TargetMode="External"/><Relationship Id="rId1056" Type="http://schemas.openxmlformats.org/officeDocument/2006/relationships/hyperlink" Target="http://www.sulphuric-acid.com/Sulphuric-Acid-on-the-Web/Acid%20Plants/PCS%20Phosphates%20-%20Aurora.htm" TargetMode="External"/><Relationship Id="rId1263" Type="http://schemas.openxmlformats.org/officeDocument/2006/relationships/hyperlink" Target="https://minedocs.com/23/NorthMet-FS-12302022.pdf" TargetMode="External"/><Relationship Id="rId840" Type="http://schemas.openxmlformats.org/officeDocument/2006/relationships/hyperlink" Target="https://pubs.usgs.gov/myb/vol1/2022/myb1-2022-magnesium-metal.pdf" TargetMode="External"/><Relationship Id="rId938" Type="http://schemas.openxmlformats.org/officeDocument/2006/relationships/hyperlink" Target="https://fluoridealert.org/wp-content/uploads/phosphate.simplot-idaho.pdf" TargetMode="External"/><Relationship Id="rId1470" Type="http://schemas.openxmlformats.org/officeDocument/2006/relationships/hyperlink" Target="https://www.goldroyalty.com/portfolio/railroad-pinion/" TargetMode="External"/><Relationship Id="rId67" Type="http://schemas.openxmlformats.org/officeDocument/2006/relationships/hyperlink" Target="https://www.cheneylime.com/" TargetMode="External"/><Relationship Id="rId272" Type="http://schemas.openxmlformats.org/officeDocument/2006/relationships/hyperlink" Target="https://americas-gold.com/site/assets/files/6085/nr20260330b-1.pdf" TargetMode="External"/><Relationship Id="rId577" Type="http://schemas.openxmlformats.org/officeDocument/2006/relationships/hyperlink" Target="https://www.kinross.com/English/operations/default.aspx" TargetMode="External"/><Relationship Id="rId700" Type="http://schemas.openxmlformats.org/officeDocument/2006/relationships/hyperlink" Target="https://www.sec.gov/Archives/edgar/data/839470/000110465924107335/tm2425743d1_ex96-1.htm" TargetMode="External"/><Relationship Id="rId1123" Type="http://schemas.openxmlformats.org/officeDocument/2006/relationships/hyperlink" Target="https://www.prnewswire.com/news-releases/uranium-energy-corp-sweetwater-project-designated-by-us-government-for-fast-track-permitting-to-add-in-situ-recovery-capability-creating-the-largest-dual-feed-uranium-facility-in-the-us-302521478.html" TargetMode="External"/><Relationship Id="rId1330" Type="http://schemas.openxmlformats.org/officeDocument/2006/relationships/hyperlink" Target="https://solidus-resources.com/spring-valley-project/2025-feasibility-study/" TargetMode="External"/><Relationship Id="rId1428" Type="http://schemas.openxmlformats.org/officeDocument/2006/relationships/hyperlink" Target="https://pubs.usgs.gov/myb/vol1/2019/myb1-2019-titanium.pdf" TargetMode="External"/><Relationship Id="rId132" Type="http://schemas.openxmlformats.org/officeDocument/2006/relationships/hyperlink" Target="https://doerun.com/what-we-do/mining-milling/" TargetMode="External"/><Relationship Id="rId784" Type="http://schemas.openxmlformats.org/officeDocument/2006/relationships/hyperlink" Target="https://nfmetals.com/" TargetMode="External"/><Relationship Id="rId991" Type="http://schemas.openxmlformats.org/officeDocument/2006/relationships/hyperlink" Target="https://www.graymont.com/locations/" TargetMode="External"/><Relationship Id="rId1067" Type="http://schemas.openxmlformats.org/officeDocument/2006/relationships/hyperlink" Target="http://www.sulphuric-acid.com/Sulphuric-Acid-on-the-Web/Acid%20Plants/Chevron%20-%20Hawaii.htm" TargetMode="External"/><Relationship Id="rId437" Type="http://schemas.openxmlformats.org/officeDocument/2006/relationships/hyperlink" Target="https://minedocs.com/20/Hycroft-Summary-Technical-Report-07312019.pdf" TargetMode="External"/><Relationship Id="rId644" Type="http://schemas.openxmlformats.org/officeDocument/2006/relationships/hyperlink" Target="https://d9-wret.s3-us-west-2.amazonaws.com/assets/palladium/production/mineral-pubs/bromine/myb1-2016-bromi.pdf" TargetMode="External"/><Relationship Id="rId851" Type="http://schemas.openxmlformats.org/officeDocument/2006/relationships/hyperlink" Target="https://minedocs.com/18/Stillwater-Operation-TRS-12312024.pdf" TargetMode="External"/><Relationship Id="rId1274" Type="http://schemas.openxmlformats.org/officeDocument/2006/relationships/hyperlink" Target="https://minedocs.com/23/NorthMet-FS-12302022.pdf" TargetMode="External"/><Relationship Id="rId1481" Type="http://schemas.openxmlformats.org/officeDocument/2006/relationships/hyperlink" Target="https://grokipedia.com/page/sierrita_mine" TargetMode="External"/><Relationship Id="rId283" Type="http://schemas.openxmlformats.org/officeDocument/2006/relationships/hyperlink" Target="https://www.ferroglobe.com/static-files/98064c31-754a-4c29-9f6f-38f1669a3445" TargetMode="External"/><Relationship Id="rId490" Type="http://schemas.openxmlformats.org/officeDocument/2006/relationships/hyperlink" Target="https://amg-v.com/news/article/amg-advanced-metallurgical-group-n-v-completes-feasibility-study-to-expand-spent-catalyst-processing-capacity/" TargetMode="External"/><Relationship Id="rId504" Type="http://schemas.openxmlformats.org/officeDocument/2006/relationships/hyperlink" Target="https://www.fastmarkets.com/insights/befesa-produces-shg-from-recycled-zinc/" TargetMode="External"/><Relationship Id="rId711" Type="http://schemas.openxmlformats.org/officeDocument/2006/relationships/hyperlink" Target="https://www.chemours.com/en/about-chemours/global-reach/southern-ionics-minerals" TargetMode="External"/><Relationship Id="rId949" Type="http://schemas.openxmlformats.org/officeDocument/2006/relationships/hyperlink" Target="https://www.carmeuse.com/eu-en/products-map/358" TargetMode="External"/><Relationship Id="rId1134" Type="http://schemas.openxmlformats.org/officeDocument/2006/relationships/hyperlink" Target="https://ir.hecla.com/Investors/annual-reports-filings/sec-filings-details/default.aspx?FilingId=19156252" TargetMode="External"/><Relationship Id="rId1341" Type="http://schemas.openxmlformats.org/officeDocument/2006/relationships/hyperlink" Target="https://www.carusllc.com/" TargetMode="External"/><Relationship Id="rId78" Type="http://schemas.openxmlformats.org/officeDocument/2006/relationships/hyperlink" Target="https://www.linwoodmining.com/facilities/" TargetMode="External"/><Relationship Id="rId143" Type="http://schemas.openxmlformats.org/officeDocument/2006/relationships/hyperlink" Target="https://www.recyclingtoday.com/news/ecobat-lead-battery-recycling-plant-california-dtsc-permit-support/" TargetMode="External"/><Relationship Id="rId350" Type="http://schemas.openxmlformats.org/officeDocument/2006/relationships/hyperlink" Target="https://investors.mosaicco.com/financials/annual-reports/default.aspx" TargetMode="External"/><Relationship Id="rId588" Type="http://schemas.openxmlformats.org/officeDocument/2006/relationships/hyperlink" Target="https://www.fortitudegold.com/news/news-releases/fortitude-gold-reports-2022-net-income-of-147-million-725-all-in-sustaining-cost-and-increased-cash-balance-to-45-million" TargetMode="External"/><Relationship Id="rId795" Type="http://schemas.openxmlformats.org/officeDocument/2006/relationships/hyperlink" Target="https://americanbatterytechnology.com/press-release/american-battery-technology-company-publishes-milestone-pre-feasibility-study-accelerating-commercialization-of-its-tonopah-flats-lithium-project-one-of-the-largest-lithium-resources-in-the-united-st/" TargetMode="External"/><Relationship Id="rId809" Type="http://schemas.openxmlformats.org/officeDocument/2006/relationships/hyperlink" Target="https://www.cirbasolutions.com/cirba-solutions-expands-ohio-lithium-ion-processing-facility/?srsltid=AfmBOopefissdZd2B6QqfC62EnSVGAA05EsaU_B2WcsWZsF7d5_N0G5x" TargetMode="External"/><Relationship Id="rId1201" Type="http://schemas.openxmlformats.org/officeDocument/2006/relationships/hyperlink" Target="https://www.azomining.com/suppliers.aspx?SupplierID=1234" TargetMode="External"/><Relationship Id="rId1439" Type="http://schemas.openxmlformats.org/officeDocument/2006/relationships/hyperlink" Target="https://www.lime.org/find-a-lime-plant/?startrow=2" TargetMode="External"/><Relationship Id="rId9" Type="http://schemas.openxmlformats.org/officeDocument/2006/relationships/hyperlink" Target="https://doerun.com/what-we-do/mining-milling/" TargetMode="External"/><Relationship Id="rId210" Type="http://schemas.openxmlformats.org/officeDocument/2006/relationships/hyperlink" Target="https://www.equinoxgold.com/news/equinox-gold-completes-acquisition-of-the-mesquite-gold-mine-in-california/" TargetMode="External"/><Relationship Id="rId448" Type="http://schemas.openxmlformats.org/officeDocument/2006/relationships/hyperlink" Target="https://s28.q4cdn.com/607153883/files/doc_financials/2022/ar/ffc8355f-9960-4b14-b391-4c0236bc43b5.pdf" TargetMode="External"/><Relationship Id="rId655" Type="http://schemas.openxmlformats.org/officeDocument/2006/relationships/hyperlink" Target="https://www.fastmarkets.com/insights/korea-zincs-jpmorgan-backed-crucible-plant-to-focus-on-us-material/" TargetMode="External"/><Relationship Id="rId862" Type="http://schemas.openxmlformats.org/officeDocument/2006/relationships/hyperlink" Target="https://nthcycle.com/news/nth-cycle-begins-operations-of-first-domestic-commercial-scale-nickel-and-cobalt-scrap-refining-system-in-fairfield-ohio/" TargetMode="External"/><Relationship Id="rId1078" Type="http://schemas.openxmlformats.org/officeDocument/2006/relationships/hyperlink" Target="http://www.sulphuric-acid.com/sulphuric-acid-on-the-web/acid%20plants/Lucite%20-%20Nederland.htm" TargetMode="External"/><Relationship Id="rId1285" Type="http://schemas.openxmlformats.org/officeDocument/2006/relationships/hyperlink" Target="https://comstock.inc/press-release/comstock-announces-full-year-2022-results/" TargetMode="External"/><Relationship Id="rId1492" Type="http://schemas.openxmlformats.org/officeDocument/2006/relationships/hyperlink" Target="https://minedocs.com/23/Eagle-TR-12312022.pdf" TargetMode="External"/><Relationship Id="rId1506" Type="http://schemas.openxmlformats.org/officeDocument/2006/relationships/hyperlink" Target="https://www.asbury.com/about-us/our-story/" TargetMode="External"/><Relationship Id="rId294" Type="http://schemas.openxmlformats.org/officeDocument/2006/relationships/hyperlink" Target="https://www.bhpioneer.com/covid-19/black-hawk-residents-evacuated-because-of-sinkholes/article_a2b8c4ba-8afe-11ea-8001-9fbfe5308c55.html" TargetMode="External"/><Relationship Id="rId308" Type="http://schemas.openxmlformats.org/officeDocument/2006/relationships/hyperlink" Target="https://novagold.com/donlin-gold/project-overview/" TargetMode="External"/><Relationship Id="rId515" Type="http://schemas.openxmlformats.org/officeDocument/2006/relationships/hyperlink" Target="https://pubs.usgs.gov/myb/vol1/2022/myb1-2022-barite.pdf" TargetMode="External"/><Relationship Id="rId722" Type="http://schemas.openxmlformats.org/officeDocument/2006/relationships/hyperlink" Target="https://pubs.usgs.gov/myb/vol1/2023/myb1-2023-helium.pdf" TargetMode="External"/><Relationship Id="rId1145" Type="http://schemas.openxmlformats.org/officeDocument/2006/relationships/hyperlink" Target="https://www.western-uranium.com/_resources/presentations/corporate-presentation.pdf" TargetMode="External"/><Relationship Id="rId1352" Type="http://schemas.openxmlformats.org/officeDocument/2006/relationships/hyperlink" Target="https://cdn.prod.website-files.com/67b9c5dc15db73b34fcf2bf3/69dcb7caacc18dfdd52202e2_Aclara%20-%20Integrated%20Value%20Chain%20press%20release.pdf" TargetMode="External"/><Relationship Id="rId89" Type="http://schemas.openxmlformats.org/officeDocument/2006/relationships/hyperlink" Target="https://www.capitaliq.spglobal.com/apisv3/spg-webplatform-core/metalsAndMiningProperty/profile?ID=33492" TargetMode="External"/><Relationship Id="rId154" Type="http://schemas.openxmlformats.org/officeDocument/2006/relationships/hyperlink" Target="https://minedocs.com/21/PintoValley_TR_06112021.pdf" TargetMode="External"/><Relationship Id="rId361" Type="http://schemas.openxmlformats.org/officeDocument/2006/relationships/hyperlink" Target="https://goldresourcecorp.com/site/assets/files/6493/sk1300_b40_gold_resource_corp_filed_10_27_2023.pdf" TargetMode="External"/><Relationship Id="rId599" Type="http://schemas.openxmlformats.org/officeDocument/2006/relationships/hyperlink" Target="https://minedocs.com/20/Hycroft-Summary-Technical-Report-07312019.pdf" TargetMode="External"/><Relationship Id="rId1005" Type="http://schemas.openxmlformats.org/officeDocument/2006/relationships/hyperlink" Target="https://www.mdf.coop/lime-information" TargetMode="External"/><Relationship Id="rId1212" Type="http://schemas.openxmlformats.org/officeDocument/2006/relationships/hyperlink" Target="https://minerals.nv.gov/uploadedFiles/mineralsnvgov/content/Programs/Mining/2022%20Metallic%20Production%20by%20mine.pdf" TargetMode="External"/><Relationship Id="rId459" Type="http://schemas.openxmlformats.org/officeDocument/2006/relationships/hyperlink" Target="https://noblemetalservices.com/refining-process/" TargetMode="External"/><Relationship Id="rId666" Type="http://schemas.openxmlformats.org/officeDocument/2006/relationships/hyperlink" Target="https://pubs.usgs.gov/myb/vol1/2023/myb1-2023-cobalt.pdf" TargetMode="External"/><Relationship Id="rId873" Type="http://schemas.openxmlformats.org/officeDocument/2006/relationships/hyperlink" Target="https://minedocs.com/18/Stillwater-Operation-TRS-12312024.pdf" TargetMode="External"/><Relationship Id="rId1089" Type="http://schemas.openxmlformats.org/officeDocument/2006/relationships/hyperlink" Target="https://www.icis.com/explore/resources/news/2008/09/15/9156429/plant-restarts-could-take-weeks-after-ike/" TargetMode="External"/><Relationship Id="rId1296" Type="http://schemas.openxmlformats.org/officeDocument/2006/relationships/hyperlink" Target="https://makominingcorp.com/projects/usa/production/moss-mine/" TargetMode="External"/><Relationship Id="rId1517" Type="http://schemas.openxmlformats.org/officeDocument/2006/relationships/hyperlink" Target="https://climaxmolybdenum.com/sites/climaxmoly/files/documents/pdfs/technical-library/rhenium-product-datasheets/PDS_Re_BRQ.pdf" TargetMode="External"/><Relationship Id="rId16" Type="http://schemas.openxmlformats.org/officeDocument/2006/relationships/hyperlink" Target="https://www.kinross.com/English/operations/default.aspx" TargetMode="External"/><Relationship Id="rId221" Type="http://schemas.openxmlformats.org/officeDocument/2006/relationships/hyperlink" Target="https://www.recyclingtoday.com/news/metallix-usa-sibanye-stillwater-south-africa-acquisition-gold-silver-platinum-recycling/" TargetMode="External"/><Relationship Id="rId319" Type="http://schemas.openxmlformats.org/officeDocument/2006/relationships/hyperlink" Target="https://www.newswire.ca/news-releases/fire-river-gold-corp-update-on-the-progress-of-the-nixon-fork-gold-mine-510247581.html" TargetMode="External"/><Relationship Id="rId526" Type="http://schemas.openxmlformats.org/officeDocument/2006/relationships/hyperlink" Target="https://pubs.usgs.gov/myb/vol1/2022/myb1-2022-barite.pdf" TargetMode="External"/><Relationship Id="rId1156" Type="http://schemas.openxmlformats.org/officeDocument/2006/relationships/hyperlink" Target="https://www.egle.state.mi.us/aps/downloads/srn/B2159/B2159_SAR_20220815.pdf" TargetMode="External"/><Relationship Id="rId1363" Type="http://schemas.openxmlformats.org/officeDocument/2006/relationships/hyperlink" Target="https://realloys.com/facilities/" TargetMode="External"/><Relationship Id="rId733" Type="http://schemas.openxmlformats.org/officeDocument/2006/relationships/hyperlink" Target="https://pubs.usgs.gov/myb/vol1/2023/myb1-2023-helium.pdf" TargetMode="External"/><Relationship Id="rId940" Type="http://schemas.openxmlformats.org/officeDocument/2006/relationships/hyperlink" Target="https://minedocs.com/23/Simplot-Factsheet.pdf" TargetMode="External"/><Relationship Id="rId1016" Type="http://schemas.openxmlformats.org/officeDocument/2006/relationships/hyperlink" Target="https://www.aaamolybdenum.com/about/" TargetMode="External"/><Relationship Id="rId165" Type="http://schemas.openxmlformats.org/officeDocument/2006/relationships/hyperlink" Target="https://www.kinross.com/operations/americas/Explore-Fort-Knox-America/default.aspx" TargetMode="External"/><Relationship Id="rId372" Type="http://schemas.openxmlformats.org/officeDocument/2006/relationships/hyperlink" Target="https://www.niocorp.com/wp-content/uploads/NioCorp_June-2022_NI_43-101_Technical_Report.pdf" TargetMode="External"/><Relationship Id="rId677" Type="http://schemas.openxmlformats.org/officeDocument/2006/relationships/hyperlink" Target="https://www.miningnewsnorth.com/story/2011/03/27/news/fire-river-resumes-mining-at-nixon-fork/2387.html" TargetMode="External"/><Relationship Id="rId800" Type="http://schemas.openxmlformats.org/officeDocument/2006/relationships/hyperlink" Target="https://ir.aquametals.com/press-releases/detail/322/aqua-metals-advances-commercialization-of-aquarefining" TargetMode="External"/><Relationship Id="rId1223" Type="http://schemas.openxmlformats.org/officeDocument/2006/relationships/hyperlink" Target="https://www.justice.gov/enrd/consent-decree/file/1293151/dl" TargetMode="External"/><Relationship Id="rId1430" Type="http://schemas.openxmlformats.org/officeDocument/2006/relationships/hyperlink" Target="https://s1.q4cdn.com/337451660/files/doc_downloads/FortuneMinerals_Revenue_PEA_457700.030_014_20140723.pdf" TargetMode="External"/><Relationship Id="rId1528" Type="http://schemas.openxmlformats.org/officeDocument/2006/relationships/hyperlink" Target="https://miningdataonline.com/property/87/Miami-Mine.aspx" TargetMode="External"/><Relationship Id="rId232" Type="http://schemas.openxmlformats.org/officeDocument/2006/relationships/hyperlink" Target="https://minedocs.com/21/Mineral_Ridge_Expansion-TR-12222020.pdf" TargetMode="External"/><Relationship Id="rId884" Type="http://schemas.openxmlformats.org/officeDocument/2006/relationships/hyperlink" Target="https://minedocs.com/18/Stillwater-Operation-TRS-12312024.pdf" TargetMode="External"/><Relationship Id="rId27" Type="http://schemas.openxmlformats.org/officeDocument/2006/relationships/hyperlink" Target="https://freeportinnewmexico.com/" TargetMode="External"/><Relationship Id="rId537" Type="http://schemas.openxmlformats.org/officeDocument/2006/relationships/hyperlink" Target="https://pubs.usgs.gov/myb/vol1/2021/myb1-2021-copper.pdf" TargetMode="External"/><Relationship Id="rId744" Type="http://schemas.openxmlformats.org/officeDocument/2006/relationships/hyperlink" Target="https://doerun.com/what-we-do/mining-milling/" TargetMode="External"/><Relationship Id="rId951" Type="http://schemas.openxmlformats.org/officeDocument/2006/relationships/hyperlink" Target="https://www.msha.gov/data-reports/statistics/mines/nv/pabco-gypsum-apex-quarry" TargetMode="External"/><Relationship Id="rId1167" Type="http://schemas.openxmlformats.org/officeDocument/2006/relationships/hyperlink" Target="https://enviro.epa.gov/enviro/P2_EF_Query.p2_report?FacilityId=77011GLFRD310NG&amp;ChemicalId=000000N420&amp;ReportingYear=2022&amp;DocCtrlNum=&amp;Opt=0" TargetMode="External"/><Relationship Id="rId1374" Type="http://schemas.openxmlformats.org/officeDocument/2006/relationships/hyperlink" Target="https://www.sabinmetal.com/locations/sabin-metal-west-corporation" TargetMode="External"/><Relationship Id="rId80" Type="http://schemas.openxmlformats.org/officeDocument/2006/relationships/hyperlink" Target="https://magnesiaspecialties.com/company/about" TargetMode="External"/><Relationship Id="rId176" Type="http://schemas.openxmlformats.org/officeDocument/2006/relationships/hyperlink" Target="https://nam.org/pentagon-korea-zinc-partner-on-tennessee-mineral-smelter-35425/?stream=series-input-stories" TargetMode="External"/><Relationship Id="rId383" Type="http://schemas.openxmlformats.org/officeDocument/2006/relationships/hyperlink" Target="https://s28.q4cdn.com/607153883/files/doc_financials/2023/ar/22a5383e-3bd9-44c0-a3a0-46ea1482496a.pdf" TargetMode="External"/><Relationship Id="rId590" Type="http://schemas.openxmlformats.org/officeDocument/2006/relationships/hyperlink" Target="https://minedocs.com/21/CoeurMiningInc_Rochester_TechnicalReport_Dec16_2020.pdf" TargetMode="External"/><Relationship Id="rId604" Type="http://schemas.openxmlformats.org/officeDocument/2006/relationships/hyperlink" Target="https://borealismining.com/wp-content/uploads/2024/10/Borealis_NI43101_Report.pdf" TargetMode="External"/><Relationship Id="rId811" Type="http://schemas.openxmlformats.org/officeDocument/2006/relationships/hyperlink" Target="https://www.cirbasolutions.com/cirba-solutions-expands-ohio-lithium-ion-processing-facility/?srsltid=AfmBOopefissdZd2B6QqfC62EnSVGAA05EsaU_B2WcsWZsF7d5_N0G5x" TargetMode="External"/><Relationship Id="rId1027" Type="http://schemas.openxmlformats.org/officeDocument/2006/relationships/hyperlink" Target="https://www.teck.com/media/2025-Annual-Report.pdf" TargetMode="External"/><Relationship Id="rId1234" Type="http://schemas.openxmlformats.org/officeDocument/2006/relationships/hyperlink" Target="https://www.911metallurgist.com/blog/gypsum-mining-methods-costs/" TargetMode="External"/><Relationship Id="rId1441" Type="http://schemas.openxmlformats.org/officeDocument/2006/relationships/hyperlink" Target="https://www.icpds.com/assets/CUP20-0016-IS22-0021-USG-Plaster-City-Quarry-APPENDIX--E.pdf" TargetMode="External"/><Relationship Id="rId243" Type="http://schemas.openxmlformats.org/officeDocument/2006/relationships/hyperlink" Target="https://makominingcorp.com/projects/usa/production/moss-mine/" TargetMode="External"/><Relationship Id="rId450" Type="http://schemas.openxmlformats.org/officeDocument/2006/relationships/hyperlink" Target="https://pubs.usgs.gov/myb/vol1/2020/myb1-2020-bauxite-alumina.pdf" TargetMode="External"/><Relationship Id="rId688" Type="http://schemas.openxmlformats.org/officeDocument/2006/relationships/hyperlink" Target="https://www.sec.gov/Archives/edgar/data/831259/000083125922000009/fcx-20211231.htm" TargetMode="External"/><Relationship Id="rId895" Type="http://schemas.openxmlformats.org/officeDocument/2006/relationships/hyperlink" Target="https://minedocs.com/18/Stillwater-Operation-TRS-12312024.pdf" TargetMode="External"/><Relationship Id="rId909" Type="http://schemas.openxmlformats.org/officeDocument/2006/relationships/hyperlink" Target="https://pubs.usgs.gov/myb/vol1/2021/myb1-2021-platinum-group.pdf" TargetMode="External"/><Relationship Id="rId1080" Type="http://schemas.openxmlformats.org/officeDocument/2006/relationships/hyperlink" Target="http://www.sulphuric-acid.com/Sulphuric-Acid-on-the-Web/Acid%20Plants/Rhodia%20-%20Baton%20Rouge.htm" TargetMode="External"/><Relationship Id="rId1301" Type="http://schemas.openxmlformats.org/officeDocument/2006/relationships/hyperlink" Target="https://multimetdev.com/wp-content/uploads/2020/06/CuMo_PEA_NI43-101_June-2-2020.pdf" TargetMode="External"/><Relationship Id="rId1539" Type="http://schemas.openxmlformats.org/officeDocument/2006/relationships/hyperlink" Target="https://pubs.usgs.gov/myb/vol1/2022/myb1-2022-copper.pdf" TargetMode="External"/><Relationship Id="rId38" Type="http://schemas.openxmlformats.org/officeDocument/2006/relationships/hyperlink" Target="https://maps.app.goo.gl/LdWptxrmgPFUaPqk7" TargetMode="External"/><Relationship Id="rId103" Type="http://schemas.openxmlformats.org/officeDocument/2006/relationships/hyperlink" Target="https://ir.hecla.com/Investors/annual-reports-filings/sec-filings-details/default.aspx?FilingId=19156252" TargetMode="External"/><Relationship Id="rId310" Type="http://schemas.openxmlformats.org/officeDocument/2006/relationships/hyperlink" Target="https://mshascan.com/mine/ventucopa-quarry-0405481" TargetMode="External"/><Relationship Id="rId548" Type="http://schemas.openxmlformats.org/officeDocument/2006/relationships/hyperlink" Target="https://pubs.usgs.gov/myb/vol1/2021/myb1-2021-copper.pdf" TargetMode="External"/><Relationship Id="rId755" Type="http://schemas.openxmlformats.org/officeDocument/2006/relationships/hyperlink" Target="https://wp-integraresources-2024.s3.ca-central-1.amazonaws.com/media/2024/11/fcgv-2024-07-12-technical-report-ni-43-101-florida-canyon.pdf" TargetMode="External"/><Relationship Id="rId962" Type="http://schemas.openxmlformats.org/officeDocument/2006/relationships/hyperlink" Target="https://www.michigansugar.com/wp-content/uploads/2026/03/Lime-Program-Prices-and-Procedures.pdf" TargetMode="External"/><Relationship Id="rId1178" Type="http://schemas.openxmlformats.org/officeDocument/2006/relationships/hyperlink" Target="https://www.south32.net/docs/default-source/exchange-releases/hermosa-project-update-0x6e16b082af2a4715.pdf?sfvrsn=9a4bb0cc_0" TargetMode="External"/><Relationship Id="rId1385" Type="http://schemas.openxmlformats.org/officeDocument/2006/relationships/hyperlink" Target="https://www.westernsugar.com/who-we-are/our-facilities/fort-morgan-co-manufacturing-facility/" TargetMode="External"/><Relationship Id="rId91" Type="http://schemas.openxmlformats.org/officeDocument/2006/relationships/hyperlink" Target="https://www.capitaliq.spglobal.com/apisv3/spg-webplatform-core/metalsAndMiningProperty/profile?ID=33492" TargetMode="External"/><Relationship Id="rId187" Type="http://schemas.openxmlformats.org/officeDocument/2006/relationships/hyperlink" Target="https://investors.oceanagold.com/2023-02-21-OceanaGold-Reports-Full-Year-2022-Financial-Results" TargetMode="External"/><Relationship Id="rId394" Type="http://schemas.openxmlformats.org/officeDocument/2006/relationships/hyperlink" Target="https://www.recyclingtoday.com/news/metallix-usa-sibanye-stillwater-south-africa-acquisition-gold-silver-platinum-recycling/" TargetMode="External"/><Relationship Id="rId408" Type="http://schemas.openxmlformats.org/officeDocument/2006/relationships/hyperlink" Target="https://www.riotinto.com/en/invest/invest-archive" TargetMode="External"/><Relationship Id="rId615" Type="http://schemas.openxmlformats.org/officeDocument/2006/relationships/hyperlink" Target="https://www.sec.gov/Archives/edgar/data/831259/000083125922000009/fcx-20211231.htm" TargetMode="External"/><Relationship Id="rId822" Type="http://schemas.openxmlformats.org/officeDocument/2006/relationships/hyperlink" Target="https://www.recycledmaterials.org/li-cycle-grows-hub-spoke-battery-recycling-network/" TargetMode="External"/><Relationship Id="rId1038" Type="http://schemas.openxmlformats.org/officeDocument/2006/relationships/hyperlink" Target="https://www.ferroglobe.com/news-releases/news-release-details/ferroglobe-announces-restart-second-silicon-metal-furnace-selma" TargetMode="External"/><Relationship Id="rId1245" Type="http://schemas.openxmlformats.org/officeDocument/2006/relationships/hyperlink" Target="https://miningdataonline.com/property/639/Rawhide-Mine.aspx" TargetMode="External"/><Relationship Id="rId1452" Type="http://schemas.openxmlformats.org/officeDocument/2006/relationships/hyperlink" Target="https://d9-wret.s3.us-west-2.amazonaws.com/assets/palladium/production/mineral-pubs/magnesium/401496.pdf" TargetMode="External"/><Relationship Id="rId254" Type="http://schemas.openxmlformats.org/officeDocument/2006/relationships/hyperlink" Target="https://minedocs.com/24/Pan-TR-12312022.pdf" TargetMode="External"/><Relationship Id="rId699" Type="http://schemas.openxmlformats.org/officeDocument/2006/relationships/hyperlink" Target="https://www.mersen.com/en/news-and-events/mersen-inaugurates-graphite-manufacturing-capacities-usa" TargetMode="External"/><Relationship Id="rId1091" Type="http://schemas.openxmlformats.org/officeDocument/2006/relationships/hyperlink" Target="file:///C:\Users\tmobrien\AppData\Local\Temp\1\MicrosoftEdgeDownloads\81fb513d-96dc-4962-966b-4767149dd5bc\BIS-2025-0021-0112_attachment_1.pdf" TargetMode="External"/><Relationship Id="rId1105" Type="http://schemas.openxmlformats.org/officeDocument/2006/relationships/hyperlink" Target="https://iperionx.com/wp-content/uploads/2022/07/Scoping-Study-June-30.pdf" TargetMode="External"/><Relationship Id="rId1312" Type="http://schemas.openxmlformats.org/officeDocument/2006/relationships/hyperlink" Target="https://s22.q4cdn.com/670299758/files/doc_presentations/2021/2021/AMR-Investor-Presentation-8.6.21.pdf" TargetMode="External"/><Relationship Id="rId49" Type="http://schemas.openxmlformats.org/officeDocument/2006/relationships/hyperlink" Target="https://www.codyenterprise.com/news/local/article_1cd30446-8b3e-11eb-8206-77134035e07f.html" TargetMode="External"/><Relationship Id="rId114" Type="http://schemas.openxmlformats.org/officeDocument/2006/relationships/hyperlink" Target="https://www.recyclingtoday.com/news/sibanye-stillwater-group-integrates-recently-acquired-abington-reldan-metals-llc/" TargetMode="External"/><Relationship Id="rId461" Type="http://schemas.openxmlformats.org/officeDocument/2006/relationships/hyperlink" Target="https://static1.squarespace.com/static/6807b8b87d058a08ac563fb1/t/69906f9dde27ba74c399f405/1771073437914/Gold+Road+Presentation+-+February+2026.pdf" TargetMode="External"/><Relationship Id="rId559" Type="http://schemas.openxmlformats.org/officeDocument/2006/relationships/hyperlink" Target="https://minerals.nv.gov/uploadedFiles/mineralsnvgov/content/Programs/Mining/2022%20Metallic%20Production%20by%20mine.pdf" TargetMode="External"/><Relationship Id="rId766" Type="http://schemas.openxmlformats.org/officeDocument/2006/relationships/hyperlink" Target="https://ecobat.com/location/ecobat-resources-indiana-indianapolis/" TargetMode="External"/><Relationship Id="rId1189" Type="http://schemas.openxmlformats.org/officeDocument/2006/relationships/hyperlink" Target="https://www.sec.gov/Archives/edgar/data/1030192/000165495426002560/idr_ex961.htm" TargetMode="External"/><Relationship Id="rId1396" Type="http://schemas.openxmlformats.org/officeDocument/2006/relationships/hyperlink" Target="https://contangoore.com/wp-content/uploads/2026/04/689ce512a9bc53d2ded48ffe_Technical-Report.pdf" TargetMode="External"/><Relationship Id="rId198" Type="http://schemas.openxmlformats.org/officeDocument/2006/relationships/hyperlink" Target="https://miningrecord.com/santa-fe-gold-acquires-fully-permitted-billali-jim-crow-and-imperial-mines/" TargetMode="External"/><Relationship Id="rId321" Type="http://schemas.openxmlformats.org/officeDocument/2006/relationships/hyperlink" Target="https://www.oldcastleapg.com/our-locations/" TargetMode="External"/><Relationship Id="rId419" Type="http://schemas.openxmlformats.org/officeDocument/2006/relationships/hyperlink" Target="file:///C:\Users\tmobrien\AppData\Local\Temp\1\MicrosoftEdgeDownloads\2901a48a-fa6f-4e96-9c09-32e08630d954\UUUU%20(Energy%20Fuels%20Inc)%20%20(10-K)%202023-03-08.pdf_.pdf" TargetMode="External"/><Relationship Id="rId626" Type="http://schemas.openxmlformats.org/officeDocument/2006/relationships/hyperlink" Target="https://minedocs.com/19/Sunshine-PEA-01172020.pdf" TargetMode="External"/><Relationship Id="rId973" Type="http://schemas.openxmlformats.org/officeDocument/2006/relationships/hyperlink" Target="https://www.lime.org/find-a-lime-plant/?categories=&amp;pagenum=" TargetMode="External"/><Relationship Id="rId1049" Type="http://schemas.openxmlformats.org/officeDocument/2006/relationships/hyperlink" Target="http://www.sulphuric-acid.com/sulphuric-acid-on-the-web/acid%20plants/Kennecott%20Utah%20Copper%20-%20Salt%20Lake%20City.htm" TargetMode="External"/><Relationship Id="rId1256" Type="http://schemas.openxmlformats.org/officeDocument/2006/relationships/hyperlink" Target="https://d18rn0p25nwr6d.cloudfront.net/CIK-0000831259/70a55880-a8ad-4730-9658-be92fcd263de.pdf" TargetMode="External"/><Relationship Id="rId833" Type="http://schemas.openxmlformats.org/officeDocument/2006/relationships/hyperlink" Target="https://www.standardlithium.com/projects/smackover/south-west-arkansas/" TargetMode="External"/><Relationship Id="rId1116" Type="http://schemas.openxmlformats.org/officeDocument/2006/relationships/hyperlink" Target="https://www.pel.net.au/wp-content/uploads/2022/08/DFS-Completed-for-Lance.pdf" TargetMode="External"/><Relationship Id="rId1463" Type="http://schemas.openxmlformats.org/officeDocument/2006/relationships/hyperlink" Target="https://www.clevelandcliffs.com/operations/steelmaking/indiana-harbor" TargetMode="External"/><Relationship Id="rId265" Type="http://schemas.openxmlformats.org/officeDocument/2006/relationships/hyperlink" Target="https://www.kinterracapital.com/portfolio/pumpkin-hollow-copper" TargetMode="External"/><Relationship Id="rId472" Type="http://schemas.openxmlformats.org/officeDocument/2006/relationships/hyperlink" Target="https://pubs.usgs.gov/myb/vol1/2022/myb1-2022-titanium.pdf" TargetMode="External"/><Relationship Id="rId900" Type="http://schemas.openxmlformats.org/officeDocument/2006/relationships/hyperlink" Target="https://mowreygold.com/" TargetMode="External"/><Relationship Id="rId1323" Type="http://schemas.openxmlformats.org/officeDocument/2006/relationships/hyperlink" Target="https://www.gem.wiki/Cleveland-Cliffs_Burns_Harbor_steel_plant" TargetMode="External"/><Relationship Id="rId1530" Type="http://schemas.openxmlformats.org/officeDocument/2006/relationships/hyperlink" Target="https://minedocs.com/21/Doe_Run-History_of_Mining-2008.pdf" TargetMode="External"/><Relationship Id="rId125" Type="http://schemas.openxmlformats.org/officeDocument/2006/relationships/hyperlink" Target="https://goldresourcecorp.com/site/assets/files/6493/sk1300_b40_gold_resource_corp_filed_10_27_2023.pdf" TargetMode="External"/><Relationship Id="rId332" Type="http://schemas.openxmlformats.org/officeDocument/2006/relationships/hyperlink" Target="https://arlweb.msha.gov/FATALS/1999/FTL99M16.HTM" TargetMode="External"/><Relationship Id="rId777" Type="http://schemas.openxmlformats.org/officeDocument/2006/relationships/hyperlink" Target="https://d9-wret.s3.us-west-2.amazonaws.com/assets/palladium/production/mineral-pubs/lead/myb1-2010-lead.pdf" TargetMode="External"/><Relationship Id="rId984" Type="http://schemas.openxmlformats.org/officeDocument/2006/relationships/hyperlink" Target="https://www.cheneylime.com/" TargetMode="External"/><Relationship Id="rId637" Type="http://schemas.openxmlformats.org/officeDocument/2006/relationships/hyperlink" Target="https://www.sec.gov/Archives/edgar/data/1526243/000110465922069319/tm2217499d1_ex96-1.htm" TargetMode="External"/><Relationship Id="rId844" Type="http://schemas.openxmlformats.org/officeDocument/2006/relationships/hyperlink" Target="https://pubs.usgs.gov/myb/vol1/2023/myb1-2023-manganese.pdf" TargetMode="External"/><Relationship Id="rId1267" Type="http://schemas.openxmlformats.org/officeDocument/2006/relationships/hyperlink" Target="https://minedocs.com/23/NorthMet-FS-12302022.pdf" TargetMode="External"/><Relationship Id="rId1474" Type="http://schemas.openxmlformats.org/officeDocument/2006/relationships/hyperlink" Target="https://www.tintech.com/capabilities" TargetMode="External"/><Relationship Id="rId276" Type="http://schemas.openxmlformats.org/officeDocument/2006/relationships/hyperlink" Target="https://bunkerhillmining.com/news-and-media/news-releases/bunker-hill-announces-prefeasibility-study-for-first-phase-of-mine-restart" TargetMode="External"/><Relationship Id="rId483" Type="http://schemas.openxmlformats.org/officeDocument/2006/relationships/hyperlink" Target="https://pubs.usgs.gov/myb/vol1/2022/myb1-2022-titanium.pdf" TargetMode="External"/><Relationship Id="rId690" Type="http://schemas.openxmlformats.org/officeDocument/2006/relationships/hyperlink" Target="https://minedocs.com/21/Doe_Run-History_of_Mining-2008.pdf" TargetMode="External"/><Relationship Id="rId704" Type="http://schemas.openxmlformats.org/officeDocument/2006/relationships/hyperlink" Target="https://www.thepaper.media/business/sgl-carbon-supplying-graphite-to-customers-around-the-globe/article_381b0b12-7123-11ef-a65b-c7cc2c8d21ec.html" TargetMode="External"/><Relationship Id="rId911" Type="http://schemas.openxmlformats.org/officeDocument/2006/relationships/hyperlink" Target="https://pubs.usgs.gov/myb/vol1/2021/myb1-2021-platinum-group.pdf" TargetMode="External"/><Relationship Id="rId1127" Type="http://schemas.openxmlformats.org/officeDocument/2006/relationships/hyperlink" Target="https://investors.energyfuels.com/2019-02-12-Energy-Fuels-Producing-Vanadium-at-Commercial-Levels-Vanadium-Shipments-Commenced" TargetMode="External"/><Relationship Id="rId1334" Type="http://schemas.openxmlformats.org/officeDocument/2006/relationships/hyperlink" Target="https://www.fortitudegold.com/news/news-releases/fortitude-gold-reports-2022-net-income-of-147-million-725-all-in-sustaining-cost-and-increased-cash-balance-to-45-million" TargetMode="External"/><Relationship Id="rId1541" Type="http://schemas.openxmlformats.org/officeDocument/2006/relationships/hyperlink" Target="https://pubs.usgs.gov/myb/vol1/2019/myb1-2019-boron.pdf" TargetMode="External"/><Relationship Id="rId40" Type="http://schemas.openxmlformats.org/officeDocument/2006/relationships/hyperlink" Target="https://maps.app.goo.gl/SYW5eZsg3ZbBDni66" TargetMode="External"/><Relationship Id="rId136" Type="http://schemas.openxmlformats.org/officeDocument/2006/relationships/hyperlink" Target="https://minedocs.com/21/CastleMountain_FS_02262021.pdf" TargetMode="External"/><Relationship Id="rId343" Type="http://schemas.openxmlformats.org/officeDocument/2006/relationships/hyperlink" Target="https://www.tasekomines.com/_resources/investors/technical_report_florence_copper_march_2023.pdf" TargetMode="External"/><Relationship Id="rId550" Type="http://schemas.openxmlformats.org/officeDocument/2006/relationships/hyperlink" Target="https://www.canadianminingjournal.com/featured-article/good-news-from-bagdad-the-mine/" TargetMode="External"/><Relationship Id="rId788" Type="http://schemas.openxmlformats.org/officeDocument/2006/relationships/hyperlink" Target="https://www.riotinto.com/en/operations/us/bessemer-city" TargetMode="External"/><Relationship Id="rId995" Type="http://schemas.openxmlformats.org/officeDocument/2006/relationships/hyperlink" Target="https://www.lime.org/find-a-lime-plant/?startrow=2" TargetMode="External"/><Relationship Id="rId1180" Type="http://schemas.openxmlformats.org/officeDocument/2006/relationships/hyperlink" Target="https://www.south32.net/docs/default-source/exchange-releases/hermosa-project-update-0x428e857ed5e3eb3f.pdf?sfvrsn=441372c7_0" TargetMode="External"/><Relationship Id="rId1401" Type="http://schemas.openxmlformats.org/officeDocument/2006/relationships/hyperlink" Target="https://www.mlc.com/locations/" TargetMode="External"/><Relationship Id="rId203" Type="http://schemas.openxmlformats.org/officeDocument/2006/relationships/hyperlink" Target="https://www.firstmajestic.com/projects/exploration-development/jerritt-canyon/" TargetMode="External"/><Relationship Id="rId648" Type="http://schemas.openxmlformats.org/officeDocument/2006/relationships/hyperlink" Target="https://pubs.usgs.gov/myb/vol1/2019/myb1-2019-cadmium.pdf" TargetMode="External"/><Relationship Id="rId855" Type="http://schemas.openxmlformats.org/officeDocument/2006/relationships/hyperlink" Target="https://pubs.usgs.gov/myb/vol1/2021/myb1-2021-nickel.pdf" TargetMode="External"/><Relationship Id="rId1040" Type="http://schemas.openxmlformats.org/officeDocument/2006/relationships/hyperlink" Target="https://www.hpsacorp.com/products/" TargetMode="External"/><Relationship Id="rId1278" Type="http://schemas.openxmlformats.org/officeDocument/2006/relationships/hyperlink" Target="https://minerals.nv.gov/uploadedFiles/mineralsnvgov/content/Programs/Mining/2022%20Metallic%20Production%20by%20mine.pdf" TargetMode="External"/><Relationship Id="rId1485" Type="http://schemas.openxmlformats.org/officeDocument/2006/relationships/hyperlink" Target="https://www.mininggazette.com/news/front-page/2025/12/eagle-mine-sold/" TargetMode="External"/><Relationship Id="rId287" Type="http://schemas.openxmlformats.org/officeDocument/2006/relationships/hyperlink" Target="https://www.sec.gov/Archives/edgar/data/941174/000095014401004647/g68095e10-k405.txt" TargetMode="External"/><Relationship Id="rId410" Type="http://schemas.openxmlformats.org/officeDocument/2006/relationships/hyperlink" Target="https://energyfuels.com/wp-content/uploads/2025/01/REVISED-FINAL_SLR-Energy-Fuels-Bullfrog-FINAL-Technical-Report-23-Feb-2022.pdf" TargetMode="External"/><Relationship Id="rId494" Type="http://schemas.openxmlformats.org/officeDocument/2006/relationships/hyperlink" Target="https://pubs.usgs.gov/myb/vol1/2018/myb1-2018-zinc.pdf" TargetMode="External"/><Relationship Id="rId508" Type="http://schemas.openxmlformats.org/officeDocument/2006/relationships/hyperlink" Target="https://pubs.usgs.gov/myb/vol1/2022/myb1-2022-barite.pdf" TargetMode="External"/><Relationship Id="rId715" Type="http://schemas.openxmlformats.org/officeDocument/2006/relationships/hyperlink" Target="https://pubs.usgs.gov/myb/vol1/2021/myb1-2021-zirconium-hafnium.pdf" TargetMode="External"/><Relationship Id="rId922" Type="http://schemas.openxmlformats.org/officeDocument/2006/relationships/hyperlink" Target="https://aurisnoble.com/" TargetMode="External"/><Relationship Id="rId1138" Type="http://schemas.openxmlformats.org/officeDocument/2006/relationships/hyperlink" Target="https://encoreuranium.com/wp-content/uploads/2025/03/Dewey-Burdock-2024-S-K-1300-Technical-Report-Summary_ROpt.pdf" TargetMode="External"/><Relationship Id="rId1345" Type="http://schemas.openxmlformats.org/officeDocument/2006/relationships/hyperlink" Target="https://minedocs.com/28/Mountain-Pass-TR-10012024.pdf" TargetMode="External"/><Relationship Id="rId147" Type="http://schemas.openxmlformats.org/officeDocument/2006/relationships/hyperlink" Target="https://www.montanaresources.com/about/" TargetMode="External"/><Relationship Id="rId354" Type="http://schemas.openxmlformats.org/officeDocument/2006/relationships/hyperlink" Target="https://bunkerhillmining.com/news-and-media/news-releases/bunker-hill-announces-prefeasibility-study-for-first-phase-of-mine-restart" TargetMode="External"/><Relationship Id="rId799" Type="http://schemas.openxmlformats.org/officeDocument/2006/relationships/hyperlink" Target="https://ir.aquametals.com/press-releases/detail/322/aqua-metals-advances-commercialization-of-aquarefining" TargetMode="External"/><Relationship Id="rId1191" Type="http://schemas.openxmlformats.org/officeDocument/2006/relationships/hyperlink" Target="https://www.niocorp.com/wp-content/uploads/NioCorp_June-2022_NI_43-101_Technical_Report.pdf" TargetMode="External"/><Relationship Id="rId1205" Type="http://schemas.openxmlformats.org/officeDocument/2006/relationships/hyperlink" Target="https://minedocs.com/11/Goldstrike_Technical_Report_03222019.pdf" TargetMode="External"/><Relationship Id="rId51" Type="http://schemas.openxmlformats.org/officeDocument/2006/relationships/hyperlink" Target="https://www.lime.org/find-a-lime-plant/?categories=75&amp;pagenum=" TargetMode="External"/><Relationship Id="rId561" Type="http://schemas.openxmlformats.org/officeDocument/2006/relationships/hyperlink" Target="https://resolutioncopper.com/project-overview/" TargetMode="External"/><Relationship Id="rId659" Type="http://schemas.openxmlformats.org/officeDocument/2006/relationships/hyperlink" Target="https://www.fastmarkets.com/insights/korea-zincs-jpmorgan-backed-crucible-plant-to-focus-on-us-material/" TargetMode="External"/><Relationship Id="rId866" Type="http://schemas.openxmlformats.org/officeDocument/2006/relationships/hyperlink" Target="https://www.mining.com/electric-metals-stock-nearly-triples-on-north-star-manganese-pea/" TargetMode="External"/><Relationship Id="rId1289" Type="http://schemas.openxmlformats.org/officeDocument/2006/relationships/hyperlink" Target="https://originmine.com/mineral-park/" TargetMode="External"/><Relationship Id="rId1412" Type="http://schemas.openxmlformats.org/officeDocument/2006/relationships/hyperlink" Target="https://smbsc.com/" TargetMode="External"/><Relationship Id="rId1496" Type="http://schemas.openxmlformats.org/officeDocument/2006/relationships/hyperlink" Target="https://www.sabinmetal.com/locations/sabin-metal-west-corporation" TargetMode="External"/><Relationship Id="rId214" Type="http://schemas.openxmlformats.org/officeDocument/2006/relationships/hyperlink" Target="https://d18rn0p25nwr6d.cloudfront.net/CIK-0000831259/70a55880-a8ad-4730-9658-be92fcd263de.pdf" TargetMode="External"/><Relationship Id="rId298" Type="http://schemas.openxmlformats.org/officeDocument/2006/relationships/hyperlink" Target="https://arcosaspecialtymaterials.com/location-cyril-ok-mine-2/" TargetMode="External"/><Relationship Id="rId421" Type="http://schemas.openxmlformats.org/officeDocument/2006/relationships/hyperlink" Target="https://www.sec.gov/Archives/edgar/data/1385849/000106299323005315/exhibit99-1.htm" TargetMode="External"/><Relationship Id="rId519" Type="http://schemas.openxmlformats.org/officeDocument/2006/relationships/hyperlink" Target="https://pubs.usgs.gov/myb/vol1/2022/myb1-2022-barite.pdf" TargetMode="External"/><Relationship Id="rId1051" Type="http://schemas.openxmlformats.org/officeDocument/2006/relationships/hyperlink" Target="http://www.sulphuric-acid.com/sulphuric-acid-on-the-web/acid%20plants/Chemtrade%20-%20Tulsa.htm" TargetMode="External"/><Relationship Id="rId1149" Type="http://schemas.openxmlformats.org/officeDocument/2006/relationships/hyperlink" Target="https://anfieldenergy.com/shootaring-canyon-mill/" TargetMode="External"/><Relationship Id="rId1356" Type="http://schemas.openxmlformats.org/officeDocument/2006/relationships/hyperlink" Target="https://www.morningstar.com/news/accesswire/1152143msn/reelement-technologies-provides-update-on-marion-rare-earth-and-critical-mineral-refinery-buildout-and-production-capacity" TargetMode="External"/><Relationship Id="rId158" Type="http://schemas.openxmlformats.org/officeDocument/2006/relationships/hyperlink" Target="https://tucson.com/news/local/mine-tales-ray-mining-district-has-history-of-more-than-a-century/article_5560fe20-f4c4-559f-8298-1c8be0b75c77.html" TargetMode="External"/><Relationship Id="rId726" Type="http://schemas.openxmlformats.org/officeDocument/2006/relationships/hyperlink" Target="https://pubs.usgs.gov/myb/vol1/2023/myb1-2023-helium.pdf" TargetMode="External"/><Relationship Id="rId933" Type="http://schemas.openxmlformats.org/officeDocument/2006/relationships/hyperlink" Target="https://www.sabinmetal.com/locations/sabin-metal-west-corporation" TargetMode="External"/><Relationship Id="rId1009" Type="http://schemas.openxmlformats.org/officeDocument/2006/relationships/hyperlink" Target="https://minedocs.com/24/Compass_Minerals-F10-K-2022.pdf" TargetMode="External"/><Relationship Id="rId62" Type="http://schemas.openxmlformats.org/officeDocument/2006/relationships/hyperlink" Target="https://www.amalgamatedsugar.com/twin-falls-factory/" TargetMode="External"/><Relationship Id="rId365" Type="http://schemas.openxmlformats.org/officeDocument/2006/relationships/hyperlink" Target="https://minedocs.com/23/Eagle-TR-12312022.pdf" TargetMode="External"/><Relationship Id="rId572" Type="http://schemas.openxmlformats.org/officeDocument/2006/relationships/hyperlink" Target="https://www.barrick.com/English/operations/nevada-gold-mines/default.aspx" TargetMode="External"/><Relationship Id="rId1216" Type="http://schemas.openxmlformats.org/officeDocument/2006/relationships/hyperlink" Target="https://doerun.com/what-we-do/mining-milling/" TargetMode="External"/><Relationship Id="rId1423" Type="http://schemas.openxmlformats.org/officeDocument/2006/relationships/hyperlink" Target="https://www.westernsugar.com/who-we-are/our-facilities/lovell-wy-manufacturing-facility/" TargetMode="External"/><Relationship Id="rId225" Type="http://schemas.openxmlformats.org/officeDocument/2006/relationships/hyperlink" Target="https://ndep.nv.gov/uploads/documents/20241009TM_0096107_Factsheet_Midas_1.pdf" TargetMode="External"/><Relationship Id="rId432" Type="http://schemas.openxmlformats.org/officeDocument/2006/relationships/hyperlink" Target="https://minerals.nv.gov/uploadedFiles/mineralsnvgov/content/Programs/Mining/2022%20Metallic%20Production%20by%20mine.pdf" TargetMode="External"/><Relationship Id="rId877" Type="http://schemas.openxmlformats.org/officeDocument/2006/relationships/hyperlink" Target="https://minedocs.com/18/Stillwater-Operation-TRS-12312024.pdf" TargetMode="External"/><Relationship Id="rId1062" Type="http://schemas.openxmlformats.org/officeDocument/2006/relationships/hyperlink" Target="http://www.sulphuric-acid.com/Sulphuric-Acid-on-the-Web/Acid%20Plants/BASF%20-%20Hannibal.htm" TargetMode="External"/><Relationship Id="rId737" Type="http://schemas.openxmlformats.org/officeDocument/2006/relationships/hyperlink" Target="https://pubs.usgs.gov/myb/vol1/2023/myb1-2023-helium.pdf" TargetMode="External"/><Relationship Id="rId944" Type="http://schemas.openxmlformats.org/officeDocument/2006/relationships/hyperlink" Target="https://s205.q4cdn.com/697440571/files/doc_financials/2025/ar/Full-20F-final-accessibility.pdf" TargetMode="External"/><Relationship Id="rId1367" Type="http://schemas.openxmlformats.org/officeDocument/2006/relationships/hyperlink" Target="https://minedocs.com/26/Haile-TR-12312023.pdf" TargetMode="External"/><Relationship Id="rId73" Type="http://schemas.openxmlformats.org/officeDocument/2006/relationships/hyperlink" Target="https://maps.app.goo.gl/pHPJE2aDox55nTNj6" TargetMode="External"/><Relationship Id="rId169" Type="http://schemas.openxmlformats.org/officeDocument/2006/relationships/hyperlink" Target="https://www.goldroyalty.com/portfolio/gold-bar/" TargetMode="External"/><Relationship Id="rId376" Type="http://schemas.openxmlformats.org/officeDocument/2006/relationships/hyperlink" Target="https://www.goldroyalty.com/portfolio/railroad-pinion/" TargetMode="External"/><Relationship Id="rId583" Type="http://schemas.openxmlformats.org/officeDocument/2006/relationships/hyperlink" Target="https://s28.q4cdn.com/583965976/files/doc_multimedia/portfolios/wharf-2017.pdf" TargetMode="External"/><Relationship Id="rId790" Type="http://schemas.openxmlformats.org/officeDocument/2006/relationships/hyperlink" Target="https://investors.selectwater.com/news-events/press-releases/detail/139/select-water-solutions-and-libertystream-infrastructure-partners-announce-definitive-agreement-to-build-out-commercial-lithium-carbonate-production-units-in-texas-first-1000-tonne-facility-slated-for-commissioning-by-december-2026" TargetMode="External"/><Relationship Id="rId804" Type="http://schemas.openxmlformats.org/officeDocument/2006/relationships/hyperlink" Target="https://ascendelements.com/covington-lithium-carbonate/" TargetMode="External"/><Relationship Id="rId1227" Type="http://schemas.openxmlformats.org/officeDocument/2006/relationships/hyperlink" Target="https://arcosaspecialtymaterials.com/location-cyril-ok-mine-2/" TargetMode="External"/><Relationship Id="rId1434" Type="http://schemas.openxmlformats.org/officeDocument/2006/relationships/hyperlink" Target="https://www.lime.org/find-a-lime-plant/?startrow=2" TargetMode="External"/><Relationship Id="rId4" Type="http://schemas.openxmlformats.org/officeDocument/2006/relationships/hyperlink" Target="https://www.fcx.com/operations/north-america" TargetMode="External"/><Relationship Id="rId236" Type="http://schemas.openxmlformats.org/officeDocument/2006/relationships/hyperlink" Target="https://www.asarco.com/mines/" TargetMode="External"/><Relationship Id="rId443" Type="http://schemas.openxmlformats.org/officeDocument/2006/relationships/hyperlink" Target="https://minerals.nv.gov/uploadedFiles/mineralsnvgov/content/Programs/Mining/2022%20Metallic%20Production%20by%20mine.pdf" TargetMode="External"/><Relationship Id="rId650" Type="http://schemas.openxmlformats.org/officeDocument/2006/relationships/hyperlink" Target="https://pubs.usgs.gov/myb/vol1/2019/myb1-2019-cadmium.pdf" TargetMode="External"/><Relationship Id="rId888" Type="http://schemas.openxmlformats.org/officeDocument/2006/relationships/hyperlink" Target="https://minedocs.com/18/Stillwater-Operation-TRS-12312024.pdf" TargetMode="External"/><Relationship Id="rId1073" Type="http://schemas.openxmlformats.org/officeDocument/2006/relationships/hyperlink" Target="http://www.sulphuric-acid.com/Sulphuric-Acid-on-the-Web/Acid%20Plants/Du%20Pont%20-%20El%20Paso.htm" TargetMode="External"/><Relationship Id="rId1280" Type="http://schemas.openxmlformats.org/officeDocument/2006/relationships/hyperlink" Target="https://minedocs.com/21/CastleMountain_FS_02262021.pdf" TargetMode="External"/><Relationship Id="rId1501" Type="http://schemas.openxmlformats.org/officeDocument/2006/relationships/hyperlink" Target="https://www.mininggazette.com/news/front-page/2025/12/eagle-mine-sold/" TargetMode="External"/><Relationship Id="rId303" Type="http://schemas.openxmlformats.org/officeDocument/2006/relationships/hyperlink" Target="https://www.westernsugar.com/who-we-are/our-facilities/fort-morgan-co-manufacturing-facility/" TargetMode="External"/><Relationship Id="rId748" Type="http://schemas.openxmlformats.org/officeDocument/2006/relationships/hyperlink" Target="https://doerun.com/what-we-do/mining-milling/" TargetMode="External"/><Relationship Id="rId955" Type="http://schemas.openxmlformats.org/officeDocument/2006/relationships/hyperlink" Target="https://www.carmeuse.com/eu-en/products-map/359" TargetMode="External"/><Relationship Id="rId1140" Type="http://schemas.openxmlformats.org/officeDocument/2006/relationships/hyperlink" Target="https://www.western-uranium.com/_resources/presentations/corporate-presentation.pdf" TargetMode="External"/><Relationship Id="rId1378" Type="http://schemas.openxmlformats.org/officeDocument/2006/relationships/hyperlink" Target="https://s28.q4cdn.com/583965976/files/doc_multimedia/portfolios/wharf-2017.pdf" TargetMode="External"/><Relationship Id="rId84" Type="http://schemas.openxmlformats.org/officeDocument/2006/relationships/hyperlink" Target="https://wp-integraresources-2024.s3.ca-central-1.amazonaws.com/media/2026/02/Integra-DeLamar-43-101-FS-Report-FINAL.pdf" TargetMode="External"/><Relationship Id="rId387" Type="http://schemas.openxmlformats.org/officeDocument/2006/relationships/hyperlink" Target="https://www.titanminingcorp.com/news/news-releases/titan-launches-processing-facility-for-us-natural-flake-graphite-production-in-new-york" TargetMode="External"/><Relationship Id="rId510" Type="http://schemas.openxmlformats.org/officeDocument/2006/relationships/hyperlink" Target="https://pubs.usgs.gov/myb/vol1/2022/myb1-2022-barite.pdf" TargetMode="External"/><Relationship Id="rId594" Type="http://schemas.openxmlformats.org/officeDocument/2006/relationships/hyperlink" Target="https://s21.q4cdn.com/390685383/files/technical_reports/gold_bar/2021_Gold_Bar_Feasibility_Study.pdf" TargetMode="External"/><Relationship Id="rId608" Type="http://schemas.openxmlformats.org/officeDocument/2006/relationships/hyperlink" Target="https://discoveryalert.com.au/advanced-pressure-oxidation-systems-nevada-mineral-recovery-2026/" TargetMode="External"/><Relationship Id="rId815" Type="http://schemas.openxmlformats.org/officeDocument/2006/relationships/hyperlink" Target="https://www.cirbasolutions.com/cirba-solutions-selected-for-200-million-award-negotiations-for-critical-materials-refining/" TargetMode="External"/><Relationship Id="rId1238" Type="http://schemas.openxmlformats.org/officeDocument/2006/relationships/hyperlink" Target="https://goldresourcecorp.com/site/assets/files/6493/sk1300_b40_gold_resource_corp_filed_10_27_2023.pdf" TargetMode="External"/><Relationship Id="rId1445" Type="http://schemas.openxmlformats.org/officeDocument/2006/relationships/hyperlink" Target="https://superiorgraphite.com/" TargetMode="External"/><Relationship Id="rId247" Type="http://schemas.openxmlformats.org/officeDocument/2006/relationships/hyperlink" Target="https://www.epa.gov/mn/polymet-now-newrange-copper-nickel-llc" TargetMode="External"/><Relationship Id="rId899" Type="http://schemas.openxmlformats.org/officeDocument/2006/relationships/hyperlink" Target="https://mowreygold.com/" TargetMode="External"/><Relationship Id="rId1000" Type="http://schemas.openxmlformats.org/officeDocument/2006/relationships/hyperlink" Target="https://www.linwoodmining.com/facilities/" TargetMode="External"/><Relationship Id="rId1084" Type="http://schemas.openxmlformats.org/officeDocument/2006/relationships/hyperlink" Target="https://ir.hecla.com/News--Media/news-releases/news-details/2026/Hecla-Reports-Fourth-Quarter-and-Full-Year-2025-Results/default.aspx" TargetMode="External"/><Relationship Id="rId1305" Type="http://schemas.openxmlformats.org/officeDocument/2006/relationships/hyperlink" Target="https://minedocs.com/21/PintoValley_TR_06112021.pdf" TargetMode="External"/><Relationship Id="rId107" Type="http://schemas.openxmlformats.org/officeDocument/2006/relationships/hyperlink" Target="https://ir.hecla.com/Investors/annual-reports-filings/sec-filings-details/default.aspx?FilingId=19156252" TargetMode="External"/><Relationship Id="rId454" Type="http://schemas.openxmlformats.org/officeDocument/2006/relationships/hyperlink" Target="https://www.asahirefining.com/product-category/cast-bars/" TargetMode="External"/><Relationship Id="rId661" Type="http://schemas.openxmlformats.org/officeDocument/2006/relationships/hyperlink" Target="https://www.fastmarkets.com/insights/korea-zincs-jpmorgan-backed-crucible-plant-to-focus-on-us-material/" TargetMode="External"/><Relationship Id="rId759" Type="http://schemas.openxmlformats.org/officeDocument/2006/relationships/hyperlink" Target="https://www.equinoxgold.com/our-mines/mesquite-gold-mine/" TargetMode="External"/><Relationship Id="rId966" Type="http://schemas.openxmlformats.org/officeDocument/2006/relationships/hyperlink" Target="https://www.certainteed.com/western-mining-and-minerals" TargetMode="External"/><Relationship Id="rId1291" Type="http://schemas.openxmlformats.org/officeDocument/2006/relationships/hyperlink" Target="https://minedocs.com/21/Mineral_Ridge_Expansion-TR-12222020.pdf" TargetMode="External"/><Relationship Id="rId1389" Type="http://schemas.openxmlformats.org/officeDocument/2006/relationships/hyperlink" Target="https://www.goldrichmining.com/media/downloads/IA/Goldrich-Mining-IA-2023.pdf" TargetMode="External"/><Relationship Id="rId1512" Type="http://schemas.openxmlformats.org/officeDocument/2006/relationships/hyperlink" Target="https://www.asarco.com/mines/" TargetMode="External"/><Relationship Id="rId11" Type="http://schemas.openxmlformats.org/officeDocument/2006/relationships/hyperlink" Target="https://doerun.com/what-we-do/mining-milling/" TargetMode="External"/><Relationship Id="rId314" Type="http://schemas.openxmlformats.org/officeDocument/2006/relationships/hyperlink" Target="https://www.mlc.com/locations/" TargetMode="External"/><Relationship Id="rId398" Type="http://schemas.openxmlformats.org/officeDocument/2006/relationships/hyperlink" Target="https://www.resource-capital.ch/en/news/view/sibanye-stillwater-to-acquire-reldan-a-us-based-metals-recycler-enhancing-its-exposure-to-the-circular-economy/" TargetMode="External"/><Relationship Id="rId521" Type="http://schemas.openxmlformats.org/officeDocument/2006/relationships/hyperlink" Target="https://pubs.usgs.gov/myb/vol1/2022/myb1-2022-barite.pdf" TargetMode="External"/><Relationship Id="rId619" Type="http://schemas.openxmlformats.org/officeDocument/2006/relationships/hyperlink" Target="https://minedocs.com/23/Eagle-TR-12312022.pdf" TargetMode="External"/><Relationship Id="rId1151" Type="http://schemas.openxmlformats.org/officeDocument/2006/relationships/hyperlink" Target="https://www.energyfuels.com/standby-mines/" TargetMode="External"/><Relationship Id="rId1249" Type="http://schemas.openxmlformats.org/officeDocument/2006/relationships/hyperlink" Target="https://www.equinoxgold.com/wp-content/uploads/2023/01/2020-Mesquite.pdf;%20https:/www.equinoxgold.com/our-mines/mesquite-gold-mine/" TargetMode="External"/><Relationship Id="rId95" Type="http://schemas.openxmlformats.org/officeDocument/2006/relationships/hyperlink" Target="https://ir.hecla.com/News--Media/news-releases/news-details/2026/Hecla-Reports-Fourth-Quarter-and-Full-Year-2025-Results/default.aspx" TargetMode="External"/><Relationship Id="rId160" Type="http://schemas.openxmlformats.org/officeDocument/2006/relationships/hyperlink" Target="https://doerun.com/what-we-do/mining-milling/" TargetMode="External"/><Relationship Id="rId826" Type="http://schemas.openxmlformats.org/officeDocument/2006/relationships/hyperlink" Target="https://www.recyclingtoday.com/news/li-cycle-opens-alabama-spoke-lithium-ion-battery-recycling/" TargetMode="External"/><Relationship Id="rId1011" Type="http://schemas.openxmlformats.org/officeDocument/2006/relationships/hyperlink" Target="https://peakminerals.com/wp-content/uploads/2025/06/2025.6.20-Peak-Minerals-Teaser.pdf" TargetMode="External"/><Relationship Id="rId1109" Type="http://schemas.openxmlformats.org/officeDocument/2006/relationships/hyperlink" Target="https://encoreuranium.com/wp-content/uploads/2023/02/TechReport.pdf" TargetMode="External"/><Relationship Id="rId1456" Type="http://schemas.openxmlformats.org/officeDocument/2006/relationships/hyperlink" Target="https://nhmu.utah.edu/sites/default/files/fact-sheets/NHMU%20fact%20sheet%20-%20LF.pdf" TargetMode="External"/><Relationship Id="rId258" Type="http://schemas.openxmlformats.org/officeDocument/2006/relationships/hyperlink" Target="https://minedocs.com/19/Phoenix-Fact-Sheet-10192021.pdf" TargetMode="External"/><Relationship Id="rId465" Type="http://schemas.openxmlformats.org/officeDocument/2006/relationships/hyperlink" Target="https://www.asahirefining.com/" TargetMode="External"/><Relationship Id="rId672" Type="http://schemas.openxmlformats.org/officeDocument/2006/relationships/hyperlink" Target="https://minedocs.com/31/Sandfire-Resources-PR(PFS)-12162025.pdf" TargetMode="External"/><Relationship Id="rId1095" Type="http://schemas.openxmlformats.org/officeDocument/2006/relationships/hyperlink" Target="https://conecsusllc.com/about/" TargetMode="External"/><Relationship Id="rId1316" Type="http://schemas.openxmlformats.org/officeDocument/2006/relationships/hyperlink" Target="https://d1io3yog0oux5.cloudfront.net/_b0fdcb6d2206e6ddbee71afa7dda093c/clevelandcliffs/db/1188/10373/file/CLF_CC_FactSheet_Warren_62024.pdf" TargetMode="External"/><Relationship Id="rId1523" Type="http://schemas.openxmlformats.org/officeDocument/2006/relationships/hyperlink" Target="https://www.minerals.nv.gov/siteassets/content/programs/mining/2022_Metallic_Production_by_mine.pdf" TargetMode="External"/><Relationship Id="rId22" Type="http://schemas.openxmlformats.org/officeDocument/2006/relationships/hyperlink" Target="https://www.barrick.com/English/operations/nevada-gold-mines/default.aspx" TargetMode="External"/><Relationship Id="rId118" Type="http://schemas.openxmlformats.org/officeDocument/2006/relationships/hyperlink" Target="https://endomines.com/en/company/our-operations/" TargetMode="External"/><Relationship Id="rId325" Type="http://schemas.openxmlformats.org/officeDocument/2006/relationships/hyperlink" Target="https://www.thespectrum.com/story/news/2015/09/03/operations-move-ahead-gypsum-mine/71670672/" TargetMode="External"/><Relationship Id="rId532" Type="http://schemas.openxmlformats.org/officeDocument/2006/relationships/hyperlink" Target="https://pubs.usgs.gov/myb/vol1/2022/myb1-2022-barite.pdf" TargetMode="External"/><Relationship Id="rId977" Type="http://schemas.openxmlformats.org/officeDocument/2006/relationships/hyperlink" Target="https://www.carmeuse.com/eu-en/products-map" TargetMode="External"/><Relationship Id="rId1162" Type="http://schemas.openxmlformats.org/officeDocument/2006/relationships/hyperlink" Target="https://www.eazall.com/" TargetMode="External"/><Relationship Id="rId171" Type="http://schemas.openxmlformats.org/officeDocument/2006/relationships/hyperlink" Target="https://www.goldroyalty.com/portfolio/gold-bar/" TargetMode="External"/><Relationship Id="rId837" Type="http://schemas.openxmlformats.org/officeDocument/2006/relationships/hyperlink" Target="https://s28.q4cdn.com/607153883/files/doc_financials/2022/ar/ffc8355f-9960-4b14-b391-4c0236bc43b5.pdf" TargetMode="External"/><Relationship Id="rId1022" Type="http://schemas.openxmlformats.org/officeDocument/2006/relationships/hyperlink" Target="https://www.pyromet999.com/" TargetMode="External"/><Relationship Id="rId1467" Type="http://schemas.openxmlformats.org/officeDocument/2006/relationships/hyperlink" Target="https://ecm.idem.in.gov/cs/idcplg?IdcService=GET_FILE&amp;dID=83734269&amp;dDocName=83738312&amp;Rendition=web&amp;noSaveAs=1" TargetMode="External"/><Relationship Id="rId269" Type="http://schemas.openxmlformats.org/officeDocument/2006/relationships/hyperlink" Target="https://americas-gold.com/site/assets/files/6067/nr20260121-1.pdf" TargetMode="External"/><Relationship Id="rId476" Type="http://schemas.openxmlformats.org/officeDocument/2006/relationships/hyperlink" Target="https://pubs.usgs.gov/myb/vol1/2022/myb1-2022-titanium.pdf" TargetMode="External"/><Relationship Id="rId683" Type="http://schemas.openxmlformats.org/officeDocument/2006/relationships/hyperlink" Target="https://tucson.com/news/local/mine-tales-ray-mining-district-has-history-of-more-than-a-century/article_5560fe20-f4c4-559f-8298-1c8be0b75c77.html" TargetMode="External"/><Relationship Id="rId890" Type="http://schemas.openxmlformats.org/officeDocument/2006/relationships/hyperlink" Target="https://minedocs.com/18/Stillwater-Operation-TRS-12312024.pdf" TargetMode="External"/><Relationship Id="rId904" Type="http://schemas.openxmlformats.org/officeDocument/2006/relationships/hyperlink" Target="https://www.advchem.com/" TargetMode="External"/><Relationship Id="rId1327" Type="http://schemas.openxmlformats.org/officeDocument/2006/relationships/hyperlink" Target="https://americas-gold.com/site/assets/files/6085/nr20260330b-1.pdf" TargetMode="External"/><Relationship Id="rId1534" Type="http://schemas.openxmlformats.org/officeDocument/2006/relationships/hyperlink" Target="https://pubs.usgs.gov/myb/vol1/2019/myb1-2019-molybdenum.pdf" TargetMode="External"/><Relationship Id="rId33" Type="http://schemas.openxmlformats.org/officeDocument/2006/relationships/hyperlink" Target="https://maps.app.goo.gl/ACt3i4yzLD57g4h78" TargetMode="External"/><Relationship Id="rId129" Type="http://schemas.openxmlformats.org/officeDocument/2006/relationships/hyperlink" Target="https://www.kinross.com/English/operations/default.aspx" TargetMode="External"/><Relationship Id="rId336" Type="http://schemas.openxmlformats.org/officeDocument/2006/relationships/hyperlink" Target="https://www.uslm.com/USLM_Cleburne.html" TargetMode="External"/><Relationship Id="rId543" Type="http://schemas.openxmlformats.org/officeDocument/2006/relationships/hyperlink" Target="https://pubs.usgs.gov/myb/vol1/2021/myb1-2021-copper.pdf" TargetMode="External"/><Relationship Id="rId988" Type="http://schemas.openxmlformats.org/officeDocument/2006/relationships/hyperlink" Target="https://www.graymont.com/locations/" TargetMode="External"/><Relationship Id="rId1173" Type="http://schemas.openxmlformats.org/officeDocument/2006/relationships/hyperlink" Target="https://purityzinc.com/" TargetMode="External"/><Relationship Id="rId1380" Type="http://schemas.openxmlformats.org/officeDocument/2006/relationships/hyperlink" Target="https://mshascan.com/mine/republic-pit-south-3400256" TargetMode="External"/><Relationship Id="rId182" Type="http://schemas.openxmlformats.org/officeDocument/2006/relationships/hyperlink" Target="https://nam.org/pentagon-korea-zinc-partner-on-tennessee-mineral-smelter-35425/?stream=series-input-stories" TargetMode="External"/><Relationship Id="rId403" Type="http://schemas.openxmlformats.org/officeDocument/2006/relationships/hyperlink" Target="http://www.sulphuric-acid.com/sulphuric-acid-on-the-web/acid%20plants/Nyrstar%20-%20Clarksville.htm" TargetMode="External"/><Relationship Id="rId750" Type="http://schemas.openxmlformats.org/officeDocument/2006/relationships/hyperlink" Target="https://minedocs.com/24/Pan-TR-12312022.pdf" TargetMode="External"/><Relationship Id="rId848" Type="http://schemas.openxmlformats.org/officeDocument/2006/relationships/hyperlink" Target="https://pubs.usgs.gov/myb/vol1/2019/myb1-2019-rhenium.pdf" TargetMode="External"/><Relationship Id="rId1033" Type="http://schemas.openxmlformats.org/officeDocument/2006/relationships/hyperlink" Target="https://www.sec.gov/Archives/edgar/data/941174/000095014401004647/g68095e10-k405.txt" TargetMode="External"/><Relationship Id="rId1478" Type="http://schemas.openxmlformats.org/officeDocument/2006/relationships/hyperlink" Target="https://www.globenewswire.com/news-release/2024/09/12/2945625/0/en/centerra-gold-announces-thompson-creek-feasibility-study-results-and-strategic-plan-for-us-molybdenum-operations-including-a-restart-of-the-thompson-creek-mine-and-ramp-up-of-lange.html" TargetMode="External"/><Relationship Id="rId487" Type="http://schemas.openxmlformats.org/officeDocument/2006/relationships/hyperlink" Target="https://pubs.usgs.gov/myb/vol1/2021/myb1-2021-tungsten.pdf" TargetMode="External"/><Relationship Id="rId610" Type="http://schemas.openxmlformats.org/officeDocument/2006/relationships/hyperlink" Target="http://content.stockpr.com/pershinggold/files/pages/relief-canyon/technical-reports/Relief+Canyon_2015_Technical_Report_v8.pdf" TargetMode="External"/><Relationship Id="rId694" Type="http://schemas.openxmlformats.org/officeDocument/2006/relationships/hyperlink" Target="https://pubs.usgs.gov/myb/vol1/2023/myb1-2023-manganese.pdf" TargetMode="External"/><Relationship Id="rId708" Type="http://schemas.openxmlformats.org/officeDocument/2006/relationships/hyperlink" Target="https://www.niocorp.com/wp-content/uploads/NioCorp_June-2022_NI_43-101_Technical_Report.pdf" TargetMode="External"/><Relationship Id="rId915" Type="http://schemas.openxmlformats.org/officeDocument/2006/relationships/hyperlink" Target="https://www.hooverandstrong.com/landing/Refining" TargetMode="External"/><Relationship Id="rId1240" Type="http://schemas.openxmlformats.org/officeDocument/2006/relationships/hyperlink" Target="https://investors.fcx.com/investors/news-releases/news-release-details/2023/Freeport-McMoRan-Reports-Fourth-Quarter-And-Year-Ended-2022-Results/default.aspx;%20https:/www.climaxmolybdenum.com/operations/usa" TargetMode="External"/><Relationship Id="rId1338" Type="http://schemas.openxmlformats.org/officeDocument/2006/relationships/hyperlink" Target="file:///C:\Users\tmobrien\OneDrive%20-%20DOI\old%20Desktop\facilities\Pinson%20PFS.pdf" TargetMode="External"/><Relationship Id="rId347" Type="http://schemas.openxmlformats.org/officeDocument/2006/relationships/hyperlink" Target="https://company-announcements.afr.com/asx/5ea/2348c8d7-f04a-11ed-82f2-6e9c8c69ee5f.pdf" TargetMode="External"/><Relationship Id="rId999" Type="http://schemas.openxmlformats.org/officeDocument/2006/relationships/hyperlink" Target="https://www.energy.virginia.gov/public/documents/newsroom/2023/Press_Release_Lhoist_Fatality_Investigation_Completed20230620.pdf" TargetMode="External"/><Relationship Id="rId1100" Type="http://schemas.openxmlformats.org/officeDocument/2006/relationships/hyperlink" Target="https://appiancapitaladvisory.com/portfolio/asm/" TargetMode="External"/><Relationship Id="rId1184" Type="http://schemas.openxmlformats.org/officeDocument/2006/relationships/hyperlink" Target="https://goldresourcecorp.com/site/assets/files/6493/sk1300_b40_gold_resource_corp_filed_10_27_2023.pdf" TargetMode="External"/><Relationship Id="rId1405" Type="http://schemas.openxmlformats.org/officeDocument/2006/relationships/hyperlink" Target="https://www.kgs.ku.edu/Publications/Bulletins/133/04_blaine.html" TargetMode="External"/><Relationship Id="rId44" Type="http://schemas.openxmlformats.org/officeDocument/2006/relationships/hyperlink" Target="https://www.paperfirst.info/resolute-announces-indefinite-idling-of-pulp-and-paper-operations-at-calhoun-tn-mill/" TargetMode="External"/><Relationship Id="rId554" Type="http://schemas.openxmlformats.org/officeDocument/2006/relationships/hyperlink" Target="https://www.kennecott-groundbreakers.com/stories/the-story-of-refining-copper-ores-recovered-from-bingham-canyon-utah" TargetMode="External"/><Relationship Id="rId761" Type="http://schemas.openxmlformats.org/officeDocument/2006/relationships/hyperlink" Target="https://www.mesabimetallics.com/product/" TargetMode="External"/><Relationship Id="rId859" Type="http://schemas.openxmlformats.org/officeDocument/2006/relationships/hyperlink" Target="https://talonmetals.com/talon-metals-secures-51-ownership-of-tamarack-nickel-project-six-months-ahead-of-schedule/" TargetMode="External"/><Relationship Id="rId1391" Type="http://schemas.openxmlformats.org/officeDocument/2006/relationships/hyperlink" Target="https://aurisnoble.com/" TargetMode="External"/><Relationship Id="rId1489" Type="http://schemas.openxmlformats.org/officeDocument/2006/relationships/hyperlink" Target="https://www.mininggazette.com/news/front-page/2025/12/eagle-mine-sold/" TargetMode="External"/><Relationship Id="rId193" Type="http://schemas.openxmlformats.org/officeDocument/2006/relationships/hyperlink" Target="https://minerals.nv.gov/uploadedFiles/mineralsnvgov/content/Programs/Mining/2022%20Metallic%20Production%20by%20mine.pdf" TargetMode="External"/><Relationship Id="rId207" Type="http://schemas.openxmlformats.org/officeDocument/2006/relationships/hyperlink" Target="https://www.minerals.nv.gov/siteassets/content/programs/mining/2022_Metallic_Production_by_mine.pdf" TargetMode="External"/><Relationship Id="rId414" Type="http://schemas.openxmlformats.org/officeDocument/2006/relationships/hyperlink" Target="https://s28.q4cdn.com/607153883/files/doc_financials/2022/ar/ffc8355f-9960-4b14-b391-4c0236bc43b5.pdf" TargetMode="External"/><Relationship Id="rId498" Type="http://schemas.openxmlformats.org/officeDocument/2006/relationships/hyperlink" Target="https://doerun.com/history/" TargetMode="External"/><Relationship Id="rId621" Type="http://schemas.openxmlformats.org/officeDocument/2006/relationships/hyperlink" Target="https://www.fcx.com/sites/fcx/files/documents/operations/TRS-morenci.pdf" TargetMode="External"/><Relationship Id="rId1044" Type="http://schemas.openxmlformats.org/officeDocument/2006/relationships/hyperlink" Target="https://cmxgoldandsilver.com/wp-content/uploads/2024/01/Clayton-NI-43-101.pdf" TargetMode="External"/><Relationship Id="rId1251" Type="http://schemas.openxmlformats.org/officeDocument/2006/relationships/hyperlink" Target="https://wp-phoenixcopper-2024.s3.eu-west-2.amazonaws.com/media/2024/10/KonnexPFS.pdf" TargetMode="External"/><Relationship Id="rId1349" Type="http://schemas.openxmlformats.org/officeDocument/2006/relationships/hyperlink" Target="https://cdn.prod.website-files.com/67b9c5dc15db73b34fcf2bf3/69dcb7caacc18dfdd52202e2_Aclara%20-%20Integrated%20Value%20Chain%20press%20release.pdf" TargetMode="External"/><Relationship Id="rId260" Type="http://schemas.openxmlformats.org/officeDocument/2006/relationships/hyperlink" Target="https://minedocs.com/19/Phoenix-Fact-Sheet-10192021.pdf" TargetMode="External"/><Relationship Id="rId719" Type="http://schemas.openxmlformats.org/officeDocument/2006/relationships/hyperlink" Target="https://pubs.usgs.gov/myb/vol1/2023/myb1-2023-helium.pdf" TargetMode="External"/><Relationship Id="rId926" Type="http://schemas.openxmlformats.org/officeDocument/2006/relationships/hyperlink" Target="https://www.sabinmetal.com/locations/main-plant-sales-office" TargetMode="External"/><Relationship Id="rId1111" Type="http://schemas.openxmlformats.org/officeDocument/2006/relationships/hyperlink" Target="https://energyfuels.com/wp-content/uploads/2025/01/REVISED-FINAL_SLR-Energy-Fuels-La-Sal-FINAL-Technical-Report-23-Feb-2022.pdf" TargetMode="External"/><Relationship Id="rId55" Type="http://schemas.openxmlformats.org/officeDocument/2006/relationships/hyperlink" Target="https://www.lime.org/find-a-lime-plant/?categories=&amp;pagenum=" TargetMode="External"/><Relationship Id="rId120" Type="http://schemas.openxmlformats.org/officeDocument/2006/relationships/hyperlink" Target="https://www.upr.org/utah-news/2025-12-02/this-secretive-refinery-makes-gold-utahs-biggest-export-and-its-expanding" TargetMode="External"/><Relationship Id="rId358" Type="http://schemas.openxmlformats.org/officeDocument/2006/relationships/hyperlink" Target="https://www.sec.gov/Archives/edgar/data/1030192/000165495423003968/njmc_10k.htm" TargetMode="External"/><Relationship Id="rId565" Type="http://schemas.openxmlformats.org/officeDocument/2006/relationships/hyperlink" Target="https://pubs.usgs.gov/myb/vol1/2022/myb1-2022-gallium.pdf" TargetMode="External"/><Relationship Id="rId772" Type="http://schemas.openxmlformats.org/officeDocument/2006/relationships/hyperlink" Target="https://www.mining-technology.com/marketdata/five-largest-lead-mines-the-us/" TargetMode="External"/><Relationship Id="rId1195" Type="http://schemas.openxmlformats.org/officeDocument/2006/relationships/hyperlink" Target="https://www.mining-technology.com/projects/betze-post-gold-mine-nevada/?cf-view" TargetMode="External"/><Relationship Id="rId1209" Type="http://schemas.openxmlformats.org/officeDocument/2006/relationships/hyperlink" Target="https://archive.epa.gov/epawaste/nonhaz/industrial/special/web/pdf/goldch5.pdf" TargetMode="External"/><Relationship Id="rId1416" Type="http://schemas.openxmlformats.org/officeDocument/2006/relationships/hyperlink" Target="https://www.usg.com/en-US/about-usg/locations/manufacturing-plants" TargetMode="External"/><Relationship Id="rId218" Type="http://schemas.openxmlformats.org/officeDocument/2006/relationships/hyperlink" Target="https://operations.newmont.com/united-states/nevada-usa" TargetMode="External"/><Relationship Id="rId425" Type="http://schemas.openxmlformats.org/officeDocument/2006/relationships/hyperlink" Target="https://www.prnewswire.com/news-releases/uranium-energy-corp-sweetwater-project-designated-by-us-government-for-fast-track-permitting-to-add-in-situ-recovery-capability-creating-the-largest-dual-feed-uranium-facility-in-the-us-302521478.html" TargetMode="External"/><Relationship Id="rId632" Type="http://schemas.openxmlformats.org/officeDocument/2006/relationships/hyperlink" Target="https://minedocs.com/19/Sunshine-PEA-01172020.pdf" TargetMode="External"/><Relationship Id="rId1055" Type="http://schemas.openxmlformats.org/officeDocument/2006/relationships/hyperlink" Target="http://www.sulphuric-acid.com/sulphuric-acid-on-the-web/acid%20plants/pvs%20chemical%20-%20buffalo.htm" TargetMode="External"/><Relationship Id="rId1262" Type="http://schemas.openxmlformats.org/officeDocument/2006/relationships/hyperlink" Target="https://minedocs.com/23/NorthMet-FS-12302022.pdf" TargetMode="External"/><Relationship Id="rId271" Type="http://schemas.openxmlformats.org/officeDocument/2006/relationships/hyperlink" Target="https://americas-gold.com/site/assets/files/6085/nr20260330b-1.pdf" TargetMode="External"/><Relationship Id="rId937" Type="http://schemas.openxmlformats.org/officeDocument/2006/relationships/hyperlink" Target="https://clui.org/ludb/site/smoky-canyon-mine" TargetMode="External"/><Relationship Id="rId1122" Type="http://schemas.openxmlformats.org/officeDocument/2006/relationships/hyperlink" Target="https://www.cameco.com/businesses/uranium-operations/suspended/smith-ranch-highland" TargetMode="External"/><Relationship Id="rId66" Type="http://schemas.openxmlformats.org/officeDocument/2006/relationships/hyperlink" Target="https://www.crystalsugar.com/about-our-cooperative/locations/" TargetMode="External"/><Relationship Id="rId131" Type="http://schemas.openxmlformats.org/officeDocument/2006/relationships/hyperlink" Target="https://www.riotinto.com/en/Operations/us/kennecott" TargetMode="External"/><Relationship Id="rId369" Type="http://schemas.openxmlformats.org/officeDocument/2006/relationships/hyperlink" Target="https://www.niocorp.com/wp-content/uploads/NioCorp_June-2022_NI_43-101_Technical_Report.pdf" TargetMode="External"/><Relationship Id="rId576" Type="http://schemas.openxmlformats.org/officeDocument/2006/relationships/hyperlink" Target="https://www.kinross.com/English/operations/default.aspx" TargetMode="External"/><Relationship Id="rId783" Type="http://schemas.openxmlformats.org/officeDocument/2006/relationships/hyperlink" Target="https://ecobat.com/2023/06/ecobat-resources-arizona-earns-third-consecutive-vpp-star-certification/" TargetMode="External"/><Relationship Id="rId990" Type="http://schemas.openxmlformats.org/officeDocument/2006/relationships/hyperlink" Target="https://www.graymont.com/locations/" TargetMode="External"/><Relationship Id="rId1427" Type="http://schemas.openxmlformats.org/officeDocument/2006/relationships/hyperlink" Target="https://pubs.usgs.gov/myb/vol1/2022/myb1-2022-titanium.pdf" TargetMode="External"/><Relationship Id="rId229" Type="http://schemas.openxmlformats.org/officeDocument/2006/relationships/hyperlink" Target="https://originmine.com/mineral-park/" TargetMode="External"/><Relationship Id="rId436" Type="http://schemas.openxmlformats.org/officeDocument/2006/relationships/hyperlink" Target="https://minedocs.com/20/Hycroft-Summary-Technical-Report-07312019.pdf" TargetMode="External"/><Relationship Id="rId643" Type="http://schemas.openxmlformats.org/officeDocument/2006/relationships/hyperlink" Target="https://www.sec.gov/Archives/edgar/data/915913/000091591324000016/exhibit9661231202310-k.htm" TargetMode="External"/><Relationship Id="rId1066" Type="http://schemas.openxmlformats.org/officeDocument/2006/relationships/hyperlink" Target="http://www.sulphuric-acid.com/Sulphuric-Acid-on-the-Web/Acid%20Plants/Chemtrade%20-%20Shreveport.htm" TargetMode="External"/><Relationship Id="rId1273" Type="http://schemas.openxmlformats.org/officeDocument/2006/relationships/hyperlink" Target="https://minedocs.com/23/NorthMet-FS-12302022.pdf" TargetMode="External"/><Relationship Id="rId1480" Type="http://schemas.openxmlformats.org/officeDocument/2006/relationships/hyperlink" Target="https://www.newswire.ca/news-releases/fire-river-gold-corp-update-on-the-progress-of-the-nixon-fork-gold-mine-510247581.html" TargetMode="External"/><Relationship Id="rId850" Type="http://schemas.openxmlformats.org/officeDocument/2006/relationships/hyperlink" Target="https://pubs.usgs.gov/myb/vol1/2021/myb1-2021-selenium-tellurium.pdf" TargetMode="External"/><Relationship Id="rId948" Type="http://schemas.openxmlformats.org/officeDocument/2006/relationships/hyperlink" Target="https://www.mass.gov/news/attorney-generals-office-announces-proposed-settlement-with-minerals-processing-facility-in-the-town-of-adams-over-alleged-state-and-federal-environmental-violations" TargetMode="External"/><Relationship Id="rId1133" Type="http://schemas.openxmlformats.org/officeDocument/2006/relationships/hyperlink" Target="https://ir.hecla.com/Investors/annual-reports-filings/sec-filings-details/default.aspx?FilingId=19156252" TargetMode="External"/><Relationship Id="rId77" Type="http://schemas.openxmlformats.org/officeDocument/2006/relationships/hyperlink" Target="https://www.lime.org/find-a-lime-plant/?startrow=2" TargetMode="External"/><Relationship Id="rId282" Type="http://schemas.openxmlformats.org/officeDocument/2006/relationships/hyperlink" Target="https://www.sec.gov/Archives/edgar/data/1691303/000119312526048914/hcc-20251231.htm" TargetMode="External"/><Relationship Id="rId503" Type="http://schemas.openxmlformats.org/officeDocument/2006/relationships/hyperlink" Target="https://www.gopherresource.com/newsroom/natural-resources-research-institute-partnership.html" TargetMode="External"/><Relationship Id="rId587" Type="http://schemas.openxmlformats.org/officeDocument/2006/relationships/hyperlink" Target="https://www.minerals.nv.gov/siteassets/content/programs/mining/2022_Metallic_Production_by_mine.pdf" TargetMode="External"/><Relationship Id="rId710" Type="http://schemas.openxmlformats.org/officeDocument/2006/relationships/hyperlink" Target="https://pubs.usgs.gov/myb/vol1/2022/myb1-2022-titanium.pdf" TargetMode="External"/><Relationship Id="rId808" Type="http://schemas.openxmlformats.org/officeDocument/2006/relationships/hyperlink" Target="https://www.bherenewables.com/geothermal-energy-projects" TargetMode="External"/><Relationship Id="rId1340" Type="http://schemas.openxmlformats.org/officeDocument/2006/relationships/hyperlink" Target="https://www.graphite.resonac.com/company/production-plants/" TargetMode="External"/><Relationship Id="rId1438" Type="http://schemas.openxmlformats.org/officeDocument/2006/relationships/hyperlink" Target="https://www.gp.com/about-us/locations/kansas" TargetMode="External"/><Relationship Id="rId8" Type="http://schemas.openxmlformats.org/officeDocument/2006/relationships/hyperlink" Target="https://doerun.com/what-we-do/mining-milling/" TargetMode="External"/><Relationship Id="rId142" Type="http://schemas.openxmlformats.org/officeDocument/2006/relationships/hyperlink" Target="https://www.titanminingcorp.com/news/news-releases/titan-launches-processing-facility-for-us-natural-flake-graphite-production-in-new-york" TargetMode="External"/><Relationship Id="rId447" Type="http://schemas.openxmlformats.org/officeDocument/2006/relationships/hyperlink" Target="https://usmagnesium.com/about-us-mag/" TargetMode="External"/><Relationship Id="rId794" Type="http://schemas.openxmlformats.org/officeDocument/2006/relationships/hyperlink" Target="https://americanbatterytechnology.com/projects/recycling-plant/" TargetMode="External"/><Relationship Id="rId1077" Type="http://schemas.openxmlformats.org/officeDocument/2006/relationships/hyperlink" Target="https://www.dispatch.com/story/business/2018/02/13/columbus-plaskolite-to-purchase-memphis/14803972007/?gnt-cfr=1&amp;gca-cat=p&amp;gca-uir=false&amp;gca-epti=z1167xxe1167xxv000048&amp;gca-ft=110&amp;gca-ds=sophi" TargetMode="External"/><Relationship Id="rId1200" Type="http://schemas.openxmlformats.org/officeDocument/2006/relationships/hyperlink" Target="https://www.mining-technology.com/projects/betze-post-gold-mine-nevada/?cf-view" TargetMode="External"/><Relationship Id="rId654" Type="http://schemas.openxmlformats.org/officeDocument/2006/relationships/hyperlink" Target="https://www.fastmarkets.com/insights/korea-zincs-jpmorgan-backed-crucible-plant-to-focus-on-us-material/" TargetMode="External"/><Relationship Id="rId861" Type="http://schemas.openxmlformats.org/officeDocument/2006/relationships/hyperlink" Target="https://talonmetals.com/talon-metals-secures-51-ownership-of-tamarack-nickel-project-six-months-ahead-of-schedule/" TargetMode="External"/><Relationship Id="rId959" Type="http://schemas.openxmlformats.org/officeDocument/2006/relationships/hyperlink" Target="https://www.osha.gov/ords/imis/establishment.inspection_detail?id=1799762.015" TargetMode="External"/><Relationship Id="rId1284" Type="http://schemas.openxmlformats.org/officeDocument/2006/relationships/hyperlink" Target="https://comstock.inc/press-release/comstock-announces-full-year-2022-results/" TargetMode="External"/><Relationship Id="rId1491" Type="http://schemas.openxmlformats.org/officeDocument/2006/relationships/hyperlink" Target="https://pubs.usgs.gov/myb/vol1/2021/myb1-2021-copper.pdf" TargetMode="External"/><Relationship Id="rId1505" Type="http://schemas.openxmlformats.org/officeDocument/2006/relationships/hyperlink" Target="https://www.asbury.com/materials/coke/" TargetMode="External"/><Relationship Id="rId293" Type="http://schemas.openxmlformats.org/officeDocument/2006/relationships/hyperlink" Target="https://www.prnewswire.com/news-releases/georgia-pacific-announces-plans-to-build-state-of-the-art-gypsum-production-facility-near-sweetwater-nolan-county-texas-301137502.html" TargetMode="External"/><Relationship Id="rId307" Type="http://schemas.openxmlformats.org/officeDocument/2006/relationships/hyperlink" Target="https://www.goldrichmining.com/media/downloads/IA/Goldrich-Mining-IA-2023.pdf" TargetMode="External"/><Relationship Id="rId514" Type="http://schemas.openxmlformats.org/officeDocument/2006/relationships/hyperlink" Target="https://pubs.usgs.gov/myb/vol1/2022/myb1-2022-barite.pdf" TargetMode="External"/><Relationship Id="rId721" Type="http://schemas.openxmlformats.org/officeDocument/2006/relationships/hyperlink" Target="https://pubs.usgs.gov/myb/vol1/2023/myb1-2023-helium.pdf" TargetMode="External"/><Relationship Id="rId1144" Type="http://schemas.openxmlformats.org/officeDocument/2006/relationships/hyperlink" Target="https://www.western-uranium.com/_resources/presentations/corporate-presentation.pdf" TargetMode="External"/><Relationship Id="rId1351" Type="http://schemas.openxmlformats.org/officeDocument/2006/relationships/hyperlink" Target="https://cdn.prod.website-files.com/67b9c5dc15db73b34fcf2bf3/69dcb7caacc18dfdd52202e2_Aclara%20-%20Integrated%20Value%20Chain%20press%20release.pdf" TargetMode="External"/><Relationship Id="rId1449" Type="http://schemas.openxmlformats.org/officeDocument/2006/relationships/hyperlink" Target="https://www.redwoodmaterials.com/news/sustainable-battery-materials-process/" TargetMode="External"/><Relationship Id="rId88" Type="http://schemas.openxmlformats.org/officeDocument/2006/relationships/hyperlink" Target="https://www.capitaliq.spglobal.com/apisv3/spg-webplatform-core/metalsAndMiningProperty/profile?ID=33492" TargetMode="External"/><Relationship Id="rId153" Type="http://schemas.openxmlformats.org/officeDocument/2006/relationships/hyperlink" Target="https://minedocs.com/21/PintoValley_TR_06112021.pdf" TargetMode="External"/><Relationship Id="rId360" Type="http://schemas.openxmlformats.org/officeDocument/2006/relationships/hyperlink" Target="https://www.goldbarsworldwide.com/PDF/RB_5_MetalorGoldBars.pdf" TargetMode="External"/><Relationship Id="rId598" Type="http://schemas.openxmlformats.org/officeDocument/2006/relationships/hyperlink" Target="https://minedocs.com/21/CastleMountain_FS_02262021.pdf" TargetMode="External"/><Relationship Id="rId819" Type="http://schemas.openxmlformats.org/officeDocument/2006/relationships/hyperlink" Target="https://www.recycledmaterials.org/li-cycle-grows-hub-spoke-battery-recycling-network/" TargetMode="External"/><Relationship Id="rId1004" Type="http://schemas.openxmlformats.org/officeDocument/2006/relationships/hyperlink" Target="https://www.michigansugar.com/about-us/locations/" TargetMode="External"/><Relationship Id="rId1211" Type="http://schemas.openxmlformats.org/officeDocument/2006/relationships/hyperlink" Target="https://minerals.nv.gov/uploadedFiles/mineralsnvgov/content/Programs/Mining/2022%20Metallic%20Production%20by%20mine.pdf" TargetMode="External"/><Relationship Id="rId220" Type="http://schemas.openxmlformats.org/officeDocument/2006/relationships/hyperlink" Target="https://www.recyclingtoday.com/news/metallix-usa-sibanye-stillwater-south-africa-acquisition-gold-silver-platinum-recycling/" TargetMode="External"/><Relationship Id="rId458" Type="http://schemas.openxmlformats.org/officeDocument/2006/relationships/hyperlink" Target="https://www.montanagoldfieldsinc.com/diamond-hill/" TargetMode="External"/><Relationship Id="rId665" Type="http://schemas.openxmlformats.org/officeDocument/2006/relationships/hyperlink" Target="https://pubs.usgs.gov/myb/vol1/2023/myb1-2023-cobalt.pdf" TargetMode="External"/><Relationship Id="rId872" Type="http://schemas.openxmlformats.org/officeDocument/2006/relationships/hyperlink" Target="https://www.war.gov/News/Releases/Release/Article/3912485/department-of-defense-awards-264-million-for-low-cost-domestic-production-of-hi/" TargetMode="External"/><Relationship Id="rId1088" Type="http://schemas.openxmlformats.org/officeDocument/2006/relationships/hyperlink" Target="http://www.sulphuric-acid.com/Sulphuric-Acid-on-the-Web/Acid%20Plants/Rhodia%20-%20Martinez.htm" TargetMode="External"/><Relationship Id="rId1295" Type="http://schemas.openxmlformats.org/officeDocument/2006/relationships/hyperlink" Target="https://www.montanagoldfieldsinc.com/montana-tunnels/" TargetMode="External"/><Relationship Id="rId1309" Type="http://schemas.openxmlformats.org/officeDocument/2006/relationships/hyperlink" Target="https://miningdataonline.com/property/113/Mountain-Laurel-Mine.aspx" TargetMode="External"/><Relationship Id="rId1516" Type="http://schemas.openxmlformats.org/officeDocument/2006/relationships/hyperlink" Target="https://www.fcx.com/sites/fcx/files/documents/sierrita/2013/122013-a.pdf" TargetMode="External"/><Relationship Id="rId15" Type="http://schemas.openxmlformats.org/officeDocument/2006/relationships/hyperlink" Target="https://www.goldroyalty.com/portfolio/rawhide/" TargetMode="External"/><Relationship Id="rId318" Type="http://schemas.openxmlformats.org/officeDocument/2006/relationships/hyperlink" Target="https://www.msha.gov/data-reports/statistics/mines/mi/tawas-quarry" TargetMode="External"/><Relationship Id="rId525" Type="http://schemas.openxmlformats.org/officeDocument/2006/relationships/hyperlink" Target="https://pubs.usgs.gov/myb/vol1/2022/myb1-2022-barite.pdf" TargetMode="External"/><Relationship Id="rId732" Type="http://schemas.openxmlformats.org/officeDocument/2006/relationships/hyperlink" Target="https://pubs.usgs.gov/myb/vol1/2023/myb1-2023-helium.pdf" TargetMode="External"/><Relationship Id="rId1155" Type="http://schemas.openxmlformats.org/officeDocument/2006/relationships/hyperlink" Target="https://alliedmetalcompany.com/" TargetMode="External"/><Relationship Id="rId1362" Type="http://schemas.openxmlformats.org/officeDocument/2006/relationships/hyperlink" Target="https://spectrum.ieee.org/advanced-magnet-manufacturing-in-us" TargetMode="External"/><Relationship Id="rId99" Type="http://schemas.openxmlformats.org/officeDocument/2006/relationships/hyperlink" Target="https://www.electrabmc.com/_resources/reports/Iron-Creek-Tech-Report-2023-Final.pdf" TargetMode="External"/><Relationship Id="rId164" Type="http://schemas.openxmlformats.org/officeDocument/2006/relationships/hyperlink" Target="https://www.kinross.com/operations/americas/Explore-Fort-Knox-America/default.aspx" TargetMode="External"/><Relationship Id="rId371" Type="http://schemas.openxmlformats.org/officeDocument/2006/relationships/hyperlink" Target="https://www.niocorp.com/wp-content/uploads/NioCorp_June-2022_NI_43-101_Technical_Report.pdf" TargetMode="External"/><Relationship Id="rId1015" Type="http://schemas.openxmlformats.org/officeDocument/2006/relationships/hyperlink" Target="https://pubs.usgs.gov/myb/vol1/2019/myb1-2019-rhenium.pdf" TargetMode="External"/><Relationship Id="rId1222" Type="http://schemas.openxmlformats.org/officeDocument/2006/relationships/hyperlink" Target="https://pubs.usgs.gov/myb/vol1/2022/myb1-2022-fluorspar.pdf" TargetMode="External"/><Relationship Id="rId469" Type="http://schemas.openxmlformats.org/officeDocument/2006/relationships/hyperlink" Target="https://pubs.usgs.gov/myb/vol1/2019/myb1-2019-titanium.pdf" TargetMode="External"/><Relationship Id="rId676" Type="http://schemas.openxmlformats.org/officeDocument/2006/relationships/hyperlink" Target="https://www.argusmedia.com/zh/news-and-insights/latest-market-news/2022200-sdi-la-farga-to-add-second-furnace" TargetMode="External"/><Relationship Id="rId883" Type="http://schemas.openxmlformats.org/officeDocument/2006/relationships/hyperlink" Target="https://minedocs.com/18/Stillwater-Operation-TRS-12312024.pdf" TargetMode="External"/><Relationship Id="rId1099" Type="http://schemas.openxmlformats.org/officeDocument/2006/relationships/hyperlink" Target="https://appiancapitaladvisory.com/portfolio/asm/" TargetMode="External"/><Relationship Id="rId1527" Type="http://schemas.openxmlformats.org/officeDocument/2006/relationships/hyperlink" Target="https://www.northernminer.com/news/ray-expansion-boosts-asarco-copper-output/1000132788/" TargetMode="External"/><Relationship Id="rId26" Type="http://schemas.openxmlformats.org/officeDocument/2006/relationships/hyperlink" Target="https://www.ssrmining.com/operations/production/marigold/" TargetMode="External"/><Relationship Id="rId231" Type="http://schemas.openxmlformats.org/officeDocument/2006/relationships/hyperlink" Target="https://originmine.com/mineral-park/" TargetMode="External"/><Relationship Id="rId329" Type="http://schemas.openxmlformats.org/officeDocument/2006/relationships/hyperlink" Target="https://clui.org/ludb/site/plaster-city" TargetMode="External"/><Relationship Id="rId536" Type="http://schemas.openxmlformats.org/officeDocument/2006/relationships/hyperlink" Target="https://pubs.usgs.gov/myb/vol1/2021/myb1-2021-copper.pdf" TargetMode="External"/><Relationship Id="rId1166" Type="http://schemas.openxmlformats.org/officeDocument/2006/relationships/hyperlink" Target="https://www.everzinc.com/en/chemicals-and-lubricants" TargetMode="External"/><Relationship Id="rId1373" Type="http://schemas.openxmlformats.org/officeDocument/2006/relationships/hyperlink" Target="https://investors.kennametal.com/static-files/8b63e9e3-30b0-41cc-b423-a0fb246edeee" TargetMode="External"/><Relationship Id="rId175" Type="http://schemas.openxmlformats.org/officeDocument/2006/relationships/hyperlink" Target="https://nam.org/pentagon-korea-zinc-partner-on-tennessee-mineral-smelter-35425/?stream=series-input-stories" TargetMode="External"/><Relationship Id="rId743" Type="http://schemas.openxmlformats.org/officeDocument/2006/relationships/hyperlink" Target="https://americas-gold.com/operations/galena-complex/" TargetMode="External"/><Relationship Id="rId950" Type="http://schemas.openxmlformats.org/officeDocument/2006/relationships/hyperlink" Target="https://maps.app.goo.gl/ACt3i4yzLD57g4h78" TargetMode="External"/><Relationship Id="rId1026" Type="http://schemas.openxmlformats.org/officeDocument/2006/relationships/hyperlink" Target="https://pubs.usgs.gov/myb/vol1/2022/myb1-2022-selenium-tellurium.pdf" TargetMode="External"/><Relationship Id="rId382" Type="http://schemas.openxmlformats.org/officeDocument/2006/relationships/hyperlink" Target="https://d18rn0p25nwr6d.cloudfront.net/CIK-0001285785/c177b49b-a7e5-4f2f-afbc-b1fdc9629748.pdf" TargetMode="External"/><Relationship Id="rId603" Type="http://schemas.openxmlformats.org/officeDocument/2006/relationships/hyperlink" Target="https://www.i80gold.com/wp-content/uploads/2025/03/i-80-Gold-Corp.-Ruby-Hill-43-101-PEA-Technical-Report-Final-03_31_25.pdf" TargetMode="External"/><Relationship Id="rId687" Type="http://schemas.openxmlformats.org/officeDocument/2006/relationships/hyperlink" Target="https://www.sec.gov/Archives/edgar/data/831259/000083125922000009/fcx-20211231.htm" TargetMode="External"/><Relationship Id="rId810" Type="http://schemas.openxmlformats.org/officeDocument/2006/relationships/hyperlink" Target="https://www.cirbasolutions.com/cirba-solutions-expands-ohio-lithium-ion-processing-facility/?srsltid=AfmBOopefissdZd2B6QqfC62EnSVGAA05EsaU_B2WcsWZsF7d5_N0G5x" TargetMode="External"/><Relationship Id="rId908" Type="http://schemas.openxmlformats.org/officeDocument/2006/relationships/hyperlink" Target="https://pubs.usgs.gov/myb/vol1/2021/myb1-2021-platinum-group.pdf" TargetMode="External"/><Relationship Id="rId1233" Type="http://schemas.openxmlformats.org/officeDocument/2006/relationships/hyperlink" Target="https://www.empireminingco.com/copy-of-agriculture" TargetMode="External"/><Relationship Id="rId1440" Type="http://schemas.openxmlformats.org/officeDocument/2006/relationships/hyperlink" Target="https://www.uslm.com/USLM_Oklahoma.html" TargetMode="External"/><Relationship Id="rId1538" Type="http://schemas.openxmlformats.org/officeDocument/2006/relationships/hyperlink" Target="https://pubs.usgs.gov/myb/vol1/2022/myb1-2022-zinc.pdf" TargetMode="External"/><Relationship Id="rId242" Type="http://schemas.openxmlformats.org/officeDocument/2006/relationships/hyperlink" Target="https://makominingcorp.com/projects/usa/production/moss-mine/" TargetMode="External"/><Relationship Id="rId894" Type="http://schemas.openxmlformats.org/officeDocument/2006/relationships/hyperlink" Target="https://minedocs.com/18/Stillwater-Operation-TRS-12312024.pdf" TargetMode="External"/><Relationship Id="rId1177" Type="http://schemas.openxmlformats.org/officeDocument/2006/relationships/hyperlink" Target="https://bluemoonmetals.com/project/blue-moon/" TargetMode="External"/><Relationship Id="rId1300" Type="http://schemas.openxmlformats.org/officeDocument/2006/relationships/hyperlink" Target="https://multimetdev.com/wp-content/uploads/2020/06/CuMo_PEA_NI43-101_June-2-2020.pdf" TargetMode="External"/><Relationship Id="rId37" Type="http://schemas.openxmlformats.org/officeDocument/2006/relationships/hyperlink" Target="https://maps.app.goo.gl/3df3yUgnNaKNDBAS8" TargetMode="External"/><Relationship Id="rId102" Type="http://schemas.openxmlformats.org/officeDocument/2006/relationships/hyperlink" Target="https://www.transatlanticminingcorp.com/wp-content/uploads/2026/01/26.01-Monitor_TR_Final.pdf" TargetMode="External"/><Relationship Id="rId547" Type="http://schemas.openxmlformats.org/officeDocument/2006/relationships/hyperlink" Target="https://pubs.usgs.gov/myb/vol1/2021/myb1-2021-copper.pdf" TargetMode="External"/><Relationship Id="rId754" Type="http://schemas.openxmlformats.org/officeDocument/2006/relationships/hyperlink" Target="https://www.kinross.com/English/operations/default.aspx" TargetMode="External"/><Relationship Id="rId961" Type="http://schemas.openxmlformats.org/officeDocument/2006/relationships/hyperlink" Target="https://www.paperfirst.info/resolute-announces-indefinite-idling-of-pulp-and-paper-operations-at-calhoun-tn-mill/" TargetMode="External"/><Relationship Id="rId1384" Type="http://schemas.openxmlformats.org/officeDocument/2006/relationships/hyperlink" Target="https://www.gp.com/about-us/locations/texas" TargetMode="External"/><Relationship Id="rId90" Type="http://schemas.openxmlformats.org/officeDocument/2006/relationships/hyperlink" Target="https://www.capitaliq.spglobal.com/apisv3/spg-webplatform-core/metalsAndMiningProperty/profile?ID=33492" TargetMode="External"/><Relationship Id="rId186" Type="http://schemas.openxmlformats.org/officeDocument/2006/relationships/hyperlink" Target="https://apcrp.org/CERBAT/Cerbat_Cem_mast_text.htm" TargetMode="External"/><Relationship Id="rId393" Type="http://schemas.openxmlformats.org/officeDocument/2006/relationships/hyperlink" Target="https://www.recyclingtoday.com/news/metallix-usa-sibanye-stillwater-south-africa-acquisition-gold-silver-platinum-recycling/" TargetMode="External"/><Relationship Id="rId407" Type="http://schemas.openxmlformats.org/officeDocument/2006/relationships/hyperlink" Target="https://encoreuranium.com/wp-content/uploads/2025/02/2025_2_13_South-Texas-Uranium-Project-Technical-Report_FINAL.pdf" TargetMode="External"/><Relationship Id="rId614" Type="http://schemas.openxmlformats.org/officeDocument/2006/relationships/hyperlink" Target="https://www.sec.gov/Archives/edgar/data/831259/000083125922000009/fcx-20211231.htm" TargetMode="External"/><Relationship Id="rId821" Type="http://schemas.openxmlformats.org/officeDocument/2006/relationships/hyperlink" Target="https://www.recycledmaterials.org/li-cycle-grows-hub-spoke-battery-recycling-network/" TargetMode="External"/><Relationship Id="rId1037" Type="http://schemas.openxmlformats.org/officeDocument/2006/relationships/hyperlink" Target="https://dep.wv.gov/daq/permitting/titlevpermits/Documents/December%202016/WVA%20Alloy%20renew%20app.pdf" TargetMode="External"/><Relationship Id="rId1244" Type="http://schemas.openxmlformats.org/officeDocument/2006/relationships/hyperlink" Target="https://northbay-resources.com/portfolio/bishop-gold-mill/" TargetMode="External"/><Relationship Id="rId1451" Type="http://schemas.openxmlformats.org/officeDocument/2006/relationships/hyperlink" Target="https://d9-wret.s3.us-west-2.amazonaws.com/assets/palladium/production/mineral-pubs/magnesium/401496.pdf" TargetMode="External"/><Relationship Id="rId253" Type="http://schemas.openxmlformats.org/officeDocument/2006/relationships/hyperlink" Target="https://minedocs.com/24/Pan-TR-12312022.pdf" TargetMode="External"/><Relationship Id="rId460" Type="http://schemas.openxmlformats.org/officeDocument/2006/relationships/hyperlink" Target="https://static1.squarespace.com/static/6807b8b87d058a08ac563fb1/t/69906f9dde27ba74c399f405/1771073437914/Gold+Road+Presentation+-+February+2026.pdf" TargetMode="External"/><Relationship Id="rId698" Type="http://schemas.openxmlformats.org/officeDocument/2006/relationships/hyperlink" Target="https://www.pyrotek.com/blog/anovion-launches-as-a-leader-in-the-north-american-battery-materials-supply-chain-bringing-proven-anode-technologies-and-over-140-years-of-history-in-synthetic-graphite-production/" TargetMode="External"/><Relationship Id="rId919" Type="http://schemas.openxmlformats.org/officeDocument/2006/relationships/hyperlink" Target="file:///C:\Users\tmobrien\AppData\Local\Temp\1\MicrosoftEdgeDownloads\f271cbde-f726-43b9-bcb0-a886dde2fb58\PGMPaperDraft_11_27_2025.pdf" TargetMode="External"/><Relationship Id="rId1090" Type="http://schemas.openxmlformats.org/officeDocument/2006/relationships/hyperlink" Target="http://www.sulphuric-acid.com/Sulphuric-Acid-on-the-Web/Acid%20Plants/Valero%20-%20McKee%20Refinery.htm" TargetMode="External"/><Relationship Id="rId1104" Type="http://schemas.openxmlformats.org/officeDocument/2006/relationships/hyperlink" Target="https://iperionx.com/2025/10/30/iperionx-september-2025-quarterly-report/" TargetMode="External"/><Relationship Id="rId1311" Type="http://schemas.openxmlformats.org/officeDocument/2006/relationships/hyperlink" Target="https://www.gem.wiki/West_Elk_Coal_Mine" TargetMode="External"/><Relationship Id="rId48" Type="http://schemas.openxmlformats.org/officeDocument/2006/relationships/hyperlink" Target="https://www.facebook.com/GeorgiaPacific/posts/we-have-made-the-difficult-decision-to-close-our-mcqueeney-texas-gypsum-facility/661052219384105/" TargetMode="External"/><Relationship Id="rId113" Type="http://schemas.openxmlformats.org/officeDocument/2006/relationships/hyperlink" Target="https://pubs.usgs.gov/of/2000/of00-425/chapters/15_Ballard.pdf" TargetMode="External"/><Relationship Id="rId320" Type="http://schemas.openxmlformats.org/officeDocument/2006/relationships/hyperlink" Target="https://asmi.az.gov/sites/default/files/2026-04/2026%205.21%20PUBLIC%20MEETING%20AGENDA%20National%20Gypsum.pdf" TargetMode="External"/><Relationship Id="rId558" Type="http://schemas.openxmlformats.org/officeDocument/2006/relationships/hyperlink" Target="https://www.fcx.com/operations/north-america" TargetMode="External"/><Relationship Id="rId765" Type="http://schemas.openxmlformats.org/officeDocument/2006/relationships/hyperlink" Target="https://pubs.usgs.gov/myb/vol1/2019/myb1-2019-lead.pdf" TargetMode="External"/><Relationship Id="rId972" Type="http://schemas.openxmlformats.org/officeDocument/2006/relationships/hyperlink" Target="https://www.lime.org/find-a-lime-plant/?categories=&amp;pagenum=" TargetMode="External"/><Relationship Id="rId1188" Type="http://schemas.openxmlformats.org/officeDocument/2006/relationships/hyperlink" Target="https://www.usantimony.com/uamy-production-facilities" TargetMode="External"/><Relationship Id="rId1395" Type="http://schemas.openxmlformats.org/officeDocument/2006/relationships/hyperlink" Target="https://aurisnoble.com/" TargetMode="External"/><Relationship Id="rId1409" Type="http://schemas.openxmlformats.org/officeDocument/2006/relationships/hyperlink" Target="https://www.oldcastleapg.com/our-locations/" TargetMode="External"/><Relationship Id="rId197" Type="http://schemas.openxmlformats.org/officeDocument/2006/relationships/hyperlink" Target="https://minedocs.com/20/Hycroft-Summary-Technical-Report-07312019.pdf" TargetMode="External"/><Relationship Id="rId418" Type="http://schemas.openxmlformats.org/officeDocument/2006/relationships/hyperlink" Target="file:///C:\Users\tmobrien\AppData\Local\Temp\1\MicrosoftEdgeDownloads\2901a48a-fa6f-4e96-9c09-32e08630d954\UUUU%20(Energy%20Fuels%20Inc)%20%20(10-K)%202023-03-08.pdf_.pdf" TargetMode="External"/><Relationship Id="rId625" Type="http://schemas.openxmlformats.org/officeDocument/2006/relationships/hyperlink" Target="https://wp-andeanpm-2023.s3.ca-central-1.amazonaws.com/media/2024/02/28203450/Soledad-Mountain-Technical-Report-2023-31Jan24-FINAL.pdf" TargetMode="External"/><Relationship Id="rId832" Type="http://schemas.openxmlformats.org/officeDocument/2006/relationships/hyperlink" Target="https://www.standardlithium.com/news/standard-lithium-files-definitive-feasibility-study-for-its-first-commercial-lithium-extraction-plant--phase-1a" TargetMode="External"/><Relationship Id="rId1048" Type="http://schemas.openxmlformats.org/officeDocument/2006/relationships/hyperlink" Target="https://19january2017snapshot.epa.gov/enforcement/reference-news-release-us-epa-requires-asarco-cut-toxic-emissions-103-year-old-arizona_.html" TargetMode="External"/><Relationship Id="rId1255" Type="http://schemas.openxmlformats.org/officeDocument/2006/relationships/hyperlink" Target="https://www.aaamolybdenum.com/mo/" TargetMode="External"/><Relationship Id="rId1462" Type="http://schemas.openxmlformats.org/officeDocument/2006/relationships/hyperlink" Target="https://www.crystalsugar.com/location/crookston-mn/" TargetMode="External"/><Relationship Id="rId264" Type="http://schemas.openxmlformats.org/officeDocument/2006/relationships/hyperlink" Target="https://www.kinterracapital.com/portfolio/pumpkin-hollow-copper" TargetMode="External"/><Relationship Id="rId471" Type="http://schemas.openxmlformats.org/officeDocument/2006/relationships/hyperlink" Target="https://pubs.usgs.gov/myb/vol1/2019/myb1-2019-titanium.pdf" TargetMode="External"/><Relationship Id="rId1115" Type="http://schemas.openxmlformats.org/officeDocument/2006/relationships/hyperlink" Target="https://encoreuranium.com/wp-content/uploads/2024/04/enCore_AR2023_FINAL.pdf" TargetMode="External"/><Relationship Id="rId1322" Type="http://schemas.openxmlformats.org/officeDocument/2006/relationships/hyperlink" Target="https://drummondco.com/our-companies/abc-coke/" TargetMode="External"/><Relationship Id="rId59" Type="http://schemas.openxmlformats.org/officeDocument/2006/relationships/hyperlink" Target="https://www.carmeuse.com/eu-en/products-map" TargetMode="External"/><Relationship Id="rId124" Type="http://schemas.openxmlformats.org/officeDocument/2006/relationships/hyperlink" Target="https://goldresourcecorp.com/site/assets/files/6493/sk1300_b40_gold_resource_corp_filed_10_27_2023.pdf" TargetMode="External"/><Relationship Id="rId569" Type="http://schemas.openxmlformats.org/officeDocument/2006/relationships/hyperlink" Target="https://pubs.usgs.gov/myb/vol1/2023/myb1-2023-germanium.pdf" TargetMode="External"/><Relationship Id="rId776" Type="http://schemas.openxmlformats.org/officeDocument/2006/relationships/hyperlink" Target="https://d9-wret.s3.us-west-2.amazonaws.com/assets/palladium/production/mineral-pubs/lead/myb1-2010-lead.pdf" TargetMode="External"/><Relationship Id="rId983" Type="http://schemas.openxmlformats.org/officeDocument/2006/relationships/hyperlink" Target="https://www.crystalsugar.com/about-our-cooperative/locations/" TargetMode="External"/><Relationship Id="rId1199" Type="http://schemas.openxmlformats.org/officeDocument/2006/relationships/hyperlink" Target="https://www.montanaresources.com/about/" TargetMode="External"/><Relationship Id="rId331" Type="http://schemas.openxmlformats.org/officeDocument/2006/relationships/hyperlink" Target="https://www.usg.com/en-US/about-usg/locations/manufacturing-plants" TargetMode="External"/><Relationship Id="rId429" Type="http://schemas.openxmlformats.org/officeDocument/2006/relationships/hyperlink" Target="https://minedocs.com/24/Pan-TR-12312022.pdf" TargetMode="External"/><Relationship Id="rId636" Type="http://schemas.openxmlformats.org/officeDocument/2006/relationships/hyperlink" Target="https://www.sec.gov/Archives/edgar/data/1526243/000110465922069319/tm2217499d1_ex96-1.htm" TargetMode="External"/><Relationship Id="rId1059" Type="http://schemas.openxmlformats.org/officeDocument/2006/relationships/hyperlink" Target="http://www.sulphuric-acid.com/Sulphuric-Acid-on-the-Web/Acid%20Plants/PVS%20Chemical%20-%20Chicago.htm" TargetMode="External"/><Relationship Id="rId1266" Type="http://schemas.openxmlformats.org/officeDocument/2006/relationships/hyperlink" Target="https://minedocs.com/23/NorthMet-FS-12302022.pdf" TargetMode="External"/><Relationship Id="rId1473" Type="http://schemas.openxmlformats.org/officeDocument/2006/relationships/hyperlink" Target="https://www.juniorminingnetwork.com/junior-miner-news/press-releases/350-tsx/or/114621-osisko-announces-agreement-to-acquire-a-metals-stream-on-the-high-grade-trixie-mine-in-utah-s-historic-tintic-mining-district.html" TargetMode="External"/><Relationship Id="rId843" Type="http://schemas.openxmlformats.org/officeDocument/2006/relationships/hyperlink" Target="https://pubs.usgs.gov/myb/vol1/2023/myb1-2023-manganese.pdf" TargetMode="External"/><Relationship Id="rId1126" Type="http://schemas.openxmlformats.org/officeDocument/2006/relationships/hyperlink" Target="https://www.electrabmc.com/_resources/reports/Iron-Creek-Tech-Report-2023-Final.pdf" TargetMode="External"/><Relationship Id="rId275" Type="http://schemas.openxmlformats.org/officeDocument/2006/relationships/hyperlink" Target="https://www.idahogeology.org/pub/Staff_Reports/1999/S-99-2.pdf" TargetMode="External"/><Relationship Id="rId482" Type="http://schemas.openxmlformats.org/officeDocument/2006/relationships/hyperlink" Target="https://pubs.usgs.gov/myb/vol1/2022/myb1-2022-titanium.pdf" TargetMode="External"/><Relationship Id="rId703" Type="http://schemas.openxmlformats.org/officeDocument/2006/relationships/hyperlink" Target="https://www.tokaicarbon.co.jp/en/ir/ebook/an201901/pageindices/index23.html" TargetMode="External"/><Relationship Id="rId910" Type="http://schemas.openxmlformats.org/officeDocument/2006/relationships/hyperlink" Target="https://pubs.usgs.gov/myb/vol1/2021/myb1-2021-platinum-group.pdf" TargetMode="External"/><Relationship Id="rId1333" Type="http://schemas.openxmlformats.org/officeDocument/2006/relationships/hyperlink" Target="https://static1.squarespace.com/static/6807b8b87d058a08ac563fb1/t/69906f9dde27ba74c399f405/1771073437914/Gold+Road+Presentation+-+February+2026.pdf" TargetMode="External"/><Relationship Id="rId1540" Type="http://schemas.openxmlformats.org/officeDocument/2006/relationships/hyperlink" Target="https://pubs.usgs.gov/myb/vol1/2022/myb1-2022-copper.pdf" TargetMode="External"/><Relationship Id="rId135" Type="http://schemas.openxmlformats.org/officeDocument/2006/relationships/hyperlink" Target="https://www.barrick.com/English/operations/nevada-gold-mines/default.aspx" TargetMode="External"/><Relationship Id="rId342" Type="http://schemas.openxmlformats.org/officeDocument/2006/relationships/hyperlink" Target="https://www.graphite.resonac.com/company/production-plants/" TargetMode="External"/><Relationship Id="rId787" Type="http://schemas.openxmlformats.org/officeDocument/2006/relationships/hyperlink" Target="https://www.thomasnet.com/company/powerlab-inc-79395/profile?heading=43630201&amp;coverage_area=NA&amp;companyId=powerlab-inc-79395&amp;card_position=4&amp;page_number=1&amp;suppliers_in_page=25" TargetMode="External"/><Relationship Id="rId994" Type="http://schemas.openxmlformats.org/officeDocument/2006/relationships/hyperlink" Target="https://greerlimestone.com/" TargetMode="External"/><Relationship Id="rId1400" Type="http://schemas.openxmlformats.org/officeDocument/2006/relationships/hyperlink" Target="https://hollowayag.com/holloways-90th-anniversary-this-next-year-is-going-to-be-big/" TargetMode="External"/><Relationship Id="rId202" Type="http://schemas.openxmlformats.org/officeDocument/2006/relationships/hyperlink" Target="https://www.goldroyalty.com/portfolio/isabella-pearl/" TargetMode="External"/><Relationship Id="rId647" Type="http://schemas.openxmlformats.org/officeDocument/2006/relationships/hyperlink" Target="https://d9-wret.s3-us-west-2.amazonaws.com/assets/palladium/production/mineral-pubs/bromine/myb1-2016-bromi.pdf" TargetMode="External"/><Relationship Id="rId854" Type="http://schemas.openxmlformats.org/officeDocument/2006/relationships/hyperlink" Target="https://minedocs.com/18/Stillwater-Operation-TRS-12312024.pdf" TargetMode="External"/><Relationship Id="rId1277" Type="http://schemas.openxmlformats.org/officeDocument/2006/relationships/hyperlink" Target="https://minerals.nv.gov/uploadedFiles/mineralsnvgov/content/Programs/Mining/2022%20Metallic%20Production%20by%20mine.pdf" TargetMode="External"/><Relationship Id="rId1484" Type="http://schemas.openxmlformats.org/officeDocument/2006/relationships/hyperlink" Target="https://www.mininggazette.com/news/front-page/2025/12/eagle-mine-sold/" TargetMode="External"/><Relationship Id="rId286" Type="http://schemas.openxmlformats.org/officeDocument/2006/relationships/hyperlink" Target="https://www.steeldust.com/products.php" TargetMode="External"/><Relationship Id="rId493" Type="http://schemas.openxmlformats.org/officeDocument/2006/relationships/hyperlink" Target="https://usvanadium.com/us-vanadium-high-purity-vanadium/" TargetMode="External"/><Relationship Id="rId507" Type="http://schemas.openxmlformats.org/officeDocument/2006/relationships/hyperlink" Target="https://d9-wret.s3.us-west-2.amazonaws.com/assets/palladium/production/mineral-pubs/aluminum/alumimyb04.pdf" TargetMode="External"/><Relationship Id="rId714" Type="http://schemas.openxmlformats.org/officeDocument/2006/relationships/hyperlink" Target="https://usminecorp.com/ione-hmc-project/" TargetMode="External"/><Relationship Id="rId921" Type="http://schemas.openxmlformats.org/officeDocument/2006/relationships/hyperlink" Target="https://www.heraeus-precious-metals.com/en/company/press-and-news/heraeus-precious-metals-adds-a-smelter-to-its-recycling-capabilities/" TargetMode="External"/><Relationship Id="rId1137" Type="http://schemas.openxmlformats.org/officeDocument/2006/relationships/hyperlink" Target="https://ir.hecla.com/Investors/annual-reports-filings/sec-filings-details/default.aspx?FilingId=19156252" TargetMode="External"/><Relationship Id="rId1344" Type="http://schemas.openxmlformats.org/officeDocument/2006/relationships/hyperlink" Target="https://minedocs.com/28/Mountain-Pass-TR-10012024.pdf" TargetMode="External"/><Relationship Id="rId50" Type="http://schemas.openxmlformats.org/officeDocument/2006/relationships/hyperlink" Target="https://www.graymont.com/" TargetMode="External"/><Relationship Id="rId146" Type="http://schemas.openxmlformats.org/officeDocument/2006/relationships/hyperlink" Target="https://www.cnbc.com/2025/12/15/pentagon-korea-zinc-refinery-tennessee.html?msockid=1c73399e70b4602809062ec471ae6101" TargetMode="External"/><Relationship Id="rId353" Type="http://schemas.openxmlformats.org/officeDocument/2006/relationships/hyperlink" Target="https://bunkerhillmining.com/news-and-media/news-releases/bunker-hill-announces-prefeasibility-study-for-first-phase-of-mine-restart" TargetMode="External"/><Relationship Id="rId560" Type="http://schemas.openxmlformats.org/officeDocument/2006/relationships/hyperlink" Target="https://pubs.usgs.gov/myb/vol1/2018/myb1-2018-copper.pdf" TargetMode="External"/><Relationship Id="rId798" Type="http://schemas.openxmlformats.org/officeDocument/2006/relationships/hyperlink" Target="https://ir.aquametals.com/press-releases/detail/322/aqua-metals-advances-commercialization-of-aquarefining" TargetMode="External"/><Relationship Id="rId1190" Type="http://schemas.openxmlformats.org/officeDocument/2006/relationships/hyperlink" Target="https://www.niocorp.com/wp-content/uploads/NioCorp_June-2022_NI_43-101_Technical_Report.pdf" TargetMode="External"/><Relationship Id="rId1204" Type="http://schemas.openxmlformats.org/officeDocument/2006/relationships/hyperlink" Target="https://minedocs.com/11/Goldstrike_Technical_Report_03222019.pdf" TargetMode="External"/><Relationship Id="rId1411" Type="http://schemas.openxmlformats.org/officeDocument/2006/relationships/hyperlink" Target="https://static.azdeq.gov/pn/%e2%80%a2%20Old%20-%20Check%20then%20remove/190213_pcc_tsd.pdf" TargetMode="External"/><Relationship Id="rId213" Type="http://schemas.openxmlformats.org/officeDocument/2006/relationships/hyperlink" Target="https://www.aaamolybdenum.com/mo/" TargetMode="External"/><Relationship Id="rId420" Type="http://schemas.openxmlformats.org/officeDocument/2006/relationships/hyperlink" Target="https://www.pel.net.au/wp-content/uploads/2022/08/DFS-Completed-for-Lance.pdf" TargetMode="External"/><Relationship Id="rId658" Type="http://schemas.openxmlformats.org/officeDocument/2006/relationships/hyperlink" Target="https://www.fastmarkets.com/insights/korea-zincs-jpmorgan-backed-crucible-plant-to-focus-on-us-material/" TargetMode="External"/><Relationship Id="rId865" Type="http://schemas.openxmlformats.org/officeDocument/2006/relationships/hyperlink" Target="https://www.south32.net/docs/default-source/exchange-releases/hermosa-project-update-0x6e16b082af2a4715.pdf?sfvrsn=9a4bb0cc_0" TargetMode="External"/><Relationship Id="rId1050" Type="http://schemas.openxmlformats.org/officeDocument/2006/relationships/hyperlink" Target="http://www.sulphuric-acid.com/sulphuric-acid-on-the-web/acid%20plants/Freeport%20-%20Miami%20Smelter.htm" TargetMode="External"/><Relationship Id="rId1288" Type="http://schemas.openxmlformats.org/officeDocument/2006/relationships/hyperlink" Target="https://originmine.com/mineral-park/" TargetMode="External"/><Relationship Id="rId1495" Type="http://schemas.openxmlformats.org/officeDocument/2006/relationships/hyperlink" Target="https://minedocs.com/23/Eagle-TR-12312022.pdf" TargetMode="External"/><Relationship Id="rId1509" Type="http://schemas.openxmlformats.org/officeDocument/2006/relationships/hyperlink" Target="https://lynasrareearths.com/wp-content/uploads/2023/12/Lynas-Rare-Earths_Open-House-Presentation-December-7-2023.pdf" TargetMode="External"/><Relationship Id="rId297" Type="http://schemas.openxmlformats.org/officeDocument/2006/relationships/hyperlink" Target="https://arcosaspecialtymaterials.com/location-cyril-ok-mine-2/" TargetMode="External"/><Relationship Id="rId518" Type="http://schemas.openxmlformats.org/officeDocument/2006/relationships/hyperlink" Target="https://pubs.usgs.gov/myb/vol1/2022/myb1-2022-barite.pdf" TargetMode="External"/><Relationship Id="rId725" Type="http://schemas.openxmlformats.org/officeDocument/2006/relationships/hyperlink" Target="https://pubs.usgs.gov/myb/vol1/2023/myb1-2023-helium.pdf" TargetMode="External"/><Relationship Id="rId932" Type="http://schemas.openxmlformats.org/officeDocument/2006/relationships/hyperlink" Target="https://www.sabinmetal.com/locations/sabin-metal-west-corporation" TargetMode="External"/><Relationship Id="rId1148" Type="http://schemas.openxmlformats.org/officeDocument/2006/relationships/hyperlink" Target="https://anfieldenergy.com/shootaring-canyon-mill/" TargetMode="External"/><Relationship Id="rId1355" Type="http://schemas.openxmlformats.org/officeDocument/2006/relationships/hyperlink" Target="https://phoenixtailings.com/press/phoenix-tailings-opens-cutting-edge-u-s-rare-earth-metallization-facility-entirely-independent-from-china" TargetMode="External"/><Relationship Id="rId157" Type="http://schemas.openxmlformats.org/officeDocument/2006/relationships/hyperlink" Target="https://archive.epa.gov/epawaste/nonhaz/industrial/special/web/pdf/goldch5.pdf" TargetMode="External"/><Relationship Id="rId364" Type="http://schemas.openxmlformats.org/officeDocument/2006/relationships/hyperlink" Target="https://www.highlandcopper.com/wp-content/uploads/2024/01/Feasability-Study-Update-Copperwood.pdf" TargetMode="External"/><Relationship Id="rId1008" Type="http://schemas.openxmlformats.org/officeDocument/2006/relationships/hyperlink" Target="https://s28.q4cdn.com/607153883/files/doc_financials/2023/ar/22a5383e-3bd9-44c0-a3a0-46ea1482496a.pdf" TargetMode="External"/><Relationship Id="rId1215" Type="http://schemas.openxmlformats.org/officeDocument/2006/relationships/hyperlink" Target="https://wp-integraresources-2024.s3.ca-central-1.amazonaws.com/media/2024/11/fcgv-2024-07-12-technical-report-ni-43-101-florida-canyon.pdf" TargetMode="External"/><Relationship Id="rId1422" Type="http://schemas.openxmlformats.org/officeDocument/2006/relationships/hyperlink" Target="https://www.uslm.com/USLM_Cleburne.html" TargetMode="External"/><Relationship Id="rId61" Type="http://schemas.openxmlformats.org/officeDocument/2006/relationships/hyperlink" Target="https://maps.app.goo.gl/ASK2Hehiwabzv8L36" TargetMode="External"/><Relationship Id="rId571" Type="http://schemas.openxmlformats.org/officeDocument/2006/relationships/hyperlink" Target="https://pubs.usgs.gov/myb/vol1/2023/myb1-2023-germanium.pdf" TargetMode="External"/><Relationship Id="rId669" Type="http://schemas.openxmlformats.org/officeDocument/2006/relationships/hyperlink" Target="https://www.usstrategicmetals.com/us-strategic-metals-solving-the-critical-battery-materials-supply-chain-puzzle/" TargetMode="External"/><Relationship Id="rId876" Type="http://schemas.openxmlformats.org/officeDocument/2006/relationships/hyperlink" Target="https://minedocs.com/18/Stillwater-Operation-TRS-12312024.pdf" TargetMode="External"/><Relationship Id="rId1299" Type="http://schemas.openxmlformats.org/officeDocument/2006/relationships/hyperlink" Target="https://ironsenergy.com/" TargetMode="External"/><Relationship Id="rId19" Type="http://schemas.openxmlformats.org/officeDocument/2006/relationships/hyperlink" Target="https://www.barrick.com/English/operations/nevada-gold-mines/default.aspx" TargetMode="External"/><Relationship Id="rId224" Type="http://schemas.openxmlformats.org/officeDocument/2006/relationships/hyperlink" Target="https://ndep.nv.gov/uploads/documents/20241009TM_0096107_Factsheet_Midas_1.pdf" TargetMode="External"/><Relationship Id="rId431" Type="http://schemas.openxmlformats.org/officeDocument/2006/relationships/hyperlink" Target="http://content.stockpr.com/pershinggold/files/pages/relief-canyon/technical-reports/Relief+Canyon_2015_Technical_Report_v8.pdf" TargetMode="External"/><Relationship Id="rId529" Type="http://schemas.openxmlformats.org/officeDocument/2006/relationships/hyperlink" Target="https://pubs.usgs.gov/myb/vol1/2022/myb1-2022-barite.pdf" TargetMode="External"/><Relationship Id="rId736" Type="http://schemas.openxmlformats.org/officeDocument/2006/relationships/hyperlink" Target="https://pubs.usgs.gov/myb/vol1/2023/myb1-2023-helium.pdf" TargetMode="External"/><Relationship Id="rId1061" Type="http://schemas.openxmlformats.org/officeDocument/2006/relationships/hyperlink" Target="http://www.sulphuric-acid.com/Sulphuric-Acid-on-the-Web/Acid%20Plants/PVS%20Chemical%20-%20Chicago.htm" TargetMode="External"/><Relationship Id="rId1159" Type="http://schemas.openxmlformats.org/officeDocument/2006/relationships/hyperlink" Target="https://www.befesa.com/about-befesa/markets-sites/" TargetMode="External"/><Relationship Id="rId1366" Type="http://schemas.openxmlformats.org/officeDocument/2006/relationships/hyperlink" Target="https://www.sec.gov/Archives/edgar/data/1691303/000119312526048914/hcc-20251231.htm" TargetMode="External"/><Relationship Id="rId168" Type="http://schemas.openxmlformats.org/officeDocument/2006/relationships/hyperlink" Target="https://www.goldroyalty.com/portfolio/gold-bar/" TargetMode="External"/><Relationship Id="rId943" Type="http://schemas.openxmlformats.org/officeDocument/2006/relationships/hyperlink" Target="https://chemweek.mydigitalpublication.com/articles/trecora-acquires-chemtrade-s-lubricant-additives-business" TargetMode="External"/><Relationship Id="rId1019" Type="http://schemas.openxmlformats.org/officeDocument/2006/relationships/hyperlink" Target="https://www.bloomberg.com/profile/company/7654695Z:US" TargetMode="External"/><Relationship Id="rId72" Type="http://schemas.openxmlformats.org/officeDocument/2006/relationships/hyperlink" Target="https://maps.app.goo.gl/pSyCwV3bcY4zEY2F9" TargetMode="External"/><Relationship Id="rId375" Type="http://schemas.openxmlformats.org/officeDocument/2006/relationships/hyperlink" Target="https://www.fortitudegold.com/news/news-releases/fortitude-gold-reports-2022-net-income-of-147-million-725-all-in-sustaining-cost-and-increased-cash-balance-to-45-million" TargetMode="External"/><Relationship Id="rId582" Type="http://schemas.openxmlformats.org/officeDocument/2006/relationships/hyperlink" Target="https://nhmu.utah.edu/sites/default/files/fact-sheets/NHMU%20fact%20sheet%20-%20LF.pdf" TargetMode="External"/><Relationship Id="rId803" Type="http://schemas.openxmlformats.org/officeDocument/2006/relationships/hyperlink" Target="https://ascendelements.com/covington-lithium-carbonate/" TargetMode="External"/><Relationship Id="rId1226" Type="http://schemas.openxmlformats.org/officeDocument/2006/relationships/hyperlink" Target="https://arcosaspecialtymaterials.com/location-cyril-ok-mine-2/" TargetMode="External"/><Relationship Id="rId1433" Type="http://schemas.openxmlformats.org/officeDocument/2006/relationships/hyperlink" Target="https://d9-wret.s3.us-west-2.amazonaws.com/assets/palladium/production/mineral-pubs/magnesium/myb1-2009-mgcom.pdf" TargetMode="External"/><Relationship Id="rId3" Type="http://schemas.openxmlformats.org/officeDocument/2006/relationships/hyperlink" Target="https://www.miningnewsnorth.com/story/2025/01/24/news/the-worlds-largest-zinc-mine-is-fading/8926.html" TargetMode="External"/><Relationship Id="rId235" Type="http://schemas.openxmlformats.org/officeDocument/2006/relationships/hyperlink" Target="https://www.asarco.com/mines/" TargetMode="External"/><Relationship Id="rId442" Type="http://schemas.openxmlformats.org/officeDocument/2006/relationships/hyperlink" Target="https://minerals.nv.gov/uploadedFiles/mineralsnvgov/content/Programs/Mining/2022%20Metallic%20Production%20by%20mine.pdf" TargetMode="External"/><Relationship Id="rId887" Type="http://schemas.openxmlformats.org/officeDocument/2006/relationships/hyperlink" Target="https://minedocs.com/18/Stillwater-Operation-TRS-12312024.pdf" TargetMode="External"/><Relationship Id="rId1072" Type="http://schemas.openxmlformats.org/officeDocument/2006/relationships/hyperlink" Target="http://www.sulphuric-acid.com/Sulphuric-Acid-on-the-Web/Acid%20Plants/Du%20Pont%20-%20Burnside.htm" TargetMode="External"/><Relationship Id="rId1500" Type="http://schemas.openxmlformats.org/officeDocument/2006/relationships/hyperlink" Target="https://www.mininggazette.com/news/front-page/2025/12/eagle-mine-sold/" TargetMode="External"/><Relationship Id="rId302" Type="http://schemas.openxmlformats.org/officeDocument/2006/relationships/hyperlink" Target="https://www.911metallurgist.com/blog/gypsum-mining-methods-costs/" TargetMode="External"/><Relationship Id="rId747" Type="http://schemas.openxmlformats.org/officeDocument/2006/relationships/hyperlink" Target="https://doerun.com/what-we-do/mining-milling/" TargetMode="External"/><Relationship Id="rId954" Type="http://schemas.openxmlformats.org/officeDocument/2006/relationships/hyperlink" Target="https://landresources.montana.edu/fertilizerfacts/html/FF80.html" TargetMode="External"/><Relationship Id="rId1377" Type="http://schemas.openxmlformats.org/officeDocument/2006/relationships/hyperlink" Target="https://s28.q4cdn.com/583965976/files/doc_multimedia/portfolios/wharf-2017.pdf" TargetMode="External"/><Relationship Id="rId83" Type="http://schemas.openxmlformats.org/officeDocument/2006/relationships/hyperlink" Target="https://www.teck.com/media/2025-Annual-Report.pdf" TargetMode="External"/><Relationship Id="rId179" Type="http://schemas.openxmlformats.org/officeDocument/2006/relationships/hyperlink" Target="https://nam.org/pentagon-korea-zinc-partner-on-tennessee-mineral-smelter-35425/?stream=series-input-stories" TargetMode="External"/><Relationship Id="rId386" Type="http://schemas.openxmlformats.org/officeDocument/2006/relationships/hyperlink" Target="https://www.golcondagold.com/news/english/golconda-gold-ltd-releases-financial-and-operating-results-for-2022" TargetMode="External"/><Relationship Id="rId593" Type="http://schemas.openxmlformats.org/officeDocument/2006/relationships/hyperlink" Target="https://s21.q4cdn.com/390685383/files/technical_reports/gold_bar/2021_Gold_Bar_Feasibility_Study.pdf" TargetMode="External"/><Relationship Id="rId607" Type="http://schemas.openxmlformats.org/officeDocument/2006/relationships/hyperlink" Target="https://borealismining.com/wp-content/uploads/2024/10/Borealis_NI43101_Report.pdf" TargetMode="External"/><Relationship Id="rId814" Type="http://schemas.openxmlformats.org/officeDocument/2006/relationships/hyperlink" Target="https://www.cirbasolutions.com/cirba-solutions-selected-for-200-million-award-negotiations-for-critical-materials-refining/" TargetMode="External"/><Relationship Id="rId1237" Type="http://schemas.openxmlformats.org/officeDocument/2006/relationships/hyperlink" Target="https://goldresourcecorp.com/site/assets/files/6493/sk1300_b40_gold_resource_corp_filed_10_27_2023.pdf" TargetMode="External"/><Relationship Id="rId1444" Type="http://schemas.openxmlformats.org/officeDocument/2006/relationships/hyperlink" Target="https://superiorgraphite.com/" TargetMode="External"/><Relationship Id="rId246" Type="http://schemas.openxmlformats.org/officeDocument/2006/relationships/hyperlink" Target="https://www.hooverandstrong.com/landing/Refining" TargetMode="External"/><Relationship Id="rId453" Type="http://schemas.openxmlformats.org/officeDocument/2006/relationships/hyperlink" Target="https://www.asahirefining.com/product-category/cast-bars/" TargetMode="External"/><Relationship Id="rId660" Type="http://schemas.openxmlformats.org/officeDocument/2006/relationships/hyperlink" Target="https://www.fastmarkets.com/insights/korea-zincs-jpmorgan-backed-crucible-plant-to-focus-on-us-material/" TargetMode="External"/><Relationship Id="rId898" Type="http://schemas.openxmlformats.org/officeDocument/2006/relationships/hyperlink" Target="https://mowreygold.com/" TargetMode="External"/><Relationship Id="rId1083" Type="http://schemas.openxmlformats.org/officeDocument/2006/relationships/hyperlink" Target="https://ir.hecla.com/News--Media/news-releases/news-details/2026/Hecla-Reports-Fourth-Quarter-and-Full-Year-2025-Results/default.aspx" TargetMode="External"/><Relationship Id="rId1290" Type="http://schemas.openxmlformats.org/officeDocument/2006/relationships/hyperlink" Target="https://www.ssrmining.com/_resources/reports/Technical-Report-CCV-2025-SK1300.pdf?v=052001" TargetMode="External"/><Relationship Id="rId1304" Type="http://schemas.openxmlformats.org/officeDocument/2006/relationships/hyperlink" Target="https://www.gem.wiki/Berwind_Coal_Mine" TargetMode="External"/><Relationship Id="rId1511" Type="http://schemas.openxmlformats.org/officeDocument/2006/relationships/hyperlink" Target="https://www.prnewswire.com/news-releases/graphite-one-secures-ohio-site-and-accelerates-towards-ev-and-energy-storage-battery-material-production-with-advances-in-offtake-pipeline-302775032.html" TargetMode="External"/><Relationship Id="rId106" Type="http://schemas.openxmlformats.org/officeDocument/2006/relationships/hyperlink" Target="https://ir.hecla.com/Investors/annual-reports-filings/sec-filings-details/default.aspx?FilingId=19156252" TargetMode="External"/><Relationship Id="rId313" Type="http://schemas.openxmlformats.org/officeDocument/2006/relationships/hyperlink" Target="https://www.mlc.com/locations/" TargetMode="External"/><Relationship Id="rId758" Type="http://schemas.openxmlformats.org/officeDocument/2006/relationships/hyperlink" Target="https://freeportinnewmexico.com/" TargetMode="External"/><Relationship Id="rId965" Type="http://schemas.openxmlformats.org/officeDocument/2006/relationships/hyperlink" Target="https://www.facebook.com/GeorgiaPacific/posts/we-have-made-the-difficult-decision-to-close-our-mcqueeney-texas-gypsum-facility/661052219384105/" TargetMode="External"/><Relationship Id="rId1150" Type="http://schemas.openxmlformats.org/officeDocument/2006/relationships/hyperlink" Target="https://www.energyfuels.com/standby-mines/" TargetMode="External"/><Relationship Id="rId1388" Type="http://schemas.openxmlformats.org/officeDocument/2006/relationships/hyperlink" Target="https://ucore.com/ucore-updates-mineral-resource-estimate-and-technical-report-for-bokan-dotson-ridge-rare-earth-property/" TargetMode="External"/><Relationship Id="rId10" Type="http://schemas.openxmlformats.org/officeDocument/2006/relationships/hyperlink" Target="https://doerun.com/what-we-do/mining-milling/" TargetMode="External"/><Relationship Id="rId94" Type="http://schemas.openxmlformats.org/officeDocument/2006/relationships/hyperlink" Target="https://wp-phoenixcopper-2024.s3.eu-west-2.amazonaws.com/media/2024/10/KonnexPFS.pdf" TargetMode="External"/><Relationship Id="rId397" Type="http://schemas.openxmlformats.org/officeDocument/2006/relationships/hyperlink" Target="https://www.sibanyestillwater.com/business/americas/recycling/reldan/" TargetMode="External"/><Relationship Id="rId520" Type="http://schemas.openxmlformats.org/officeDocument/2006/relationships/hyperlink" Target="https://pubs.usgs.gov/myb/vol1/2022/myb1-2022-barite.pdf" TargetMode="External"/><Relationship Id="rId618" Type="http://schemas.openxmlformats.org/officeDocument/2006/relationships/hyperlink" Target="https://minedocs.com/23/Eagle-TR-12312022.pdf" TargetMode="External"/><Relationship Id="rId825" Type="http://schemas.openxmlformats.org/officeDocument/2006/relationships/hyperlink" Target="https://www.recyclingtoday.com/news/li-cycle-opens-alabama-spoke-lithium-ion-battery-recycling/" TargetMode="External"/><Relationship Id="rId1248" Type="http://schemas.openxmlformats.org/officeDocument/2006/relationships/hyperlink" Target="https://www.equinoxgold.com/wp-content/uploads/2023/01/2020-Mesquite.pdf;%20https:/www.equinoxgold.com/our-mines/mesquite-gold-mine/" TargetMode="External"/><Relationship Id="rId1455" Type="http://schemas.openxmlformats.org/officeDocument/2006/relationships/hyperlink" Target="https://doerun.com/what-we-do/mining-milling/" TargetMode="External"/><Relationship Id="rId257" Type="http://schemas.openxmlformats.org/officeDocument/2006/relationships/hyperlink" Target="https://minedocs.com/19/Phoenix-Fact-Sheet-10192021.pdf" TargetMode="External"/><Relationship Id="rId464" Type="http://schemas.openxmlformats.org/officeDocument/2006/relationships/hyperlink" Target="https://s1.q4cdn.com/337451660/files/doc_downloads/FortuneMinerals_Revenue_PEA_457700.030_014_20140723.pdf" TargetMode="External"/><Relationship Id="rId1010" Type="http://schemas.openxmlformats.org/officeDocument/2006/relationships/hyperlink" Target="https://michiganpotash.com/projects/" TargetMode="External"/><Relationship Id="rId1094" Type="http://schemas.openxmlformats.org/officeDocument/2006/relationships/hyperlink" Target="https://conecsusllc.com/about/" TargetMode="External"/><Relationship Id="rId1108" Type="http://schemas.openxmlformats.org/officeDocument/2006/relationships/hyperlink" Target="https://encoreuranium.com/wp-content/uploads/2023/02/TechReport.pdf" TargetMode="External"/><Relationship Id="rId1315" Type="http://schemas.openxmlformats.org/officeDocument/2006/relationships/hyperlink" Target="https://en.wikipedia.org/wiki/Clairton_Coke_Works" TargetMode="External"/><Relationship Id="rId117" Type="http://schemas.openxmlformats.org/officeDocument/2006/relationships/hyperlink" Target="https://endomines.com/en/company/our-operations/" TargetMode="External"/><Relationship Id="rId671" Type="http://schemas.openxmlformats.org/officeDocument/2006/relationships/hyperlink" Target="https://d9-wret.s3.us-west-2.amazonaws.com/assets/palladium/production/mineral-pubs/copper/myb1-2012-coppe.pdf" TargetMode="External"/><Relationship Id="rId769" Type="http://schemas.openxmlformats.org/officeDocument/2006/relationships/hyperlink" Target="https://ir.aquametals.com/press-releases/detail/51/aqua-metals-provides-corporate-update" TargetMode="External"/><Relationship Id="rId976" Type="http://schemas.openxmlformats.org/officeDocument/2006/relationships/hyperlink" Target="https://www.carmeuse.com/eu-en/products-map" TargetMode="External"/><Relationship Id="rId1399" Type="http://schemas.openxmlformats.org/officeDocument/2006/relationships/hyperlink" Target="https://www.hoskinsent.com/solutions" TargetMode="External"/><Relationship Id="rId324" Type="http://schemas.openxmlformats.org/officeDocument/2006/relationships/hyperlink" Target="https://smbsc.com/" TargetMode="External"/><Relationship Id="rId531" Type="http://schemas.openxmlformats.org/officeDocument/2006/relationships/hyperlink" Target="https://pubs.usgs.gov/myb/vol1/2022/myb1-2022-barite.pdf" TargetMode="External"/><Relationship Id="rId629" Type="http://schemas.openxmlformats.org/officeDocument/2006/relationships/hyperlink" Target="https://minedocs.com/19/Sunshine-PEA-01172020.pdf" TargetMode="External"/><Relationship Id="rId1161" Type="http://schemas.openxmlformats.org/officeDocument/2006/relationships/hyperlink" Target="https://www.befesa.com/about-befesa/markets-sites/" TargetMode="External"/><Relationship Id="rId1259" Type="http://schemas.openxmlformats.org/officeDocument/2006/relationships/hyperlink" Target="https://www.kinross.com/English/operations/default.aspx" TargetMode="External"/><Relationship Id="rId1466" Type="http://schemas.openxmlformats.org/officeDocument/2006/relationships/hyperlink" Target="https://dot.ca.gov/-/media/dot-media/programs/engineering/documents/mets/lime-for-soil-stabilization-a11y.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9605C-A210-40CC-AC2D-1F40BCCABC24}">
  <dimension ref="A1:BD1293"/>
  <sheetViews>
    <sheetView tabSelected="1" zoomScaleNormal="100" workbookViewId="0">
      <pane ySplit="1" topLeftCell="A2" activePane="bottomLeft" state="frozen"/>
      <selection pane="bottomLeft" activeCell="AE1" sqref="AE1"/>
    </sheetView>
  </sheetViews>
  <sheetFormatPr defaultColWidth="9.140625" defaultRowHeight="15" x14ac:dyDescent="0.25"/>
  <cols>
    <col min="1" max="1" width="9.85546875" customWidth="1"/>
    <col min="2" max="2" width="17.85546875" customWidth="1"/>
    <col min="3" max="3" width="10.5703125" customWidth="1"/>
    <col min="4" max="4" width="11.140625" customWidth="1"/>
    <col min="5" max="5" width="11.7109375" style="77" customWidth="1"/>
    <col min="6" max="6" width="10.7109375" style="36" customWidth="1"/>
    <col min="7" max="7" width="12.85546875" style="36" customWidth="1"/>
    <col min="8" max="8" width="30.5703125" style="36" customWidth="1"/>
    <col min="9" max="9" width="23.7109375" style="36" customWidth="1"/>
    <col min="10" max="14" width="21" style="36" customWidth="1"/>
    <col min="15" max="15" width="26.28515625" style="36" customWidth="1"/>
    <col min="16" max="17" width="21" style="36" customWidth="1"/>
    <col min="18" max="18" width="13.85546875" style="36" customWidth="1"/>
    <col min="19" max="19" width="13.7109375" style="36" customWidth="1"/>
    <col min="20" max="20" width="10.7109375" style="36" customWidth="1"/>
    <col min="21" max="21" width="18" style="36" customWidth="1"/>
    <col min="22" max="22" width="13.28515625" style="36" customWidth="1"/>
    <col min="23" max="23" width="12.42578125" style="36" customWidth="1"/>
    <col min="24" max="24" width="17.5703125" style="77" customWidth="1"/>
    <col min="25" max="25" width="21" style="79" customWidth="1"/>
    <col min="26" max="26" width="10.7109375" customWidth="1"/>
    <col min="27" max="30" width="21" customWidth="1"/>
    <col min="31" max="31" width="21.28515625" customWidth="1"/>
    <col min="32" max="32" width="21.140625" customWidth="1"/>
    <col min="33" max="33" width="39" customWidth="1"/>
    <col min="34" max="34" width="20.85546875" style="79" customWidth="1"/>
    <col min="35" max="37" width="21" customWidth="1"/>
    <col min="38" max="38" width="21" style="79" customWidth="1"/>
    <col min="39" max="39" width="21" customWidth="1"/>
    <col min="40" max="40" width="21" style="79" customWidth="1"/>
    <col min="41" max="41" width="21" customWidth="1"/>
    <col min="42" max="42" width="21" style="79" customWidth="1"/>
    <col min="43" max="43" width="21" customWidth="1"/>
    <col min="44" max="44" width="21" style="79" customWidth="1"/>
    <col min="45" max="45" width="21" customWidth="1"/>
    <col min="46" max="46" width="21" style="79" customWidth="1"/>
    <col min="47" max="47" width="21" customWidth="1"/>
    <col min="48" max="48" width="21" style="79" customWidth="1"/>
    <col min="49" max="49" width="21" customWidth="1"/>
    <col min="50" max="50" width="21" style="79" customWidth="1"/>
    <col min="51" max="51" width="21" customWidth="1"/>
    <col min="52" max="52" width="17.85546875" customWidth="1"/>
    <col min="53" max="53" width="9" customWidth="1"/>
  </cols>
  <sheetData>
    <row r="1" spans="1:56" s="75" customFormat="1" ht="30" customHeight="1" x14ac:dyDescent="0.25">
      <c r="A1" s="2" t="s">
        <v>0</v>
      </c>
      <c r="B1" s="40" t="s">
        <v>1</v>
      </c>
      <c r="C1" s="41" t="s">
        <v>2</v>
      </c>
      <c r="D1" s="42" t="s">
        <v>3</v>
      </c>
      <c r="E1" s="43" t="s">
        <v>4</v>
      </c>
      <c r="F1" s="44" t="s">
        <v>5</v>
      </c>
      <c r="G1" s="44" t="s">
        <v>6</v>
      </c>
      <c r="H1" s="45" t="s">
        <v>7</v>
      </c>
      <c r="I1" s="46" t="s">
        <v>8</v>
      </c>
      <c r="J1" s="46" t="s">
        <v>9</v>
      </c>
      <c r="K1" s="46" t="s">
        <v>5340</v>
      </c>
      <c r="L1" s="46" t="s">
        <v>5341</v>
      </c>
      <c r="M1" s="46" t="s">
        <v>11</v>
      </c>
      <c r="N1" s="46" t="s">
        <v>12</v>
      </c>
      <c r="O1" s="46" t="s">
        <v>13</v>
      </c>
      <c r="P1" s="46" t="s">
        <v>14</v>
      </c>
      <c r="Q1" s="44" t="s">
        <v>15</v>
      </c>
      <c r="R1" s="44" t="s">
        <v>16</v>
      </c>
      <c r="S1" s="44" t="s">
        <v>17</v>
      </c>
      <c r="T1" s="44" t="s">
        <v>18</v>
      </c>
      <c r="U1" s="47" t="s">
        <v>19</v>
      </c>
      <c r="V1" s="44" t="s">
        <v>20</v>
      </c>
      <c r="W1" s="44" t="s">
        <v>3977</v>
      </c>
      <c r="X1" s="45" t="s">
        <v>21</v>
      </c>
      <c r="Y1" s="40" t="s">
        <v>3799</v>
      </c>
      <c r="Z1" s="40" t="s">
        <v>23</v>
      </c>
      <c r="AA1" s="2" t="s">
        <v>24</v>
      </c>
      <c r="AB1" s="2" t="s">
        <v>3800</v>
      </c>
      <c r="AC1" s="2" t="s">
        <v>3801</v>
      </c>
      <c r="AD1" s="2" t="s">
        <v>25</v>
      </c>
      <c r="AE1" s="2" t="s">
        <v>3802</v>
      </c>
      <c r="AF1" s="40" t="s">
        <v>27</v>
      </c>
      <c r="AG1" s="48" t="s">
        <v>28</v>
      </c>
      <c r="AH1" s="49" t="s">
        <v>29</v>
      </c>
      <c r="AI1" s="48" t="s">
        <v>30</v>
      </c>
      <c r="AJ1" s="50" t="s">
        <v>31</v>
      </c>
      <c r="AK1" s="48" t="s">
        <v>32</v>
      </c>
      <c r="AL1" s="49" t="s">
        <v>33</v>
      </c>
      <c r="AM1" s="48" t="s">
        <v>34</v>
      </c>
      <c r="AN1" s="49" t="s">
        <v>35</v>
      </c>
      <c r="AO1" s="48" t="s">
        <v>36</v>
      </c>
      <c r="AP1" s="49" t="s">
        <v>37</v>
      </c>
      <c r="AQ1" s="48" t="s">
        <v>38</v>
      </c>
      <c r="AR1" s="49" t="s">
        <v>39</v>
      </c>
      <c r="AS1" s="48" t="s">
        <v>40</v>
      </c>
      <c r="AT1" s="49" t="s">
        <v>41</v>
      </c>
      <c r="AU1" s="48" t="s">
        <v>42</v>
      </c>
      <c r="AV1" s="49" t="s">
        <v>43</v>
      </c>
      <c r="AW1" s="48" t="s">
        <v>44</v>
      </c>
      <c r="AX1" s="49" t="s">
        <v>45</v>
      </c>
      <c r="AY1" s="48" t="s">
        <v>46</v>
      </c>
      <c r="AZ1" s="40" t="s">
        <v>47</v>
      </c>
      <c r="BA1" s="51" t="s">
        <v>48</v>
      </c>
      <c r="BB1" s="40" t="s">
        <v>3968</v>
      </c>
      <c r="BC1" s="51" t="s">
        <v>3969</v>
      </c>
      <c r="BD1" s="74"/>
    </row>
    <row r="2" spans="1:56" s="78" customFormat="1" x14ac:dyDescent="0.25">
      <c r="A2" s="52" t="s">
        <v>4011</v>
      </c>
      <c r="B2" s="34" t="s">
        <v>59</v>
      </c>
      <c r="C2" s="53">
        <v>2026</v>
      </c>
      <c r="D2" s="53">
        <v>2026</v>
      </c>
      <c r="E2" s="54" t="s">
        <v>2895</v>
      </c>
      <c r="F2" s="55" t="s">
        <v>50</v>
      </c>
      <c r="G2" s="55" t="s">
        <v>50</v>
      </c>
      <c r="H2" s="45" t="s">
        <v>51</v>
      </c>
      <c r="I2" s="45" t="s">
        <v>52</v>
      </c>
      <c r="J2" s="56"/>
      <c r="K2" s="55" t="s">
        <v>53</v>
      </c>
      <c r="L2" s="55" t="s">
        <v>54</v>
      </c>
      <c r="M2" s="55"/>
      <c r="N2" s="55" t="s">
        <v>55</v>
      </c>
      <c r="O2" s="55"/>
      <c r="P2" s="55" t="s">
        <v>56</v>
      </c>
      <c r="Q2" s="55" t="s">
        <v>57</v>
      </c>
      <c r="R2" s="55"/>
      <c r="S2" s="56" t="s">
        <v>58</v>
      </c>
      <c r="T2" s="55" t="str">
        <f t="shared" ref="T2:T8" si="0">IF(ISNUMBER(SEARCH(",",N2)),"Y","N")</f>
        <v>N</v>
      </c>
      <c r="U2" s="57">
        <v>-999</v>
      </c>
      <c r="V2" s="57" t="s">
        <v>59</v>
      </c>
      <c r="W2" s="55" t="s">
        <v>2319</v>
      </c>
      <c r="X2" s="54" t="s">
        <v>4011</v>
      </c>
      <c r="Y2" s="52"/>
      <c r="Z2" s="3" t="s">
        <v>61</v>
      </c>
      <c r="AA2" s="3" t="s">
        <v>60</v>
      </c>
      <c r="AB2" s="3"/>
      <c r="AC2" s="3"/>
      <c r="AD2" s="3" t="s">
        <v>62</v>
      </c>
      <c r="AE2" s="3" t="s">
        <v>63</v>
      </c>
      <c r="AF2" s="3"/>
      <c r="AG2" s="3" t="s">
        <v>64</v>
      </c>
      <c r="AH2" s="58">
        <v>100</v>
      </c>
      <c r="AI2" s="3"/>
      <c r="AJ2" s="3"/>
      <c r="AK2" s="3"/>
      <c r="AL2" s="3"/>
      <c r="AM2" s="3"/>
      <c r="AN2" s="3"/>
      <c r="AO2" s="3"/>
      <c r="AP2" s="3"/>
      <c r="AQ2" s="3"/>
      <c r="AR2" s="3"/>
      <c r="AS2" s="3"/>
      <c r="AT2" s="3"/>
      <c r="AU2" s="3"/>
      <c r="AV2" s="3"/>
      <c r="AW2" s="3"/>
      <c r="AX2" s="3"/>
      <c r="AY2" s="3"/>
      <c r="AZ2" s="4" t="s">
        <v>49</v>
      </c>
      <c r="BA2" s="3"/>
      <c r="BB2" s="1"/>
      <c r="BC2" s="1"/>
    </row>
    <row r="3" spans="1:56" s="78" customFormat="1" x14ac:dyDescent="0.25">
      <c r="A3" s="52" t="s">
        <v>4012</v>
      </c>
      <c r="B3" s="34" t="s">
        <v>59</v>
      </c>
      <c r="C3" s="53">
        <v>2026</v>
      </c>
      <c r="D3" s="53">
        <v>2026</v>
      </c>
      <c r="E3" s="54" t="s">
        <v>2895</v>
      </c>
      <c r="F3" s="55" t="s">
        <v>50</v>
      </c>
      <c r="G3" s="55" t="s">
        <v>50</v>
      </c>
      <c r="H3" s="45" t="s">
        <v>51</v>
      </c>
      <c r="I3" s="45" t="s">
        <v>52</v>
      </c>
      <c r="J3" s="45" t="s">
        <v>65</v>
      </c>
      <c r="K3" s="55" t="s">
        <v>66</v>
      </c>
      <c r="L3" s="55" t="s">
        <v>54</v>
      </c>
      <c r="M3" s="55"/>
      <c r="N3" s="55" t="s">
        <v>55</v>
      </c>
      <c r="O3" s="55"/>
      <c r="P3" s="55" t="s">
        <v>67</v>
      </c>
      <c r="Q3" s="55" t="s">
        <v>57</v>
      </c>
      <c r="R3" s="55"/>
      <c r="S3" s="56" t="s">
        <v>58</v>
      </c>
      <c r="T3" s="55" t="str">
        <f t="shared" si="0"/>
        <v>N</v>
      </c>
      <c r="U3" s="57">
        <v>-999</v>
      </c>
      <c r="V3" s="57" t="s">
        <v>59</v>
      </c>
      <c r="W3" s="55" t="s">
        <v>2319</v>
      </c>
      <c r="X3" s="54" t="s">
        <v>4012</v>
      </c>
      <c r="Y3" s="52"/>
      <c r="Z3" s="3" t="s">
        <v>61</v>
      </c>
      <c r="AA3" s="3" t="s">
        <v>60</v>
      </c>
      <c r="AB3" s="3"/>
      <c r="AC3" s="3"/>
      <c r="AD3" s="3" t="s">
        <v>62</v>
      </c>
      <c r="AE3" s="3" t="s">
        <v>63</v>
      </c>
      <c r="AF3" s="3"/>
      <c r="AG3" s="3" t="s">
        <v>64</v>
      </c>
      <c r="AH3" s="58">
        <v>100</v>
      </c>
      <c r="AI3" s="3"/>
      <c r="AJ3" s="3"/>
      <c r="AK3" s="3"/>
      <c r="AL3" s="3"/>
      <c r="AM3" s="3"/>
      <c r="AN3" s="3"/>
      <c r="AO3" s="3"/>
      <c r="AP3" s="3"/>
      <c r="AQ3" s="3"/>
      <c r="AR3" s="3"/>
      <c r="AS3" s="3"/>
      <c r="AT3" s="3"/>
      <c r="AU3" s="3"/>
      <c r="AV3" s="3"/>
      <c r="AW3" s="3"/>
      <c r="AX3" s="3"/>
      <c r="AY3" s="3"/>
      <c r="AZ3" s="4" t="s">
        <v>49</v>
      </c>
      <c r="BA3" s="3"/>
      <c r="BB3" s="1"/>
      <c r="BC3" s="1"/>
    </row>
    <row r="4" spans="1:56" s="78" customFormat="1" x14ac:dyDescent="0.25">
      <c r="A4" s="52" t="s">
        <v>4013</v>
      </c>
      <c r="B4" s="34" t="s">
        <v>59</v>
      </c>
      <c r="C4" s="53">
        <v>2026</v>
      </c>
      <c r="D4" s="53">
        <v>2026</v>
      </c>
      <c r="E4" s="54" t="s">
        <v>2895</v>
      </c>
      <c r="F4" s="55" t="s">
        <v>50</v>
      </c>
      <c r="G4" s="55" t="s">
        <v>50</v>
      </c>
      <c r="H4" s="45" t="s">
        <v>51</v>
      </c>
      <c r="I4" s="45" t="s">
        <v>52</v>
      </c>
      <c r="J4" s="45" t="s">
        <v>65</v>
      </c>
      <c r="K4" s="55" t="s">
        <v>68</v>
      </c>
      <c r="L4" s="55" t="s">
        <v>54</v>
      </c>
      <c r="M4" s="55"/>
      <c r="N4" s="55" t="s">
        <v>55</v>
      </c>
      <c r="O4" s="55"/>
      <c r="P4" s="55" t="s">
        <v>69</v>
      </c>
      <c r="Q4" s="55" t="s">
        <v>57</v>
      </c>
      <c r="R4" s="55"/>
      <c r="S4" s="56" t="s">
        <v>58</v>
      </c>
      <c r="T4" s="55" t="str">
        <f t="shared" si="0"/>
        <v>N</v>
      </c>
      <c r="U4" s="57">
        <v>-999</v>
      </c>
      <c r="V4" s="57" t="s">
        <v>59</v>
      </c>
      <c r="W4" s="55" t="s">
        <v>2319</v>
      </c>
      <c r="X4" s="54" t="s">
        <v>4013</v>
      </c>
      <c r="Y4" s="52"/>
      <c r="Z4" s="3" t="s">
        <v>61</v>
      </c>
      <c r="AA4" s="3" t="s">
        <v>60</v>
      </c>
      <c r="AB4" s="3"/>
      <c r="AC4" s="3"/>
      <c r="AD4" s="3" t="s">
        <v>62</v>
      </c>
      <c r="AE4" s="3" t="s">
        <v>63</v>
      </c>
      <c r="AF4" s="3"/>
      <c r="AG4" s="3" t="s">
        <v>64</v>
      </c>
      <c r="AH4" s="58">
        <v>100</v>
      </c>
      <c r="AI4" s="3"/>
      <c r="AJ4" s="3"/>
      <c r="AK4" s="3"/>
      <c r="AL4" s="3"/>
      <c r="AM4" s="3"/>
      <c r="AN4" s="3"/>
      <c r="AO4" s="3"/>
      <c r="AP4" s="3"/>
      <c r="AQ4" s="3"/>
      <c r="AR4" s="3"/>
      <c r="AS4" s="3"/>
      <c r="AT4" s="3"/>
      <c r="AU4" s="3"/>
      <c r="AV4" s="3"/>
      <c r="AW4" s="3"/>
      <c r="AX4" s="3"/>
      <c r="AY4" s="3"/>
      <c r="AZ4" s="4" t="s">
        <v>49</v>
      </c>
      <c r="BA4" s="3"/>
      <c r="BB4" s="1"/>
      <c r="BC4" s="1"/>
    </row>
    <row r="5" spans="1:56" s="78" customFormat="1" x14ac:dyDescent="0.25">
      <c r="A5" s="52" t="s">
        <v>4014</v>
      </c>
      <c r="B5" s="34" t="s">
        <v>59</v>
      </c>
      <c r="C5" s="53">
        <v>2026</v>
      </c>
      <c r="D5" s="53">
        <v>2026</v>
      </c>
      <c r="E5" s="54" t="s">
        <v>2895</v>
      </c>
      <c r="F5" s="55" t="s">
        <v>50</v>
      </c>
      <c r="G5" s="55" t="s">
        <v>50</v>
      </c>
      <c r="H5" s="45" t="s">
        <v>51</v>
      </c>
      <c r="I5" s="45" t="s">
        <v>52</v>
      </c>
      <c r="J5" s="56"/>
      <c r="K5" s="55" t="s">
        <v>71</v>
      </c>
      <c r="L5" s="55" t="s">
        <v>54</v>
      </c>
      <c r="M5" s="55"/>
      <c r="N5" s="55" t="s">
        <v>55</v>
      </c>
      <c r="O5" s="55" t="s">
        <v>72</v>
      </c>
      <c r="P5" s="55" t="s">
        <v>73</v>
      </c>
      <c r="Q5" s="55" t="s">
        <v>57</v>
      </c>
      <c r="R5" s="55"/>
      <c r="S5" s="56" t="s">
        <v>58</v>
      </c>
      <c r="T5" s="55" t="str">
        <f t="shared" si="0"/>
        <v>N</v>
      </c>
      <c r="U5" s="57">
        <v>-999</v>
      </c>
      <c r="V5" s="57" t="s">
        <v>59</v>
      </c>
      <c r="W5" s="55" t="s">
        <v>2319</v>
      </c>
      <c r="X5" s="54" t="s">
        <v>4014</v>
      </c>
      <c r="Y5" s="52"/>
      <c r="Z5" s="3" t="s">
        <v>61</v>
      </c>
      <c r="AA5" s="3" t="s">
        <v>60</v>
      </c>
      <c r="AB5" s="3"/>
      <c r="AC5" s="3"/>
      <c r="AD5" s="3" t="s">
        <v>62</v>
      </c>
      <c r="AE5" s="3" t="s">
        <v>63</v>
      </c>
      <c r="AF5" s="3" t="s">
        <v>64</v>
      </c>
      <c r="AG5" s="3" t="s">
        <v>64</v>
      </c>
      <c r="AH5" s="53">
        <v>100</v>
      </c>
      <c r="AI5" s="3"/>
      <c r="AJ5" s="53"/>
      <c r="AK5" s="3"/>
      <c r="AL5" s="53"/>
      <c r="AM5" s="3"/>
      <c r="AN5" s="53"/>
      <c r="AO5" s="3"/>
      <c r="AP5" s="53"/>
      <c r="AQ5" s="3"/>
      <c r="AR5" s="53"/>
      <c r="AS5" s="3"/>
      <c r="AT5" s="53"/>
      <c r="AU5" s="3"/>
      <c r="AV5" s="53"/>
      <c r="AW5" s="3"/>
      <c r="AX5" s="53"/>
      <c r="AY5" s="3"/>
      <c r="AZ5" s="4" t="s">
        <v>70</v>
      </c>
      <c r="BA5" s="32"/>
      <c r="BB5" s="1"/>
      <c r="BC5" s="1"/>
    </row>
    <row r="6" spans="1:56" s="78" customFormat="1" x14ac:dyDescent="0.25">
      <c r="A6" s="52" t="s">
        <v>4015</v>
      </c>
      <c r="B6" s="34" t="s">
        <v>59</v>
      </c>
      <c r="C6" s="53">
        <v>2026</v>
      </c>
      <c r="D6" s="53">
        <v>2026</v>
      </c>
      <c r="E6" s="54" t="s">
        <v>2895</v>
      </c>
      <c r="F6" s="55" t="s">
        <v>50</v>
      </c>
      <c r="G6" s="55" t="s">
        <v>50</v>
      </c>
      <c r="H6" s="45" t="s">
        <v>51</v>
      </c>
      <c r="I6" s="45" t="s">
        <v>52</v>
      </c>
      <c r="J6" s="56"/>
      <c r="K6" s="55" t="s">
        <v>74</v>
      </c>
      <c r="L6" s="55" t="s">
        <v>54</v>
      </c>
      <c r="M6" s="55"/>
      <c r="N6" s="55" t="s">
        <v>55</v>
      </c>
      <c r="O6" s="55"/>
      <c r="P6" s="55" t="s">
        <v>75</v>
      </c>
      <c r="Q6" s="56" t="s">
        <v>57</v>
      </c>
      <c r="R6" s="55"/>
      <c r="S6" s="56" t="s">
        <v>58</v>
      </c>
      <c r="T6" s="55" t="str">
        <f t="shared" si="0"/>
        <v>N</v>
      </c>
      <c r="U6" s="57">
        <v>-999</v>
      </c>
      <c r="V6" s="57" t="s">
        <v>59</v>
      </c>
      <c r="W6" s="55" t="s">
        <v>2319</v>
      </c>
      <c r="X6" s="54" t="s">
        <v>4015</v>
      </c>
      <c r="Y6" s="52"/>
      <c r="Z6" s="3" t="s">
        <v>61</v>
      </c>
      <c r="AA6" s="3" t="s">
        <v>60</v>
      </c>
      <c r="AB6" s="3"/>
      <c r="AC6" s="3"/>
      <c r="AD6" s="3" t="s">
        <v>62</v>
      </c>
      <c r="AE6" s="3" t="s">
        <v>63</v>
      </c>
      <c r="AF6" s="3" t="s">
        <v>64</v>
      </c>
      <c r="AG6" s="3" t="s">
        <v>64</v>
      </c>
      <c r="AH6" s="53">
        <v>100</v>
      </c>
      <c r="AI6" s="3"/>
      <c r="AJ6" s="53"/>
      <c r="AK6" s="3"/>
      <c r="AL6" s="53"/>
      <c r="AM6" s="3"/>
      <c r="AN6" s="53"/>
      <c r="AO6" s="3"/>
      <c r="AP6" s="53"/>
      <c r="AQ6" s="3"/>
      <c r="AR6" s="53"/>
      <c r="AS6" s="3"/>
      <c r="AT6" s="53"/>
      <c r="AU6" s="3"/>
      <c r="AV6" s="53"/>
      <c r="AW6" s="3"/>
      <c r="AX6" s="53"/>
      <c r="AY6" s="3"/>
      <c r="AZ6" s="4" t="s">
        <v>70</v>
      </c>
      <c r="BA6" s="32"/>
      <c r="BB6" s="1"/>
      <c r="BC6" s="1"/>
    </row>
    <row r="7" spans="1:56" s="78" customFormat="1" x14ac:dyDescent="0.25">
      <c r="A7" s="52" t="s">
        <v>4016</v>
      </c>
      <c r="B7" s="34" t="s">
        <v>59</v>
      </c>
      <c r="C7" s="53">
        <v>2026</v>
      </c>
      <c r="D7" s="53">
        <v>2026</v>
      </c>
      <c r="E7" s="54" t="s">
        <v>2898</v>
      </c>
      <c r="F7" s="55" t="s">
        <v>50</v>
      </c>
      <c r="G7" s="55" t="s">
        <v>50</v>
      </c>
      <c r="H7" s="45" t="s">
        <v>77</v>
      </c>
      <c r="I7" s="56" t="s">
        <v>78</v>
      </c>
      <c r="J7" s="56"/>
      <c r="K7" s="56" t="s">
        <v>79</v>
      </c>
      <c r="L7" s="55" t="str">
        <f>IF(K7="Mine or Quarry","Mine","")</f>
        <v/>
      </c>
      <c r="M7" s="55"/>
      <c r="N7" s="56" t="s">
        <v>80</v>
      </c>
      <c r="O7" s="56"/>
      <c r="P7" s="56" t="s">
        <v>89</v>
      </c>
      <c r="Q7" s="56" t="s">
        <v>89</v>
      </c>
      <c r="R7" s="55"/>
      <c r="S7" s="56" t="s">
        <v>81</v>
      </c>
      <c r="T7" s="55" t="str">
        <f t="shared" si="0"/>
        <v>N</v>
      </c>
      <c r="U7" s="57">
        <v>-999</v>
      </c>
      <c r="V7" s="57" t="s">
        <v>59</v>
      </c>
      <c r="W7" s="55" t="s">
        <v>2319</v>
      </c>
      <c r="X7" s="54" t="s">
        <v>4016</v>
      </c>
      <c r="Y7" s="52"/>
      <c r="Z7" s="1" t="s">
        <v>61</v>
      </c>
      <c r="AA7" s="1" t="s">
        <v>82</v>
      </c>
      <c r="AB7" s="1"/>
      <c r="AC7" s="1"/>
      <c r="AD7" s="3" t="s">
        <v>62</v>
      </c>
      <c r="AE7" s="1" t="s">
        <v>83</v>
      </c>
      <c r="AF7" s="1" t="s">
        <v>84</v>
      </c>
      <c r="AG7" s="1" t="s">
        <v>84</v>
      </c>
      <c r="AH7" s="2"/>
      <c r="AI7" s="1"/>
      <c r="AJ7" s="1"/>
      <c r="AK7" s="1"/>
      <c r="AL7" s="1"/>
      <c r="AM7" s="1"/>
      <c r="AN7" s="1"/>
      <c r="AO7" s="1"/>
      <c r="AP7" s="1"/>
      <c r="AQ7" s="1"/>
      <c r="AR7" s="1"/>
      <c r="AS7" s="1"/>
      <c r="AT7" s="1"/>
      <c r="AU7" s="1"/>
      <c r="AV7" s="1"/>
      <c r="AW7" s="1"/>
      <c r="AX7" s="1"/>
      <c r="AY7" s="1"/>
      <c r="AZ7" s="5" t="s">
        <v>76</v>
      </c>
      <c r="BA7" s="5"/>
      <c r="BB7" s="1"/>
      <c r="BC7" s="1"/>
    </row>
    <row r="8" spans="1:56" s="78" customFormat="1" x14ac:dyDescent="0.25">
      <c r="A8" s="52" t="s">
        <v>4017</v>
      </c>
      <c r="B8" s="34" t="s">
        <v>59</v>
      </c>
      <c r="C8" s="53">
        <v>2026</v>
      </c>
      <c r="D8" s="53">
        <v>2026</v>
      </c>
      <c r="E8" s="54" t="s">
        <v>2899</v>
      </c>
      <c r="F8" s="55" t="s">
        <v>50</v>
      </c>
      <c r="G8" s="55" t="s">
        <v>50</v>
      </c>
      <c r="H8" s="45" t="s">
        <v>86</v>
      </c>
      <c r="I8" s="56" t="s">
        <v>52</v>
      </c>
      <c r="J8" s="56"/>
      <c r="K8" s="56" t="s">
        <v>87</v>
      </c>
      <c r="L8" s="55" t="s">
        <v>88</v>
      </c>
      <c r="M8" s="55"/>
      <c r="N8" s="56"/>
      <c r="O8" s="56" t="s">
        <v>2893</v>
      </c>
      <c r="P8" s="56" t="s">
        <v>89</v>
      </c>
      <c r="Q8" s="56" t="s">
        <v>89</v>
      </c>
      <c r="R8" s="55"/>
      <c r="S8" s="56" t="s">
        <v>81</v>
      </c>
      <c r="T8" s="55" t="str">
        <f t="shared" si="0"/>
        <v>N</v>
      </c>
      <c r="U8" s="57">
        <v>-999</v>
      </c>
      <c r="V8" s="57" t="s">
        <v>59</v>
      </c>
      <c r="W8" s="55" t="s">
        <v>2319</v>
      </c>
      <c r="X8" s="54" t="s">
        <v>4017</v>
      </c>
      <c r="Y8" s="52"/>
      <c r="Z8" s="1" t="s">
        <v>61</v>
      </c>
      <c r="AA8" s="1" t="s">
        <v>90</v>
      </c>
      <c r="AB8" s="1"/>
      <c r="AC8" s="1"/>
      <c r="AD8" s="3" t="s">
        <v>62</v>
      </c>
      <c r="AE8" s="1" t="s">
        <v>91</v>
      </c>
      <c r="AF8" s="1" t="s">
        <v>92</v>
      </c>
      <c r="AG8" s="1" t="s">
        <v>93</v>
      </c>
      <c r="AH8" s="1"/>
      <c r="AI8" s="1"/>
      <c r="AJ8" s="1"/>
      <c r="AK8" s="1"/>
      <c r="AL8" s="1"/>
      <c r="AM8" s="1"/>
      <c r="AN8" s="1"/>
      <c r="AO8" s="1"/>
      <c r="AP8" s="1"/>
      <c r="AQ8" s="1"/>
      <c r="AR8" s="1"/>
      <c r="AS8" s="1"/>
      <c r="AT8" s="1"/>
      <c r="AU8" s="1"/>
      <c r="AV8" s="1"/>
      <c r="AW8" s="1"/>
      <c r="AX8" s="1"/>
      <c r="AY8" s="1"/>
      <c r="AZ8" s="5" t="s">
        <v>85</v>
      </c>
      <c r="BA8" s="5"/>
      <c r="BB8" s="1"/>
      <c r="BC8" s="1"/>
    </row>
    <row r="9" spans="1:56" s="78" customFormat="1" x14ac:dyDescent="0.25">
      <c r="A9" s="52" t="s">
        <v>4018</v>
      </c>
      <c r="B9" s="34" t="s">
        <v>59</v>
      </c>
      <c r="C9" s="53">
        <v>2026</v>
      </c>
      <c r="D9" s="53">
        <v>2026</v>
      </c>
      <c r="E9" s="54" t="s">
        <v>2900</v>
      </c>
      <c r="F9" s="55" t="s">
        <v>50</v>
      </c>
      <c r="G9" s="55" t="s">
        <v>50</v>
      </c>
      <c r="H9" s="45" t="s">
        <v>95</v>
      </c>
      <c r="I9" s="56" t="s">
        <v>52</v>
      </c>
      <c r="J9" s="45"/>
      <c r="K9" s="55" t="s">
        <v>71</v>
      </c>
      <c r="L9" s="55" t="s">
        <v>54</v>
      </c>
      <c r="M9" s="55"/>
      <c r="N9" s="55" t="s">
        <v>55</v>
      </c>
      <c r="O9" s="55"/>
      <c r="P9" s="55" t="s">
        <v>73</v>
      </c>
      <c r="Q9" s="55" t="s">
        <v>57</v>
      </c>
      <c r="R9" s="55"/>
      <c r="S9" s="56" t="s">
        <v>58</v>
      </c>
      <c r="T9" s="55" t="s">
        <v>58</v>
      </c>
      <c r="U9" s="57">
        <v>-999</v>
      </c>
      <c r="V9" s="57" t="s">
        <v>59</v>
      </c>
      <c r="W9" s="55" t="s">
        <v>2319</v>
      </c>
      <c r="X9" s="54" t="s">
        <v>4018</v>
      </c>
      <c r="Y9" s="52"/>
      <c r="Z9" s="3" t="s">
        <v>61</v>
      </c>
      <c r="AA9" s="3" t="s">
        <v>96</v>
      </c>
      <c r="AB9" s="3"/>
      <c r="AC9" s="3"/>
      <c r="AD9" s="3" t="s">
        <v>62</v>
      </c>
      <c r="AE9" s="3" t="s">
        <v>97</v>
      </c>
      <c r="AF9" s="3"/>
      <c r="AG9" s="3" t="s">
        <v>98</v>
      </c>
      <c r="AH9" s="58">
        <v>100</v>
      </c>
      <c r="AI9" s="3"/>
      <c r="AJ9" s="3"/>
      <c r="AK9" s="3"/>
      <c r="AL9" s="3"/>
      <c r="AM9" s="3"/>
      <c r="AN9" s="3"/>
      <c r="AO9" s="3"/>
      <c r="AP9" s="3"/>
      <c r="AQ9" s="3"/>
      <c r="AR9" s="3"/>
      <c r="AS9" s="3"/>
      <c r="AT9" s="3"/>
      <c r="AU9" s="3"/>
      <c r="AV9" s="3"/>
      <c r="AW9" s="3"/>
      <c r="AX9" s="3"/>
      <c r="AY9" s="3"/>
      <c r="AZ9" s="4" t="s">
        <v>94</v>
      </c>
      <c r="BA9" s="3"/>
      <c r="BB9" s="1"/>
      <c r="BC9" s="1"/>
    </row>
    <row r="10" spans="1:56" s="78" customFormat="1" x14ac:dyDescent="0.25">
      <c r="A10" s="52" t="s">
        <v>4019</v>
      </c>
      <c r="B10" s="34" t="s">
        <v>59</v>
      </c>
      <c r="C10" s="53">
        <v>2026</v>
      </c>
      <c r="D10" s="53">
        <v>2026</v>
      </c>
      <c r="E10" s="54" t="s">
        <v>2900</v>
      </c>
      <c r="F10" s="55" t="s">
        <v>50</v>
      </c>
      <c r="G10" s="55" t="s">
        <v>50</v>
      </c>
      <c r="H10" s="45" t="s">
        <v>95</v>
      </c>
      <c r="I10" s="45" t="s">
        <v>52</v>
      </c>
      <c r="J10" s="56"/>
      <c r="K10" s="55" t="s">
        <v>71</v>
      </c>
      <c r="L10" s="55" t="s">
        <v>54</v>
      </c>
      <c r="M10" s="55"/>
      <c r="N10" s="55" t="s">
        <v>55</v>
      </c>
      <c r="O10" s="55" t="s">
        <v>100</v>
      </c>
      <c r="P10" s="55" t="s">
        <v>73</v>
      </c>
      <c r="Q10" s="55" t="s">
        <v>57</v>
      </c>
      <c r="R10" s="55"/>
      <c r="S10" s="56" t="s">
        <v>58</v>
      </c>
      <c r="T10" s="55" t="s">
        <v>58</v>
      </c>
      <c r="U10" s="57">
        <v>-999</v>
      </c>
      <c r="V10" s="57" t="s">
        <v>59</v>
      </c>
      <c r="W10" s="55" t="s">
        <v>2319</v>
      </c>
      <c r="X10" s="54" t="s">
        <v>4019</v>
      </c>
      <c r="Y10" s="52"/>
      <c r="Z10" s="3" t="s">
        <v>61</v>
      </c>
      <c r="AA10" s="3" t="s">
        <v>96</v>
      </c>
      <c r="AB10" s="3"/>
      <c r="AC10" s="3"/>
      <c r="AD10" s="3" t="s">
        <v>62</v>
      </c>
      <c r="AE10" s="3" t="s">
        <v>97</v>
      </c>
      <c r="AF10" s="3"/>
      <c r="AG10" s="3" t="s">
        <v>98</v>
      </c>
      <c r="AH10" s="58">
        <v>100</v>
      </c>
      <c r="AI10" s="3"/>
      <c r="AJ10" s="3"/>
      <c r="AK10" s="3"/>
      <c r="AL10" s="3"/>
      <c r="AM10" s="3"/>
      <c r="AN10" s="3"/>
      <c r="AO10" s="3"/>
      <c r="AP10" s="3"/>
      <c r="AQ10" s="3"/>
      <c r="AR10" s="3"/>
      <c r="AS10" s="3"/>
      <c r="AT10" s="3"/>
      <c r="AU10" s="3"/>
      <c r="AV10" s="3"/>
      <c r="AW10" s="3"/>
      <c r="AX10" s="3"/>
      <c r="AY10" s="3"/>
      <c r="AZ10" s="4" t="s">
        <v>99</v>
      </c>
      <c r="BA10" s="3"/>
      <c r="BB10" s="1"/>
      <c r="BC10" s="1"/>
    </row>
    <row r="11" spans="1:56" s="78" customFormat="1" x14ac:dyDescent="0.25">
      <c r="A11" s="52" t="s">
        <v>4020</v>
      </c>
      <c r="B11" s="34" t="s">
        <v>59</v>
      </c>
      <c r="C11" s="53">
        <v>2026</v>
      </c>
      <c r="D11" s="53">
        <v>2026</v>
      </c>
      <c r="E11" s="54" t="s">
        <v>2900</v>
      </c>
      <c r="F11" s="55" t="s">
        <v>50</v>
      </c>
      <c r="G11" s="55" t="s">
        <v>50</v>
      </c>
      <c r="H11" s="45" t="s">
        <v>95</v>
      </c>
      <c r="I11" s="56" t="s">
        <v>52</v>
      </c>
      <c r="J11" s="45" t="s">
        <v>65</v>
      </c>
      <c r="K11" s="55" t="s">
        <v>66</v>
      </c>
      <c r="L11" s="55" t="s">
        <v>54</v>
      </c>
      <c r="M11" s="55"/>
      <c r="N11" s="56" t="s">
        <v>55</v>
      </c>
      <c r="O11" s="56"/>
      <c r="P11" s="56" t="s">
        <v>67</v>
      </c>
      <c r="Q11" s="55" t="s">
        <v>57</v>
      </c>
      <c r="R11" s="55"/>
      <c r="S11" s="56" t="s">
        <v>58</v>
      </c>
      <c r="T11" s="55" t="str">
        <f t="shared" ref="T11:T20" si="1">IF(ISNUMBER(SEARCH(",",N11)),"Y","N")</f>
        <v>N</v>
      </c>
      <c r="U11" s="57">
        <v>-999</v>
      </c>
      <c r="V11" s="57" t="s">
        <v>59</v>
      </c>
      <c r="W11" s="55" t="s">
        <v>2319</v>
      </c>
      <c r="X11" s="54" t="s">
        <v>4020</v>
      </c>
      <c r="Y11" s="52"/>
      <c r="Z11" s="1" t="s">
        <v>61</v>
      </c>
      <c r="AA11" s="3" t="s">
        <v>96</v>
      </c>
      <c r="AB11" s="3"/>
      <c r="AC11" s="3"/>
      <c r="AD11" s="3" t="s">
        <v>62</v>
      </c>
      <c r="AE11" s="1" t="s">
        <v>97</v>
      </c>
      <c r="AF11" s="1"/>
      <c r="AG11" s="3" t="s">
        <v>98</v>
      </c>
      <c r="AH11" s="58">
        <v>100</v>
      </c>
      <c r="AI11" s="1"/>
      <c r="AJ11" s="1"/>
      <c r="AK11" s="1"/>
      <c r="AL11" s="1"/>
      <c r="AM11" s="1"/>
      <c r="AN11" s="1"/>
      <c r="AO11" s="1"/>
      <c r="AP11" s="1"/>
      <c r="AQ11" s="1"/>
      <c r="AR11" s="1"/>
      <c r="AS11" s="1"/>
      <c r="AT11" s="1"/>
      <c r="AU11" s="1"/>
      <c r="AV11" s="1"/>
      <c r="AW11" s="1"/>
      <c r="AX11" s="1"/>
      <c r="AY11" s="1"/>
      <c r="AZ11" s="4" t="s">
        <v>94</v>
      </c>
      <c r="BA11" s="1"/>
      <c r="BB11" s="1"/>
      <c r="BC11" s="1"/>
    </row>
    <row r="12" spans="1:56" s="78" customFormat="1" x14ac:dyDescent="0.25">
      <c r="A12" s="52" t="s">
        <v>4021</v>
      </c>
      <c r="B12" s="34" t="s">
        <v>59</v>
      </c>
      <c r="C12" s="53">
        <v>2026</v>
      </c>
      <c r="D12" s="53">
        <v>2026</v>
      </c>
      <c r="E12" s="54" t="s">
        <v>2900</v>
      </c>
      <c r="F12" s="55" t="s">
        <v>50</v>
      </c>
      <c r="G12" s="55" t="s">
        <v>50</v>
      </c>
      <c r="H12" s="45" t="s">
        <v>95</v>
      </c>
      <c r="I12" s="56" t="s">
        <v>52</v>
      </c>
      <c r="J12" s="45" t="s">
        <v>65</v>
      </c>
      <c r="K12" s="55" t="s">
        <v>68</v>
      </c>
      <c r="L12" s="55" t="s">
        <v>54</v>
      </c>
      <c r="M12" s="55"/>
      <c r="N12" s="56" t="s">
        <v>55</v>
      </c>
      <c r="O12" s="56"/>
      <c r="P12" s="55" t="s">
        <v>69</v>
      </c>
      <c r="Q12" s="55" t="s">
        <v>57</v>
      </c>
      <c r="R12" s="55"/>
      <c r="S12" s="56" t="s">
        <v>58</v>
      </c>
      <c r="T12" s="55" t="str">
        <f t="shared" si="1"/>
        <v>N</v>
      </c>
      <c r="U12" s="57">
        <v>-999</v>
      </c>
      <c r="V12" s="57" t="s">
        <v>59</v>
      </c>
      <c r="W12" s="55" t="s">
        <v>2319</v>
      </c>
      <c r="X12" s="54" t="s">
        <v>4021</v>
      </c>
      <c r="Y12" s="52"/>
      <c r="Z12" s="1" t="s">
        <v>61</v>
      </c>
      <c r="AA12" s="3" t="s">
        <v>96</v>
      </c>
      <c r="AB12" s="3"/>
      <c r="AC12" s="3"/>
      <c r="AD12" s="3" t="s">
        <v>62</v>
      </c>
      <c r="AE12" s="1" t="s">
        <v>97</v>
      </c>
      <c r="AF12" s="1"/>
      <c r="AG12" s="3" t="s">
        <v>98</v>
      </c>
      <c r="AH12" s="58">
        <v>100</v>
      </c>
      <c r="AI12" s="1"/>
      <c r="AJ12" s="1"/>
      <c r="AK12" s="1"/>
      <c r="AL12" s="1"/>
      <c r="AM12" s="1"/>
      <c r="AN12" s="1"/>
      <c r="AO12" s="1"/>
      <c r="AP12" s="1"/>
      <c r="AQ12" s="1"/>
      <c r="AR12" s="1"/>
      <c r="AS12" s="1"/>
      <c r="AT12" s="1"/>
      <c r="AU12" s="1"/>
      <c r="AV12" s="1"/>
      <c r="AW12" s="1"/>
      <c r="AX12" s="1"/>
      <c r="AY12" s="1"/>
      <c r="AZ12" s="4" t="s">
        <v>94</v>
      </c>
      <c r="BA12" s="1"/>
      <c r="BB12" s="1"/>
      <c r="BC12" s="1"/>
    </row>
    <row r="13" spans="1:56" s="78" customFormat="1" x14ac:dyDescent="0.25">
      <c r="A13" s="52" t="s">
        <v>4022</v>
      </c>
      <c r="B13" s="34" t="s">
        <v>59</v>
      </c>
      <c r="C13" s="53">
        <v>2026</v>
      </c>
      <c r="D13" s="53">
        <v>2026</v>
      </c>
      <c r="E13" s="54" t="s">
        <v>2901</v>
      </c>
      <c r="F13" s="55" t="s">
        <v>50</v>
      </c>
      <c r="G13" s="55" t="s">
        <v>50</v>
      </c>
      <c r="H13" s="45" t="s">
        <v>103</v>
      </c>
      <c r="I13" s="56" t="s">
        <v>78</v>
      </c>
      <c r="J13" s="56"/>
      <c r="K13" s="56" t="s">
        <v>104</v>
      </c>
      <c r="L13" s="55" t="str">
        <f>IF(K13="Mine or Quarry","Mine","")</f>
        <v/>
      </c>
      <c r="M13" s="55"/>
      <c r="N13" s="56" t="s">
        <v>110</v>
      </c>
      <c r="O13" s="56"/>
      <c r="P13" s="55" t="s">
        <v>56</v>
      </c>
      <c r="Q13" s="55" t="s">
        <v>57</v>
      </c>
      <c r="R13" s="55"/>
      <c r="S13" s="56" t="s">
        <v>58</v>
      </c>
      <c r="T13" s="55" t="str">
        <f t="shared" si="1"/>
        <v>N</v>
      </c>
      <c r="U13" s="57">
        <v>38000</v>
      </c>
      <c r="V13" s="57" t="s">
        <v>101</v>
      </c>
      <c r="W13" s="55" t="s">
        <v>106</v>
      </c>
      <c r="X13" s="54" t="s">
        <v>4022</v>
      </c>
      <c r="Y13" s="52"/>
      <c r="Z13" s="2" t="s">
        <v>2005</v>
      </c>
      <c r="AA13" s="1" t="s">
        <v>107</v>
      </c>
      <c r="AB13" s="1"/>
      <c r="AC13" s="1"/>
      <c r="AD13" s="3" t="s">
        <v>62</v>
      </c>
      <c r="AE13" s="2" t="s">
        <v>108</v>
      </c>
      <c r="AF13" s="2"/>
      <c r="AG13" s="1" t="s">
        <v>109</v>
      </c>
      <c r="AH13" s="58">
        <v>100</v>
      </c>
      <c r="AI13" s="1"/>
      <c r="AJ13" s="1"/>
      <c r="AK13" s="1"/>
      <c r="AL13" s="1"/>
      <c r="AM13" s="1"/>
      <c r="AN13" s="1"/>
      <c r="AO13" s="1"/>
      <c r="AP13" s="1"/>
      <c r="AQ13" s="1"/>
      <c r="AR13" s="1"/>
      <c r="AS13" s="1"/>
      <c r="AT13" s="1"/>
      <c r="AU13" s="1"/>
      <c r="AV13" s="1"/>
      <c r="AW13" s="1"/>
      <c r="AX13" s="1"/>
      <c r="AY13" s="1"/>
      <c r="AZ13" s="4" t="s">
        <v>102</v>
      </c>
      <c r="BA13" s="1"/>
      <c r="BB13" s="1"/>
      <c r="BC13" s="1"/>
    </row>
    <row r="14" spans="1:56" s="78" customFormat="1" x14ac:dyDescent="0.25">
      <c r="A14" s="52" t="s">
        <v>4023</v>
      </c>
      <c r="B14" s="34" t="s">
        <v>59</v>
      </c>
      <c r="C14" s="53">
        <v>2026</v>
      </c>
      <c r="D14" s="53">
        <v>2026</v>
      </c>
      <c r="E14" s="54" t="s">
        <v>2901</v>
      </c>
      <c r="F14" s="55" t="s">
        <v>50</v>
      </c>
      <c r="G14" s="55" t="s">
        <v>50</v>
      </c>
      <c r="H14" s="45" t="s">
        <v>103</v>
      </c>
      <c r="I14" s="56" t="s">
        <v>78</v>
      </c>
      <c r="J14" s="56"/>
      <c r="K14" s="56" t="s">
        <v>74</v>
      </c>
      <c r="L14" s="55" t="str">
        <f>IF(K14="Mines and Quarries","Mine","")</f>
        <v/>
      </c>
      <c r="M14" s="55"/>
      <c r="N14" s="56" t="s">
        <v>110</v>
      </c>
      <c r="O14" s="56"/>
      <c r="P14" s="55" t="s">
        <v>75</v>
      </c>
      <c r="Q14" s="56" t="s">
        <v>57</v>
      </c>
      <c r="R14" s="55"/>
      <c r="S14" s="56" t="s">
        <v>58</v>
      </c>
      <c r="T14" s="55" t="str">
        <f t="shared" si="1"/>
        <v>N</v>
      </c>
      <c r="U14" s="57">
        <v>4.9610000000000003</v>
      </c>
      <c r="V14" s="57" t="s">
        <v>101</v>
      </c>
      <c r="W14" s="55" t="s">
        <v>106</v>
      </c>
      <c r="X14" s="54" t="s">
        <v>4023</v>
      </c>
      <c r="Y14" s="52"/>
      <c r="Z14" s="2" t="s">
        <v>2005</v>
      </c>
      <c r="AA14" s="1" t="s">
        <v>107</v>
      </c>
      <c r="AB14" s="1"/>
      <c r="AC14" s="1"/>
      <c r="AD14" s="3" t="s">
        <v>62</v>
      </c>
      <c r="AE14" s="2" t="s">
        <v>108</v>
      </c>
      <c r="AF14" s="1" t="s">
        <v>109</v>
      </c>
      <c r="AG14" s="3" t="s">
        <v>109</v>
      </c>
      <c r="AH14" s="53">
        <v>100</v>
      </c>
      <c r="AI14" s="1"/>
      <c r="AJ14" s="59"/>
      <c r="AK14" s="1"/>
      <c r="AL14" s="59"/>
      <c r="AM14" s="1"/>
      <c r="AN14" s="60"/>
      <c r="AO14" s="1"/>
      <c r="AP14" s="60"/>
      <c r="AQ14" s="1"/>
      <c r="AR14" s="60"/>
      <c r="AS14" s="1"/>
      <c r="AT14" s="60"/>
      <c r="AU14" s="1"/>
      <c r="AV14" s="60"/>
      <c r="AW14" s="1"/>
      <c r="AX14" s="60"/>
      <c r="AY14" s="1"/>
      <c r="AZ14" s="4" t="s">
        <v>102</v>
      </c>
      <c r="BA14" s="5"/>
      <c r="BB14" s="1"/>
      <c r="BC14" s="1"/>
    </row>
    <row r="15" spans="1:56" s="78" customFormat="1" x14ac:dyDescent="0.25">
      <c r="A15" s="52" t="s">
        <v>4024</v>
      </c>
      <c r="B15" s="34" t="s">
        <v>59</v>
      </c>
      <c r="C15" s="53">
        <v>2026</v>
      </c>
      <c r="D15" s="53">
        <v>2026</v>
      </c>
      <c r="E15" s="54" t="s">
        <v>2902</v>
      </c>
      <c r="F15" s="55" t="s">
        <v>50</v>
      </c>
      <c r="G15" s="55" t="s">
        <v>50</v>
      </c>
      <c r="H15" s="45" t="s">
        <v>112</v>
      </c>
      <c r="I15" s="61" t="s">
        <v>52</v>
      </c>
      <c r="J15" s="56"/>
      <c r="K15" s="55" t="s">
        <v>71</v>
      </c>
      <c r="L15" s="55" t="s">
        <v>54</v>
      </c>
      <c r="M15" s="55" t="s">
        <v>113</v>
      </c>
      <c r="N15" s="55" t="s">
        <v>55</v>
      </c>
      <c r="O15" s="55"/>
      <c r="P15" s="55" t="s">
        <v>73</v>
      </c>
      <c r="Q15" s="55" t="s">
        <v>57</v>
      </c>
      <c r="R15" s="55"/>
      <c r="S15" s="56" t="s">
        <v>58</v>
      </c>
      <c r="T15" s="55" t="str">
        <f t="shared" si="1"/>
        <v>N</v>
      </c>
      <c r="U15" s="57">
        <v>-999</v>
      </c>
      <c r="V15" s="57" t="s">
        <v>59</v>
      </c>
      <c r="W15" s="55" t="s">
        <v>2319</v>
      </c>
      <c r="X15" s="54" t="s">
        <v>4024</v>
      </c>
      <c r="Y15" s="52"/>
      <c r="Z15" s="3" t="s">
        <v>61</v>
      </c>
      <c r="AA15" s="3" t="s">
        <v>114</v>
      </c>
      <c r="AB15" s="3"/>
      <c r="AC15" s="3"/>
      <c r="AD15" s="3" t="s">
        <v>62</v>
      </c>
      <c r="AE15" s="3" t="s">
        <v>115</v>
      </c>
      <c r="AF15" s="3" t="s">
        <v>116</v>
      </c>
      <c r="AG15" s="3" t="s">
        <v>117</v>
      </c>
      <c r="AH15" s="58">
        <v>100</v>
      </c>
      <c r="AI15" s="3"/>
      <c r="AJ15" s="3"/>
      <c r="AK15" s="3"/>
      <c r="AL15" s="3"/>
      <c r="AM15" s="3"/>
      <c r="AN15" s="3"/>
      <c r="AO15" s="3"/>
      <c r="AP15" s="3"/>
      <c r="AQ15" s="3"/>
      <c r="AR15" s="3"/>
      <c r="AS15" s="3"/>
      <c r="AT15" s="3"/>
      <c r="AU15" s="3"/>
      <c r="AV15" s="3"/>
      <c r="AW15" s="3"/>
      <c r="AX15" s="3"/>
      <c r="AY15" s="3"/>
      <c r="AZ15" s="4" t="s">
        <v>3803</v>
      </c>
      <c r="BA15" s="3" t="s">
        <v>3804</v>
      </c>
      <c r="BB15" s="1"/>
      <c r="BC15" s="1"/>
    </row>
    <row r="16" spans="1:56" s="78" customFormat="1" x14ac:dyDescent="0.25">
      <c r="A16" s="52" t="s">
        <v>4025</v>
      </c>
      <c r="B16" s="34" t="s">
        <v>59</v>
      </c>
      <c r="C16" s="53">
        <v>2026</v>
      </c>
      <c r="D16" s="53">
        <v>2026</v>
      </c>
      <c r="E16" s="54" t="s">
        <v>2902</v>
      </c>
      <c r="F16" s="55" t="s">
        <v>50</v>
      </c>
      <c r="G16" s="55" t="s">
        <v>50</v>
      </c>
      <c r="H16" s="45" t="s">
        <v>112</v>
      </c>
      <c r="I16" s="61" t="s">
        <v>52</v>
      </c>
      <c r="J16" s="45" t="s">
        <v>65</v>
      </c>
      <c r="K16" s="55" t="s">
        <v>118</v>
      </c>
      <c r="L16" s="55" t="s">
        <v>54</v>
      </c>
      <c r="M16" s="55" t="s">
        <v>113</v>
      </c>
      <c r="N16" s="55" t="s">
        <v>55</v>
      </c>
      <c r="O16" s="55"/>
      <c r="P16" s="55" t="s">
        <v>119</v>
      </c>
      <c r="Q16" s="55" t="s">
        <v>57</v>
      </c>
      <c r="R16" s="55"/>
      <c r="S16" s="56" t="s">
        <v>58</v>
      </c>
      <c r="T16" s="55" t="str">
        <f t="shared" si="1"/>
        <v>N</v>
      </c>
      <c r="U16" s="57">
        <v>-999</v>
      </c>
      <c r="V16" s="57" t="s">
        <v>59</v>
      </c>
      <c r="W16" s="55" t="s">
        <v>2319</v>
      </c>
      <c r="X16" s="54" t="s">
        <v>4025</v>
      </c>
      <c r="Y16" s="52"/>
      <c r="Z16" s="3" t="s">
        <v>61</v>
      </c>
      <c r="AA16" s="3" t="s">
        <v>114</v>
      </c>
      <c r="AB16" s="3"/>
      <c r="AC16" s="3"/>
      <c r="AD16" s="3" t="s">
        <v>62</v>
      </c>
      <c r="AE16" s="3" t="s">
        <v>115</v>
      </c>
      <c r="AF16" s="3" t="s">
        <v>116</v>
      </c>
      <c r="AG16" s="3" t="s">
        <v>117</v>
      </c>
      <c r="AH16" s="58">
        <v>100</v>
      </c>
      <c r="AI16" s="3"/>
      <c r="AJ16" s="3"/>
      <c r="AK16" s="3"/>
      <c r="AL16" s="3"/>
      <c r="AM16" s="3"/>
      <c r="AN16" s="3"/>
      <c r="AO16" s="3"/>
      <c r="AP16" s="3"/>
      <c r="AQ16" s="3"/>
      <c r="AR16" s="3"/>
      <c r="AS16" s="3"/>
      <c r="AT16" s="3"/>
      <c r="AU16" s="3"/>
      <c r="AV16" s="3"/>
      <c r="AW16" s="3"/>
      <c r="AX16" s="3"/>
      <c r="AY16" s="3"/>
      <c r="AZ16" s="4" t="s">
        <v>3803</v>
      </c>
      <c r="BA16" s="3" t="s">
        <v>3804</v>
      </c>
      <c r="BB16" s="1"/>
      <c r="BC16" s="1"/>
    </row>
    <row r="17" spans="1:55" s="78" customFormat="1" x14ac:dyDescent="0.25">
      <c r="A17" s="52" t="s">
        <v>4026</v>
      </c>
      <c r="B17" s="34" t="s">
        <v>59</v>
      </c>
      <c r="C17" s="53">
        <v>2026</v>
      </c>
      <c r="D17" s="53">
        <v>2026</v>
      </c>
      <c r="E17" s="54" t="s">
        <v>2902</v>
      </c>
      <c r="F17" s="55" t="s">
        <v>50</v>
      </c>
      <c r="G17" s="55" t="s">
        <v>50</v>
      </c>
      <c r="H17" s="45" t="s">
        <v>112</v>
      </c>
      <c r="I17" s="61" t="s">
        <v>52</v>
      </c>
      <c r="J17" s="45" t="s">
        <v>65</v>
      </c>
      <c r="K17" s="55" t="s">
        <v>66</v>
      </c>
      <c r="L17" s="55" t="s">
        <v>54</v>
      </c>
      <c r="M17" s="55" t="s">
        <v>113</v>
      </c>
      <c r="N17" s="55" t="s">
        <v>55</v>
      </c>
      <c r="O17" s="55"/>
      <c r="P17" s="55" t="s">
        <v>67</v>
      </c>
      <c r="Q17" s="55" t="s">
        <v>57</v>
      </c>
      <c r="R17" s="55"/>
      <c r="S17" s="56" t="s">
        <v>58</v>
      </c>
      <c r="T17" s="55" t="str">
        <f t="shared" si="1"/>
        <v>N</v>
      </c>
      <c r="U17" s="57">
        <v>-999</v>
      </c>
      <c r="V17" s="57" t="s">
        <v>59</v>
      </c>
      <c r="W17" s="55" t="s">
        <v>2319</v>
      </c>
      <c r="X17" s="54" t="s">
        <v>4026</v>
      </c>
      <c r="Y17" s="52"/>
      <c r="Z17" s="3" t="s">
        <v>61</v>
      </c>
      <c r="AA17" s="3" t="s">
        <v>114</v>
      </c>
      <c r="AB17" s="3"/>
      <c r="AC17" s="3"/>
      <c r="AD17" s="3" t="s">
        <v>62</v>
      </c>
      <c r="AE17" s="3" t="s">
        <v>115</v>
      </c>
      <c r="AF17" s="3" t="s">
        <v>116</v>
      </c>
      <c r="AG17" s="3" t="s">
        <v>117</v>
      </c>
      <c r="AH17" s="58">
        <v>100</v>
      </c>
      <c r="AI17" s="3"/>
      <c r="AJ17" s="3"/>
      <c r="AK17" s="3"/>
      <c r="AL17" s="3"/>
      <c r="AM17" s="3"/>
      <c r="AN17" s="3"/>
      <c r="AO17" s="3"/>
      <c r="AP17" s="3"/>
      <c r="AQ17" s="3"/>
      <c r="AR17" s="3"/>
      <c r="AS17" s="3"/>
      <c r="AT17" s="3"/>
      <c r="AU17" s="3"/>
      <c r="AV17" s="3"/>
      <c r="AW17" s="3"/>
      <c r="AX17" s="3"/>
      <c r="AY17" s="3"/>
      <c r="AZ17" s="4" t="s">
        <v>3803</v>
      </c>
      <c r="BA17" s="3" t="s">
        <v>3804</v>
      </c>
      <c r="BB17" s="1"/>
      <c r="BC17" s="1"/>
    </row>
    <row r="18" spans="1:55" s="78" customFormat="1" x14ac:dyDescent="0.25">
      <c r="A18" s="52" t="s">
        <v>4027</v>
      </c>
      <c r="B18" s="34" t="s">
        <v>59</v>
      </c>
      <c r="C18" s="53">
        <v>2026</v>
      </c>
      <c r="D18" s="53">
        <v>2026</v>
      </c>
      <c r="E18" s="54" t="s">
        <v>2902</v>
      </c>
      <c r="F18" s="55" t="s">
        <v>50</v>
      </c>
      <c r="G18" s="55" t="s">
        <v>50</v>
      </c>
      <c r="H18" s="45" t="s">
        <v>112</v>
      </c>
      <c r="I18" s="61" t="s">
        <v>52</v>
      </c>
      <c r="J18" s="45" t="s">
        <v>65</v>
      </c>
      <c r="K18" s="55" t="s">
        <v>68</v>
      </c>
      <c r="L18" s="55" t="s">
        <v>54</v>
      </c>
      <c r="M18" s="55" t="s">
        <v>113</v>
      </c>
      <c r="N18" s="55" t="s">
        <v>55</v>
      </c>
      <c r="O18" s="55"/>
      <c r="P18" s="55" t="s">
        <v>69</v>
      </c>
      <c r="Q18" s="55" t="s">
        <v>57</v>
      </c>
      <c r="R18" s="55"/>
      <c r="S18" s="56" t="s">
        <v>58</v>
      </c>
      <c r="T18" s="55" t="str">
        <f t="shared" si="1"/>
        <v>N</v>
      </c>
      <c r="U18" s="57">
        <v>-999</v>
      </c>
      <c r="V18" s="57" t="s">
        <v>59</v>
      </c>
      <c r="W18" s="55" t="s">
        <v>2319</v>
      </c>
      <c r="X18" s="54" t="s">
        <v>4027</v>
      </c>
      <c r="Y18" s="52"/>
      <c r="Z18" s="3" t="s">
        <v>61</v>
      </c>
      <c r="AA18" s="3" t="s">
        <v>114</v>
      </c>
      <c r="AB18" s="3"/>
      <c r="AC18" s="3"/>
      <c r="AD18" s="3" t="s">
        <v>62</v>
      </c>
      <c r="AE18" s="3" t="s">
        <v>115</v>
      </c>
      <c r="AF18" s="3" t="s">
        <v>116</v>
      </c>
      <c r="AG18" s="3" t="s">
        <v>117</v>
      </c>
      <c r="AH18" s="58">
        <v>100</v>
      </c>
      <c r="AI18" s="3"/>
      <c r="AJ18" s="3"/>
      <c r="AK18" s="3"/>
      <c r="AL18" s="3"/>
      <c r="AM18" s="3"/>
      <c r="AN18" s="3"/>
      <c r="AO18" s="3"/>
      <c r="AP18" s="3"/>
      <c r="AQ18" s="3"/>
      <c r="AR18" s="3"/>
      <c r="AS18" s="3"/>
      <c r="AT18" s="3"/>
      <c r="AU18" s="3"/>
      <c r="AV18" s="3"/>
      <c r="AW18" s="3"/>
      <c r="AX18" s="3"/>
      <c r="AY18" s="3"/>
      <c r="AZ18" s="4" t="s">
        <v>3803</v>
      </c>
      <c r="BA18" s="3" t="s">
        <v>3804</v>
      </c>
      <c r="BB18" s="1"/>
      <c r="BC18" s="1"/>
    </row>
    <row r="19" spans="1:55" s="78" customFormat="1" x14ac:dyDescent="0.25">
      <c r="A19" s="52" t="s">
        <v>4028</v>
      </c>
      <c r="B19" s="34" t="s">
        <v>59</v>
      </c>
      <c r="C19" s="53">
        <v>2026</v>
      </c>
      <c r="D19" s="53">
        <v>2026</v>
      </c>
      <c r="E19" s="54" t="s">
        <v>2902</v>
      </c>
      <c r="F19" s="55" t="s">
        <v>50</v>
      </c>
      <c r="G19" s="55" t="s">
        <v>50</v>
      </c>
      <c r="H19" s="45" t="s">
        <v>112</v>
      </c>
      <c r="I19" s="61" t="s">
        <v>52</v>
      </c>
      <c r="J19" s="56"/>
      <c r="K19" s="55" t="s">
        <v>120</v>
      </c>
      <c r="L19" s="55" t="s">
        <v>54</v>
      </c>
      <c r="M19" s="55" t="s">
        <v>113</v>
      </c>
      <c r="N19" s="55" t="s">
        <v>55</v>
      </c>
      <c r="O19" s="55"/>
      <c r="P19" s="55" t="s">
        <v>121</v>
      </c>
      <c r="Q19" s="55" t="s">
        <v>57</v>
      </c>
      <c r="R19" s="55"/>
      <c r="S19" s="56" t="s">
        <v>58</v>
      </c>
      <c r="T19" s="55" t="str">
        <f t="shared" si="1"/>
        <v>N</v>
      </c>
      <c r="U19" s="57">
        <v>-999</v>
      </c>
      <c r="V19" s="57" t="s">
        <v>59</v>
      </c>
      <c r="W19" s="55" t="s">
        <v>2319</v>
      </c>
      <c r="X19" s="54" t="s">
        <v>4028</v>
      </c>
      <c r="Y19" s="52"/>
      <c r="Z19" s="3" t="s">
        <v>61</v>
      </c>
      <c r="AA19" s="3" t="s">
        <v>114</v>
      </c>
      <c r="AB19" s="3"/>
      <c r="AC19" s="3"/>
      <c r="AD19" s="3" t="s">
        <v>62</v>
      </c>
      <c r="AE19" s="3" t="s">
        <v>115</v>
      </c>
      <c r="AF19" s="3" t="s">
        <v>116</v>
      </c>
      <c r="AG19" s="3" t="s">
        <v>117</v>
      </c>
      <c r="AH19" s="58">
        <v>100</v>
      </c>
      <c r="AI19" s="3"/>
      <c r="AJ19" s="3"/>
      <c r="AK19" s="3"/>
      <c r="AL19" s="3"/>
      <c r="AM19" s="3"/>
      <c r="AN19" s="3"/>
      <c r="AO19" s="3"/>
      <c r="AP19" s="3"/>
      <c r="AQ19" s="3"/>
      <c r="AR19" s="3"/>
      <c r="AS19" s="3"/>
      <c r="AT19" s="3"/>
      <c r="AU19" s="3"/>
      <c r="AV19" s="3"/>
      <c r="AW19" s="3"/>
      <c r="AX19" s="3"/>
      <c r="AY19" s="3"/>
      <c r="AZ19" s="4" t="s">
        <v>3803</v>
      </c>
      <c r="BA19" s="3" t="s">
        <v>3804</v>
      </c>
      <c r="BB19" s="1"/>
      <c r="BC19" s="1"/>
    </row>
    <row r="20" spans="1:55" s="78" customFormat="1" x14ac:dyDescent="0.25">
      <c r="A20" s="52" t="s">
        <v>4029</v>
      </c>
      <c r="B20" s="34" t="s">
        <v>59</v>
      </c>
      <c r="C20" s="53">
        <v>2026</v>
      </c>
      <c r="D20" s="53">
        <v>2026</v>
      </c>
      <c r="E20" s="54" t="s">
        <v>2902</v>
      </c>
      <c r="F20" s="55" t="s">
        <v>50</v>
      </c>
      <c r="G20" s="55" t="s">
        <v>50</v>
      </c>
      <c r="H20" s="45" t="s">
        <v>112</v>
      </c>
      <c r="I20" s="61" t="s">
        <v>52</v>
      </c>
      <c r="J20" s="45" t="s">
        <v>65</v>
      </c>
      <c r="K20" s="55" t="s">
        <v>122</v>
      </c>
      <c r="L20" s="55" t="s">
        <v>54</v>
      </c>
      <c r="M20" s="55" t="s">
        <v>113</v>
      </c>
      <c r="N20" s="55" t="s">
        <v>55</v>
      </c>
      <c r="O20" s="55"/>
      <c r="P20" s="55" t="s">
        <v>123</v>
      </c>
      <c r="Q20" s="55" t="s">
        <v>57</v>
      </c>
      <c r="R20" s="55"/>
      <c r="S20" s="56" t="s">
        <v>58</v>
      </c>
      <c r="T20" s="55" t="str">
        <f t="shared" si="1"/>
        <v>N</v>
      </c>
      <c r="U20" s="57">
        <v>-999</v>
      </c>
      <c r="V20" s="57" t="s">
        <v>59</v>
      </c>
      <c r="W20" s="55" t="s">
        <v>2319</v>
      </c>
      <c r="X20" s="54" t="s">
        <v>4029</v>
      </c>
      <c r="Y20" s="52"/>
      <c r="Z20" s="3" t="s">
        <v>61</v>
      </c>
      <c r="AA20" s="3" t="s">
        <v>114</v>
      </c>
      <c r="AB20" s="3"/>
      <c r="AC20" s="3"/>
      <c r="AD20" s="3" t="s">
        <v>62</v>
      </c>
      <c r="AE20" s="3" t="s">
        <v>115</v>
      </c>
      <c r="AF20" s="3" t="s">
        <v>116</v>
      </c>
      <c r="AG20" s="3" t="s">
        <v>117</v>
      </c>
      <c r="AH20" s="58">
        <v>100</v>
      </c>
      <c r="AI20" s="3"/>
      <c r="AJ20" s="3"/>
      <c r="AK20" s="3"/>
      <c r="AL20" s="3"/>
      <c r="AM20" s="3"/>
      <c r="AN20" s="3"/>
      <c r="AO20" s="3"/>
      <c r="AP20" s="3"/>
      <c r="AQ20" s="3"/>
      <c r="AR20" s="3"/>
      <c r="AS20" s="3"/>
      <c r="AT20" s="3"/>
      <c r="AU20" s="3"/>
      <c r="AV20" s="3"/>
      <c r="AW20" s="3"/>
      <c r="AX20" s="3"/>
      <c r="AY20" s="3"/>
      <c r="AZ20" s="4" t="s">
        <v>3803</v>
      </c>
      <c r="BA20" s="3" t="s">
        <v>3804</v>
      </c>
      <c r="BB20" s="1"/>
      <c r="BC20" s="1"/>
    </row>
    <row r="21" spans="1:55" s="78" customFormat="1" x14ac:dyDescent="0.25">
      <c r="A21" s="52" t="s">
        <v>4030</v>
      </c>
      <c r="B21" s="34" t="s">
        <v>59</v>
      </c>
      <c r="C21" s="53">
        <v>2026</v>
      </c>
      <c r="D21" s="53">
        <v>2026</v>
      </c>
      <c r="E21" s="54" t="s">
        <v>2903</v>
      </c>
      <c r="F21" s="55" t="s">
        <v>50</v>
      </c>
      <c r="G21" s="55" t="s">
        <v>50</v>
      </c>
      <c r="H21" s="45" t="s">
        <v>125</v>
      </c>
      <c r="I21" s="61" t="s">
        <v>52</v>
      </c>
      <c r="J21" s="56"/>
      <c r="K21" s="55" t="s">
        <v>126</v>
      </c>
      <c r="L21" s="55"/>
      <c r="M21" s="55" t="s">
        <v>113</v>
      </c>
      <c r="N21" s="55" t="s">
        <v>127</v>
      </c>
      <c r="O21" s="55" t="s">
        <v>128</v>
      </c>
      <c r="P21" s="55" t="s">
        <v>129</v>
      </c>
      <c r="Q21" s="56" t="s">
        <v>57</v>
      </c>
      <c r="R21" s="55"/>
      <c r="S21" s="56" t="s">
        <v>58</v>
      </c>
      <c r="T21" s="55" t="s">
        <v>81</v>
      </c>
      <c r="U21" s="57">
        <v>-999</v>
      </c>
      <c r="V21" s="57" t="s">
        <v>59</v>
      </c>
      <c r="W21" s="55" t="s">
        <v>2319</v>
      </c>
      <c r="X21" s="54" t="s">
        <v>4030</v>
      </c>
      <c r="Y21" s="52"/>
      <c r="Z21" s="3" t="s">
        <v>2005</v>
      </c>
      <c r="AA21" s="3" t="s">
        <v>130</v>
      </c>
      <c r="AB21" s="3"/>
      <c r="AC21" s="3"/>
      <c r="AD21" s="3" t="s">
        <v>62</v>
      </c>
      <c r="AE21" s="3" t="s">
        <v>131</v>
      </c>
      <c r="AF21" s="3"/>
      <c r="AG21" s="3" t="s">
        <v>132</v>
      </c>
      <c r="AH21" s="58">
        <v>100</v>
      </c>
      <c r="AI21" s="3"/>
      <c r="AJ21" s="3"/>
      <c r="AK21" s="3"/>
      <c r="AL21" s="3"/>
      <c r="AM21" s="3"/>
      <c r="AN21" s="3"/>
      <c r="AO21" s="3"/>
      <c r="AP21" s="3"/>
      <c r="AQ21" s="3"/>
      <c r="AR21" s="3"/>
      <c r="AS21" s="3"/>
      <c r="AT21" s="3"/>
      <c r="AU21" s="3"/>
      <c r="AV21" s="3"/>
      <c r="AW21" s="3"/>
      <c r="AX21" s="3"/>
      <c r="AY21" s="3"/>
      <c r="AZ21" s="4" t="s">
        <v>124</v>
      </c>
      <c r="BA21" s="3"/>
      <c r="BB21" s="1"/>
      <c r="BC21" s="1"/>
    </row>
    <row r="22" spans="1:55" s="78" customFormat="1" x14ac:dyDescent="0.25">
      <c r="A22" s="52" t="s">
        <v>4031</v>
      </c>
      <c r="B22" s="34" t="s">
        <v>59</v>
      </c>
      <c r="C22" s="53">
        <v>2026</v>
      </c>
      <c r="D22" s="53">
        <v>2026</v>
      </c>
      <c r="E22" s="54" t="s">
        <v>2903</v>
      </c>
      <c r="F22" s="55" t="s">
        <v>50</v>
      </c>
      <c r="G22" s="55" t="s">
        <v>50</v>
      </c>
      <c r="H22" s="45" t="s">
        <v>125</v>
      </c>
      <c r="I22" s="61" t="s">
        <v>52</v>
      </c>
      <c r="J22" s="56"/>
      <c r="K22" s="55" t="s">
        <v>133</v>
      </c>
      <c r="L22" s="55"/>
      <c r="M22" s="55" t="s">
        <v>113</v>
      </c>
      <c r="N22" s="55" t="s">
        <v>128</v>
      </c>
      <c r="O22" s="55"/>
      <c r="P22" s="55" t="s">
        <v>134</v>
      </c>
      <c r="Q22" s="55" t="s">
        <v>57</v>
      </c>
      <c r="R22" s="55"/>
      <c r="S22" s="56" t="s">
        <v>58</v>
      </c>
      <c r="T22" s="55" t="s">
        <v>81</v>
      </c>
      <c r="U22" s="57">
        <v>-999</v>
      </c>
      <c r="V22" s="57" t="s">
        <v>59</v>
      </c>
      <c r="W22" s="55" t="s">
        <v>2319</v>
      </c>
      <c r="X22" s="54" t="s">
        <v>4031</v>
      </c>
      <c r="Y22" s="52"/>
      <c r="Z22" s="3" t="s">
        <v>2005</v>
      </c>
      <c r="AA22" s="3" t="s">
        <v>130</v>
      </c>
      <c r="AB22" s="3"/>
      <c r="AC22" s="3"/>
      <c r="AD22" s="3" t="s">
        <v>62</v>
      </c>
      <c r="AE22" s="3" t="s">
        <v>131</v>
      </c>
      <c r="AF22" s="3"/>
      <c r="AG22" s="3" t="s">
        <v>132</v>
      </c>
      <c r="AH22" s="58">
        <v>100</v>
      </c>
      <c r="AI22" s="3"/>
      <c r="AJ22" s="3"/>
      <c r="AK22" s="3"/>
      <c r="AL22" s="3"/>
      <c r="AM22" s="3"/>
      <c r="AN22" s="3"/>
      <c r="AO22" s="3"/>
      <c r="AP22" s="3"/>
      <c r="AQ22" s="3"/>
      <c r="AR22" s="3"/>
      <c r="AS22" s="3"/>
      <c r="AT22" s="3"/>
      <c r="AU22" s="3"/>
      <c r="AV22" s="3"/>
      <c r="AW22" s="3"/>
      <c r="AX22" s="3"/>
      <c r="AY22" s="3"/>
      <c r="AZ22" s="4" t="s">
        <v>124</v>
      </c>
      <c r="BA22" s="3"/>
      <c r="BB22" s="1"/>
      <c r="BC22" s="1"/>
    </row>
    <row r="23" spans="1:55" s="78" customFormat="1" x14ac:dyDescent="0.25">
      <c r="A23" s="52" t="s">
        <v>4032</v>
      </c>
      <c r="B23" s="34" t="s">
        <v>59</v>
      </c>
      <c r="C23" s="53">
        <v>2026</v>
      </c>
      <c r="D23" s="53">
        <v>2026</v>
      </c>
      <c r="E23" s="54" t="s">
        <v>2903</v>
      </c>
      <c r="F23" s="55" t="s">
        <v>50</v>
      </c>
      <c r="G23" s="55" t="s">
        <v>50</v>
      </c>
      <c r="H23" s="45" t="s">
        <v>125</v>
      </c>
      <c r="I23" s="61" t="s">
        <v>52</v>
      </c>
      <c r="J23" s="56"/>
      <c r="K23" s="55" t="s">
        <v>135</v>
      </c>
      <c r="L23" s="55"/>
      <c r="M23" s="55" t="s">
        <v>113</v>
      </c>
      <c r="N23" s="55" t="s">
        <v>128</v>
      </c>
      <c r="O23" s="55"/>
      <c r="P23" s="55" t="s">
        <v>136</v>
      </c>
      <c r="Q23" s="55" t="s">
        <v>57</v>
      </c>
      <c r="R23" s="55"/>
      <c r="S23" s="56" t="s">
        <v>58</v>
      </c>
      <c r="T23" s="55" t="s">
        <v>81</v>
      </c>
      <c r="U23" s="57">
        <v>-999</v>
      </c>
      <c r="V23" s="57" t="s">
        <v>59</v>
      </c>
      <c r="W23" s="55" t="s">
        <v>2319</v>
      </c>
      <c r="X23" s="54" t="s">
        <v>4032</v>
      </c>
      <c r="Y23" s="52"/>
      <c r="Z23" s="3" t="s">
        <v>2005</v>
      </c>
      <c r="AA23" s="3" t="s">
        <v>130</v>
      </c>
      <c r="AB23" s="3"/>
      <c r="AC23" s="3"/>
      <c r="AD23" s="3" t="s">
        <v>62</v>
      </c>
      <c r="AE23" s="3" t="s">
        <v>131</v>
      </c>
      <c r="AF23" s="3"/>
      <c r="AG23" s="3" t="s">
        <v>132</v>
      </c>
      <c r="AH23" s="58">
        <v>100</v>
      </c>
      <c r="AI23" s="3"/>
      <c r="AJ23" s="3"/>
      <c r="AK23" s="3"/>
      <c r="AL23" s="3"/>
      <c r="AM23" s="3"/>
      <c r="AN23" s="3"/>
      <c r="AO23" s="3"/>
      <c r="AP23" s="3"/>
      <c r="AQ23" s="3"/>
      <c r="AR23" s="3"/>
      <c r="AS23" s="3"/>
      <c r="AT23" s="3"/>
      <c r="AU23" s="3"/>
      <c r="AV23" s="3"/>
      <c r="AW23" s="3"/>
      <c r="AX23" s="3"/>
      <c r="AY23" s="3"/>
      <c r="AZ23" s="4" t="s">
        <v>124</v>
      </c>
      <c r="BA23" s="3"/>
      <c r="BB23" s="1"/>
      <c r="BC23" s="1"/>
    </row>
    <row r="24" spans="1:55" s="78" customFormat="1" x14ac:dyDescent="0.25">
      <c r="A24" s="52" t="s">
        <v>4033</v>
      </c>
      <c r="B24" s="34" t="s">
        <v>59</v>
      </c>
      <c r="C24" s="53">
        <v>2026</v>
      </c>
      <c r="D24" s="53">
        <v>2026</v>
      </c>
      <c r="E24" s="54" t="s">
        <v>2903</v>
      </c>
      <c r="F24" s="55" t="s">
        <v>50</v>
      </c>
      <c r="G24" s="55" t="s">
        <v>50</v>
      </c>
      <c r="H24" s="45" t="s">
        <v>125</v>
      </c>
      <c r="I24" s="61" t="s">
        <v>52</v>
      </c>
      <c r="J24" s="56"/>
      <c r="K24" s="55" t="s">
        <v>137</v>
      </c>
      <c r="L24" s="55"/>
      <c r="M24" s="55" t="s">
        <v>113</v>
      </c>
      <c r="N24" s="55" t="s">
        <v>128</v>
      </c>
      <c r="O24" s="55"/>
      <c r="P24" s="55" t="s">
        <v>138</v>
      </c>
      <c r="Q24" s="55" t="s">
        <v>57</v>
      </c>
      <c r="R24" s="55"/>
      <c r="S24" s="56" t="s">
        <v>58</v>
      </c>
      <c r="T24" s="55" t="s">
        <v>81</v>
      </c>
      <c r="U24" s="57">
        <v>-999</v>
      </c>
      <c r="V24" s="57" t="s">
        <v>59</v>
      </c>
      <c r="W24" s="55" t="s">
        <v>2319</v>
      </c>
      <c r="X24" s="54" t="s">
        <v>4033</v>
      </c>
      <c r="Y24" s="52"/>
      <c r="Z24" s="3" t="s">
        <v>2005</v>
      </c>
      <c r="AA24" s="3" t="s">
        <v>130</v>
      </c>
      <c r="AB24" s="3"/>
      <c r="AC24" s="3"/>
      <c r="AD24" s="3" t="s">
        <v>62</v>
      </c>
      <c r="AE24" s="3" t="s">
        <v>131</v>
      </c>
      <c r="AF24" s="3"/>
      <c r="AG24" s="3" t="s">
        <v>132</v>
      </c>
      <c r="AH24" s="58">
        <v>100</v>
      </c>
      <c r="AI24" s="3"/>
      <c r="AJ24" s="3"/>
      <c r="AK24" s="3"/>
      <c r="AL24" s="3"/>
      <c r="AM24" s="3"/>
      <c r="AN24" s="3"/>
      <c r="AO24" s="3"/>
      <c r="AP24" s="3"/>
      <c r="AQ24" s="3"/>
      <c r="AR24" s="3"/>
      <c r="AS24" s="3"/>
      <c r="AT24" s="3"/>
      <c r="AU24" s="3"/>
      <c r="AV24" s="3"/>
      <c r="AW24" s="3"/>
      <c r="AX24" s="3"/>
      <c r="AY24" s="3"/>
      <c r="AZ24" s="4" t="s">
        <v>124</v>
      </c>
      <c r="BA24" s="3"/>
      <c r="BB24" s="1"/>
      <c r="BC24" s="1"/>
    </row>
    <row r="25" spans="1:55" s="78" customFormat="1" x14ac:dyDescent="0.25">
      <c r="A25" s="52" t="s">
        <v>4034</v>
      </c>
      <c r="B25" s="34" t="s">
        <v>59</v>
      </c>
      <c r="C25" s="53">
        <v>2026</v>
      </c>
      <c r="D25" s="53">
        <v>2026</v>
      </c>
      <c r="E25" s="54" t="s">
        <v>2905</v>
      </c>
      <c r="F25" s="55" t="s">
        <v>50</v>
      </c>
      <c r="G25" s="55" t="s">
        <v>50</v>
      </c>
      <c r="H25" s="45" t="s">
        <v>2989</v>
      </c>
      <c r="I25" s="56" t="s">
        <v>52</v>
      </c>
      <c r="J25" s="56"/>
      <c r="K25" s="56" t="s">
        <v>140</v>
      </c>
      <c r="L25" s="55" t="s">
        <v>54</v>
      </c>
      <c r="M25" s="55"/>
      <c r="N25" s="55" t="s">
        <v>141</v>
      </c>
      <c r="O25" s="55"/>
      <c r="P25" s="55" t="s">
        <v>142</v>
      </c>
      <c r="Q25" s="55" t="s">
        <v>57</v>
      </c>
      <c r="R25" s="55"/>
      <c r="S25" s="56" t="s">
        <v>58</v>
      </c>
      <c r="T25" s="55" t="s">
        <v>81</v>
      </c>
      <c r="U25" s="57">
        <v>10900</v>
      </c>
      <c r="V25" s="57" t="s">
        <v>101</v>
      </c>
      <c r="W25" s="55" t="s">
        <v>2319</v>
      </c>
      <c r="X25" s="54" t="s">
        <v>4034</v>
      </c>
      <c r="Y25" s="52"/>
      <c r="Z25" s="1" t="s">
        <v>61</v>
      </c>
      <c r="AA25" s="3" t="s">
        <v>143</v>
      </c>
      <c r="AB25" s="3"/>
      <c r="AC25" s="3"/>
      <c r="AD25" s="3" t="s">
        <v>62</v>
      </c>
      <c r="AE25" s="1" t="s">
        <v>144</v>
      </c>
      <c r="AF25" s="1"/>
      <c r="AG25" s="1" t="s">
        <v>145</v>
      </c>
      <c r="AH25" s="2">
        <v>100</v>
      </c>
      <c r="AI25" s="3"/>
      <c r="AJ25" s="3"/>
      <c r="AK25" s="3"/>
      <c r="AL25" s="3"/>
      <c r="AM25" s="3"/>
      <c r="AN25" s="3"/>
      <c r="AO25" s="3"/>
      <c r="AP25" s="3"/>
      <c r="AQ25" s="3"/>
      <c r="AR25" s="3"/>
      <c r="AS25" s="3"/>
      <c r="AT25" s="3"/>
      <c r="AU25" s="3"/>
      <c r="AV25" s="3"/>
      <c r="AW25" s="3"/>
      <c r="AX25" s="3"/>
      <c r="AY25" s="3"/>
      <c r="AZ25" s="4" t="s">
        <v>139</v>
      </c>
      <c r="BA25" s="3"/>
      <c r="BB25" s="1"/>
      <c r="BC25" s="1"/>
    </row>
    <row r="26" spans="1:55" s="78" customFormat="1" x14ac:dyDescent="0.25">
      <c r="A26" s="52" t="s">
        <v>4035</v>
      </c>
      <c r="B26" s="34" t="s">
        <v>59</v>
      </c>
      <c r="C26" s="53">
        <v>2026</v>
      </c>
      <c r="D26" s="53">
        <v>2026</v>
      </c>
      <c r="E26" s="54" t="s">
        <v>2905</v>
      </c>
      <c r="F26" s="55" t="s">
        <v>50</v>
      </c>
      <c r="G26" s="55" t="s">
        <v>50</v>
      </c>
      <c r="H26" s="45" t="s">
        <v>2989</v>
      </c>
      <c r="I26" s="56" t="s">
        <v>52</v>
      </c>
      <c r="J26" s="56"/>
      <c r="K26" s="56" t="s">
        <v>146</v>
      </c>
      <c r="L26" s="55"/>
      <c r="M26" s="55"/>
      <c r="N26" s="56" t="s">
        <v>55</v>
      </c>
      <c r="O26" s="56" t="s">
        <v>5351</v>
      </c>
      <c r="P26" s="56" t="s">
        <v>147</v>
      </c>
      <c r="Q26" s="56" t="s">
        <v>57</v>
      </c>
      <c r="R26" s="55"/>
      <c r="S26" s="56" t="s">
        <v>58</v>
      </c>
      <c r="T26" s="55" t="s">
        <v>58</v>
      </c>
      <c r="U26" s="57">
        <v>-999</v>
      </c>
      <c r="V26" s="57" t="s">
        <v>59</v>
      </c>
      <c r="W26" s="55" t="s">
        <v>2319</v>
      </c>
      <c r="X26" s="54" t="s">
        <v>4035</v>
      </c>
      <c r="Y26" s="52"/>
      <c r="Z26" s="1" t="s">
        <v>61</v>
      </c>
      <c r="AA26" s="1" t="s">
        <v>143</v>
      </c>
      <c r="AB26" s="1"/>
      <c r="AC26" s="1"/>
      <c r="AD26" s="3" t="s">
        <v>62</v>
      </c>
      <c r="AE26" s="1" t="s">
        <v>144</v>
      </c>
      <c r="AF26" s="1"/>
      <c r="AG26" s="1" t="s">
        <v>145</v>
      </c>
      <c r="AH26" s="2">
        <v>100</v>
      </c>
      <c r="AI26" s="1"/>
      <c r="AJ26" s="1"/>
      <c r="AK26" s="1"/>
      <c r="AL26" s="1"/>
      <c r="AM26" s="1"/>
      <c r="AN26" s="1"/>
      <c r="AO26" s="1"/>
      <c r="AP26" s="1"/>
      <c r="AQ26" s="1"/>
      <c r="AR26" s="1"/>
      <c r="AS26" s="1"/>
      <c r="AT26" s="1"/>
      <c r="AU26" s="1"/>
      <c r="AV26" s="1"/>
      <c r="AW26" s="1"/>
      <c r="AX26" s="1"/>
      <c r="AY26" s="1"/>
      <c r="AZ26" s="4" t="s">
        <v>3805</v>
      </c>
      <c r="BA26" s="1" t="s">
        <v>3806</v>
      </c>
      <c r="BB26" s="1"/>
      <c r="BC26" s="1"/>
    </row>
    <row r="27" spans="1:55" s="78" customFormat="1" x14ac:dyDescent="0.25">
      <c r="A27" s="52" t="s">
        <v>4036</v>
      </c>
      <c r="B27" s="34" t="s">
        <v>59</v>
      </c>
      <c r="C27" s="53">
        <v>2026</v>
      </c>
      <c r="D27" s="53">
        <v>2026</v>
      </c>
      <c r="E27" s="54" t="s">
        <v>2905</v>
      </c>
      <c r="F27" s="55" t="s">
        <v>50</v>
      </c>
      <c r="G27" s="55" t="s">
        <v>50</v>
      </c>
      <c r="H27" s="45" t="s">
        <v>2989</v>
      </c>
      <c r="I27" s="56" t="s">
        <v>52</v>
      </c>
      <c r="J27" s="56"/>
      <c r="K27" s="56" t="s">
        <v>148</v>
      </c>
      <c r="L27" s="55"/>
      <c r="M27" s="55"/>
      <c r="N27" s="56" t="s">
        <v>149</v>
      </c>
      <c r="O27" s="56" t="s">
        <v>5352</v>
      </c>
      <c r="P27" s="56" t="s">
        <v>150</v>
      </c>
      <c r="Q27" s="61" t="s">
        <v>57</v>
      </c>
      <c r="R27" s="55"/>
      <c r="S27" s="56" t="s">
        <v>58</v>
      </c>
      <c r="T27" s="55" t="s">
        <v>58</v>
      </c>
      <c r="U27" s="57">
        <v>-999</v>
      </c>
      <c r="V27" s="57" t="s">
        <v>59</v>
      </c>
      <c r="W27" s="55" t="s">
        <v>2319</v>
      </c>
      <c r="X27" s="54" t="s">
        <v>4036</v>
      </c>
      <c r="Y27" s="52"/>
      <c r="Z27" s="1" t="s">
        <v>61</v>
      </c>
      <c r="AA27" s="1" t="s">
        <v>143</v>
      </c>
      <c r="AB27" s="1"/>
      <c r="AC27" s="1"/>
      <c r="AD27" s="3" t="s">
        <v>62</v>
      </c>
      <c r="AE27" s="1" t="s">
        <v>144</v>
      </c>
      <c r="AF27" s="1"/>
      <c r="AG27" s="1" t="s">
        <v>145</v>
      </c>
      <c r="AH27" s="2">
        <v>100</v>
      </c>
      <c r="AI27" s="1"/>
      <c r="AJ27" s="1"/>
      <c r="AK27" s="1"/>
      <c r="AL27" s="1"/>
      <c r="AM27" s="1"/>
      <c r="AN27" s="1"/>
      <c r="AO27" s="1"/>
      <c r="AP27" s="1"/>
      <c r="AQ27" s="1"/>
      <c r="AR27" s="1"/>
      <c r="AS27" s="1"/>
      <c r="AT27" s="1"/>
      <c r="AU27" s="1"/>
      <c r="AV27" s="1"/>
      <c r="AW27" s="1"/>
      <c r="AX27" s="1"/>
      <c r="AY27" s="1"/>
      <c r="AZ27" s="4" t="s">
        <v>3805</v>
      </c>
      <c r="BA27" s="1" t="s">
        <v>3807</v>
      </c>
      <c r="BB27" s="1"/>
      <c r="BC27" s="1"/>
    </row>
    <row r="28" spans="1:55" s="78" customFormat="1" x14ac:dyDescent="0.25">
      <c r="A28" s="52" t="s">
        <v>4037</v>
      </c>
      <c r="B28" s="34" t="s">
        <v>59</v>
      </c>
      <c r="C28" s="53">
        <v>2026</v>
      </c>
      <c r="D28" s="53">
        <v>2026</v>
      </c>
      <c r="E28" s="54" t="s">
        <v>2906</v>
      </c>
      <c r="F28" s="55" t="s">
        <v>50</v>
      </c>
      <c r="G28" s="55" t="s">
        <v>50</v>
      </c>
      <c r="H28" s="45" t="s">
        <v>152</v>
      </c>
      <c r="I28" s="56" t="s">
        <v>78</v>
      </c>
      <c r="J28" s="56"/>
      <c r="K28" s="56" t="s">
        <v>71</v>
      </c>
      <c r="L28" s="55" t="str">
        <f>IF(K28="Mine or Quarry","Mine","")</f>
        <v/>
      </c>
      <c r="M28" s="55"/>
      <c r="N28" s="55" t="s">
        <v>110</v>
      </c>
      <c r="O28" s="55"/>
      <c r="P28" s="55" t="s">
        <v>73</v>
      </c>
      <c r="Q28" s="55" t="s">
        <v>57</v>
      </c>
      <c r="R28" s="55"/>
      <c r="S28" s="56" t="s">
        <v>58</v>
      </c>
      <c r="T28" s="55" t="str">
        <f>IF(ISNUMBER(SEARCH(",",N28)),"Y","N")</f>
        <v>N</v>
      </c>
      <c r="U28" s="57">
        <v>0.17299999999999999</v>
      </c>
      <c r="V28" s="57" t="s">
        <v>101</v>
      </c>
      <c r="W28" s="55" t="s">
        <v>2319</v>
      </c>
      <c r="X28" s="54" t="s">
        <v>4037</v>
      </c>
      <c r="Y28" s="52"/>
      <c r="Z28" s="2" t="s">
        <v>154</v>
      </c>
      <c r="AA28" s="3" t="s">
        <v>153</v>
      </c>
      <c r="AB28" s="3"/>
      <c r="AC28" s="3"/>
      <c r="AD28" s="3" t="s">
        <v>62</v>
      </c>
      <c r="AE28" s="2" t="s">
        <v>155</v>
      </c>
      <c r="AF28" s="3" t="s">
        <v>156</v>
      </c>
      <c r="AG28" s="3" t="s">
        <v>156</v>
      </c>
      <c r="AH28" s="58">
        <v>100</v>
      </c>
      <c r="AI28" s="3"/>
      <c r="AJ28" s="3"/>
      <c r="AK28" s="3"/>
      <c r="AL28" s="3"/>
      <c r="AM28" s="3"/>
      <c r="AN28" s="3"/>
      <c r="AO28" s="3"/>
      <c r="AP28" s="3"/>
      <c r="AQ28" s="3"/>
      <c r="AR28" s="3"/>
      <c r="AS28" s="3"/>
      <c r="AT28" s="3"/>
      <c r="AU28" s="3"/>
      <c r="AV28" s="3"/>
      <c r="AW28" s="3"/>
      <c r="AX28" s="3"/>
      <c r="AY28" s="3"/>
      <c r="AZ28" s="4" t="s">
        <v>151</v>
      </c>
      <c r="BA28" s="32"/>
      <c r="BB28" s="1"/>
      <c r="BC28" s="1"/>
    </row>
    <row r="29" spans="1:55" s="78" customFormat="1" x14ac:dyDescent="0.25">
      <c r="A29" s="52" t="s">
        <v>4038</v>
      </c>
      <c r="B29" s="34" t="s">
        <v>59</v>
      </c>
      <c r="C29" s="53">
        <v>2026</v>
      </c>
      <c r="D29" s="53">
        <v>2026</v>
      </c>
      <c r="E29" s="54" t="s">
        <v>2906</v>
      </c>
      <c r="F29" s="55" t="s">
        <v>50</v>
      </c>
      <c r="G29" s="55" t="s">
        <v>50</v>
      </c>
      <c r="H29" s="45" t="s">
        <v>152</v>
      </c>
      <c r="I29" s="56" t="s">
        <v>78</v>
      </c>
      <c r="J29" s="56"/>
      <c r="K29" s="56" t="s">
        <v>74</v>
      </c>
      <c r="L29" s="55" t="str">
        <f>IF(K29="Mines and Quarries","Mine","")</f>
        <v/>
      </c>
      <c r="M29" s="55"/>
      <c r="N29" s="55" t="s">
        <v>110</v>
      </c>
      <c r="O29" s="55"/>
      <c r="P29" s="55" t="s">
        <v>75</v>
      </c>
      <c r="Q29" s="56" t="s">
        <v>57</v>
      </c>
      <c r="R29" s="55"/>
      <c r="S29" s="56" t="s">
        <v>58</v>
      </c>
      <c r="T29" s="55" t="str">
        <f>IF(ISNUMBER(SEARCH(",",N29)),"Y","N")</f>
        <v>N</v>
      </c>
      <c r="U29" s="57">
        <v>6.492</v>
      </c>
      <c r="V29" s="57" t="s">
        <v>101</v>
      </c>
      <c r="W29" s="55" t="s">
        <v>2319</v>
      </c>
      <c r="X29" s="54" t="s">
        <v>4038</v>
      </c>
      <c r="Y29" s="52"/>
      <c r="Z29" s="2" t="s">
        <v>154</v>
      </c>
      <c r="AA29" s="3" t="s">
        <v>153</v>
      </c>
      <c r="AB29" s="3"/>
      <c r="AC29" s="3"/>
      <c r="AD29" s="3" t="s">
        <v>62</v>
      </c>
      <c r="AE29" s="2" t="s">
        <v>155</v>
      </c>
      <c r="AF29" s="3" t="s">
        <v>156</v>
      </c>
      <c r="AG29" s="3" t="s">
        <v>156</v>
      </c>
      <c r="AH29" s="58">
        <v>100</v>
      </c>
      <c r="AI29" s="3"/>
      <c r="AJ29" s="3"/>
      <c r="AK29" s="3"/>
      <c r="AL29" s="3"/>
      <c r="AM29" s="3"/>
      <c r="AN29" s="3"/>
      <c r="AO29" s="3"/>
      <c r="AP29" s="3"/>
      <c r="AQ29" s="3"/>
      <c r="AR29" s="3"/>
      <c r="AS29" s="3"/>
      <c r="AT29" s="3"/>
      <c r="AU29" s="3"/>
      <c r="AV29" s="3"/>
      <c r="AW29" s="3"/>
      <c r="AX29" s="3"/>
      <c r="AY29" s="3"/>
      <c r="AZ29" s="4" t="s">
        <v>157</v>
      </c>
      <c r="BA29" s="32"/>
      <c r="BB29" s="1"/>
      <c r="BC29" s="1"/>
    </row>
    <row r="30" spans="1:55" s="78" customFormat="1" x14ac:dyDescent="0.25">
      <c r="A30" s="52" t="s">
        <v>4039</v>
      </c>
      <c r="B30" s="34" t="s">
        <v>59</v>
      </c>
      <c r="C30" s="53">
        <v>2026</v>
      </c>
      <c r="D30" s="53">
        <v>2026</v>
      </c>
      <c r="E30" s="54" t="s">
        <v>2907</v>
      </c>
      <c r="F30" s="55" t="s">
        <v>50</v>
      </c>
      <c r="G30" s="55" t="s">
        <v>50</v>
      </c>
      <c r="H30" s="45" t="s">
        <v>159</v>
      </c>
      <c r="I30" s="45" t="s">
        <v>52</v>
      </c>
      <c r="J30" s="56"/>
      <c r="K30" s="55" t="s">
        <v>71</v>
      </c>
      <c r="L30" s="55" t="s">
        <v>54</v>
      </c>
      <c r="M30" s="55"/>
      <c r="N30" s="55" t="s">
        <v>55</v>
      </c>
      <c r="O30" s="55" t="s">
        <v>160</v>
      </c>
      <c r="P30" s="55" t="s">
        <v>73</v>
      </c>
      <c r="Q30" s="55" t="s">
        <v>57</v>
      </c>
      <c r="R30" s="55"/>
      <c r="S30" s="56" t="s">
        <v>58</v>
      </c>
      <c r="T30" s="55" t="str">
        <f>IF(ISNUMBER(SEARCH(",",N30)),"Y","N")</f>
        <v>N</v>
      </c>
      <c r="U30" s="57">
        <v>0.11899999999999999</v>
      </c>
      <c r="V30" s="57" t="s">
        <v>101</v>
      </c>
      <c r="W30" s="55" t="s">
        <v>2319</v>
      </c>
      <c r="X30" s="54" t="s">
        <v>4039</v>
      </c>
      <c r="Y30" s="52"/>
      <c r="Z30" s="3" t="s">
        <v>61</v>
      </c>
      <c r="AA30" s="3" t="s">
        <v>161</v>
      </c>
      <c r="AB30" s="3"/>
      <c r="AC30" s="3"/>
      <c r="AD30" s="3" t="s">
        <v>62</v>
      </c>
      <c r="AE30" s="3" t="s">
        <v>115</v>
      </c>
      <c r="AF30" s="3"/>
      <c r="AG30" s="3" t="s">
        <v>162</v>
      </c>
      <c r="AH30" s="58">
        <v>100</v>
      </c>
      <c r="AI30" s="3"/>
      <c r="AJ30" s="3"/>
      <c r="AK30" s="3"/>
      <c r="AL30" s="3"/>
      <c r="AM30" s="3"/>
      <c r="AN30" s="3"/>
      <c r="AO30" s="3"/>
      <c r="AP30" s="3"/>
      <c r="AQ30" s="3"/>
      <c r="AR30" s="3"/>
      <c r="AS30" s="3"/>
      <c r="AT30" s="3"/>
      <c r="AU30" s="3"/>
      <c r="AV30" s="3"/>
      <c r="AW30" s="3"/>
      <c r="AX30" s="3"/>
      <c r="AY30" s="3"/>
      <c r="AZ30" s="4" t="s">
        <v>158</v>
      </c>
      <c r="BA30" s="3"/>
      <c r="BB30" s="1"/>
      <c r="BC30" s="1"/>
    </row>
    <row r="31" spans="1:55" s="78" customFormat="1" x14ac:dyDescent="0.25">
      <c r="A31" s="52" t="s">
        <v>4040</v>
      </c>
      <c r="B31" s="34" t="s">
        <v>59</v>
      </c>
      <c r="C31" s="53">
        <v>2026</v>
      </c>
      <c r="D31" s="53">
        <v>2026</v>
      </c>
      <c r="E31" s="54" t="s">
        <v>2908</v>
      </c>
      <c r="F31" s="55" t="s">
        <v>50</v>
      </c>
      <c r="G31" s="55" t="s">
        <v>50</v>
      </c>
      <c r="H31" s="45" t="s">
        <v>164</v>
      </c>
      <c r="I31" s="45" t="s">
        <v>52</v>
      </c>
      <c r="J31" s="56" t="s">
        <v>165</v>
      </c>
      <c r="K31" s="56" t="s">
        <v>166</v>
      </c>
      <c r="L31" s="55"/>
      <c r="M31" s="55"/>
      <c r="N31" s="56" t="s">
        <v>167</v>
      </c>
      <c r="O31" s="56"/>
      <c r="P31" s="56" t="s">
        <v>89</v>
      </c>
      <c r="Q31" s="56" t="s">
        <v>89</v>
      </c>
      <c r="R31" s="55"/>
      <c r="S31" s="56" t="s">
        <v>81</v>
      </c>
      <c r="T31" s="55" t="s">
        <v>81</v>
      </c>
      <c r="U31" s="57">
        <v>-999</v>
      </c>
      <c r="V31" s="57" t="s">
        <v>59</v>
      </c>
      <c r="W31" s="55" t="s">
        <v>2319</v>
      </c>
      <c r="X31" s="54" t="s">
        <v>4040</v>
      </c>
      <c r="Y31" s="52"/>
      <c r="Z31" s="1" t="s">
        <v>61</v>
      </c>
      <c r="AA31" s="1" t="s">
        <v>168</v>
      </c>
      <c r="AB31" s="1"/>
      <c r="AC31" s="1"/>
      <c r="AD31" s="3" t="s">
        <v>62</v>
      </c>
      <c r="AE31" s="3" t="s">
        <v>63</v>
      </c>
      <c r="AF31" s="3" t="s">
        <v>169</v>
      </c>
      <c r="AG31" s="3" t="s">
        <v>170</v>
      </c>
      <c r="AH31" s="53">
        <v>50</v>
      </c>
      <c r="AI31" s="1" t="s">
        <v>171</v>
      </c>
      <c r="AJ31" s="59">
        <v>50</v>
      </c>
      <c r="AK31" s="1"/>
      <c r="AL31" s="60"/>
      <c r="AM31" s="1"/>
      <c r="AN31" s="60"/>
      <c r="AO31" s="1"/>
      <c r="AP31" s="60"/>
      <c r="AQ31" s="1"/>
      <c r="AR31" s="60"/>
      <c r="AS31" s="1"/>
      <c r="AT31" s="60"/>
      <c r="AU31" s="1"/>
      <c r="AV31" s="60"/>
      <c r="AW31" s="1"/>
      <c r="AX31" s="60"/>
      <c r="AY31" s="1"/>
      <c r="AZ31" s="4" t="s">
        <v>163</v>
      </c>
      <c r="BA31" s="1"/>
      <c r="BB31" s="1"/>
      <c r="BC31" s="1"/>
    </row>
    <row r="32" spans="1:55" s="78" customFormat="1" x14ac:dyDescent="0.25">
      <c r="A32" s="52" t="s">
        <v>4041</v>
      </c>
      <c r="B32" s="34" t="s">
        <v>59</v>
      </c>
      <c r="C32" s="53">
        <v>2026</v>
      </c>
      <c r="D32" s="53">
        <v>2026</v>
      </c>
      <c r="E32" s="54" t="s">
        <v>2909</v>
      </c>
      <c r="F32" s="55" t="s">
        <v>50</v>
      </c>
      <c r="G32" s="55" t="s">
        <v>50</v>
      </c>
      <c r="H32" s="45" t="s">
        <v>172</v>
      </c>
      <c r="I32" s="56" t="s">
        <v>52</v>
      </c>
      <c r="J32" s="56"/>
      <c r="K32" s="55" t="s">
        <v>173</v>
      </c>
      <c r="L32" s="55"/>
      <c r="M32" s="55"/>
      <c r="N32" s="56" t="s">
        <v>55</v>
      </c>
      <c r="O32" s="56"/>
      <c r="P32" s="56" t="s">
        <v>89</v>
      </c>
      <c r="Q32" s="56" t="s">
        <v>89</v>
      </c>
      <c r="R32" s="55"/>
      <c r="S32" s="56" t="s">
        <v>81</v>
      </c>
      <c r="T32" s="55" t="s">
        <v>81</v>
      </c>
      <c r="U32" s="57">
        <v>121000</v>
      </c>
      <c r="V32" s="57" t="s">
        <v>101</v>
      </c>
      <c r="W32" s="55" t="s">
        <v>2319</v>
      </c>
      <c r="X32" s="54" t="s">
        <v>4041</v>
      </c>
      <c r="Y32" s="52"/>
      <c r="Z32" s="2" t="s">
        <v>61</v>
      </c>
      <c r="AA32" s="1" t="s">
        <v>174</v>
      </c>
      <c r="AB32" s="1"/>
      <c r="AC32" s="1"/>
      <c r="AD32" s="3" t="s">
        <v>62</v>
      </c>
      <c r="AE32" s="2" t="s">
        <v>175</v>
      </c>
      <c r="AF32" s="2" t="s">
        <v>176</v>
      </c>
      <c r="AG32" s="1" t="s">
        <v>177</v>
      </c>
      <c r="AH32" s="59">
        <v>51</v>
      </c>
      <c r="AI32" s="1" t="s">
        <v>178</v>
      </c>
      <c r="AJ32" s="2">
        <v>49</v>
      </c>
      <c r="AK32" s="1"/>
      <c r="AL32" s="60"/>
      <c r="AM32" s="1"/>
      <c r="AN32" s="60"/>
      <c r="AO32" s="1"/>
      <c r="AP32" s="60"/>
      <c r="AQ32" s="1"/>
      <c r="AR32" s="60"/>
      <c r="AS32" s="1"/>
      <c r="AT32" s="60"/>
      <c r="AU32" s="1"/>
      <c r="AV32" s="60"/>
      <c r="AW32" s="1"/>
      <c r="AX32" s="60"/>
      <c r="AY32" s="1"/>
      <c r="AZ32" s="4" t="s">
        <v>3808</v>
      </c>
      <c r="BA32" s="1" t="s">
        <v>3809</v>
      </c>
      <c r="BB32" s="1" t="s">
        <v>3810</v>
      </c>
      <c r="BC32" s="1"/>
    </row>
    <row r="33" spans="1:55" s="78" customFormat="1" x14ac:dyDescent="0.25">
      <c r="A33" s="52" t="s">
        <v>4042</v>
      </c>
      <c r="B33" s="34" t="s">
        <v>59</v>
      </c>
      <c r="C33" s="53">
        <v>2026</v>
      </c>
      <c r="D33" s="53">
        <v>2026</v>
      </c>
      <c r="E33" s="54" t="s">
        <v>2910</v>
      </c>
      <c r="F33" s="55" t="s">
        <v>50</v>
      </c>
      <c r="G33" s="55" t="s">
        <v>50</v>
      </c>
      <c r="H33" s="45" t="s">
        <v>179</v>
      </c>
      <c r="I33" s="45" t="s">
        <v>78</v>
      </c>
      <c r="J33" s="56"/>
      <c r="K33" s="45" t="s">
        <v>180</v>
      </c>
      <c r="L33" s="55"/>
      <c r="M33" s="55"/>
      <c r="N33" s="55" t="s">
        <v>181</v>
      </c>
      <c r="O33" s="55"/>
      <c r="P33" s="55" t="s">
        <v>182</v>
      </c>
      <c r="Q33" s="55" t="s">
        <v>5353</v>
      </c>
      <c r="R33" s="55"/>
      <c r="S33" s="56" t="s">
        <v>81</v>
      </c>
      <c r="T33" s="55" t="s">
        <v>81</v>
      </c>
      <c r="U33" s="57">
        <v>680</v>
      </c>
      <c r="V33" s="57" t="s">
        <v>101</v>
      </c>
      <c r="W33" s="55"/>
      <c r="X33" s="54" t="s">
        <v>4042</v>
      </c>
      <c r="Y33" s="52"/>
      <c r="Z33" s="3" t="s">
        <v>2005</v>
      </c>
      <c r="AA33" s="3" t="s">
        <v>183</v>
      </c>
      <c r="AB33" s="3"/>
      <c r="AC33" s="3"/>
      <c r="AD33" s="3" t="s">
        <v>62</v>
      </c>
      <c r="AE33" s="3" t="s">
        <v>184</v>
      </c>
      <c r="AF33" s="3"/>
      <c r="AG33" s="3" t="s">
        <v>185</v>
      </c>
      <c r="AH33" s="53">
        <v>70</v>
      </c>
      <c r="AI33" s="3" t="s">
        <v>186</v>
      </c>
      <c r="AJ33" s="53">
        <v>30</v>
      </c>
      <c r="AK33" s="3"/>
      <c r="AL33" s="53"/>
      <c r="AM33" s="3"/>
      <c r="AN33" s="53"/>
      <c r="AO33" s="3"/>
      <c r="AP33" s="53"/>
      <c r="AQ33" s="3"/>
      <c r="AR33" s="53"/>
      <c r="AS33" s="3"/>
      <c r="AT33" s="53"/>
      <c r="AU33" s="3"/>
      <c r="AV33" s="53"/>
      <c r="AW33" s="3"/>
      <c r="AX33" s="53"/>
      <c r="AY33" s="3"/>
      <c r="AZ33" s="4" t="s">
        <v>3811</v>
      </c>
      <c r="BA33" s="3" t="s">
        <v>3812</v>
      </c>
      <c r="BB33" s="1"/>
      <c r="BC33" s="1"/>
    </row>
    <row r="34" spans="1:55" s="78" customFormat="1" x14ac:dyDescent="0.25">
      <c r="A34" s="52" t="s">
        <v>4043</v>
      </c>
      <c r="B34" s="34" t="s">
        <v>59</v>
      </c>
      <c r="C34" s="53">
        <v>2026</v>
      </c>
      <c r="D34" s="53">
        <v>2026</v>
      </c>
      <c r="E34" s="54" t="s">
        <v>2911</v>
      </c>
      <c r="F34" s="55" t="s">
        <v>50</v>
      </c>
      <c r="G34" s="55" t="s">
        <v>50</v>
      </c>
      <c r="H34" s="45" t="s">
        <v>187</v>
      </c>
      <c r="I34" s="61" t="s">
        <v>52</v>
      </c>
      <c r="J34" s="56"/>
      <c r="K34" s="45" t="s">
        <v>180</v>
      </c>
      <c r="L34" s="55" t="str">
        <f>IF(K34="Mine or Quarry","Mine","")</f>
        <v/>
      </c>
      <c r="M34" s="55"/>
      <c r="N34" s="55" t="s">
        <v>110</v>
      </c>
      <c r="O34" s="55" t="s">
        <v>188</v>
      </c>
      <c r="P34" s="55" t="s">
        <v>182</v>
      </c>
      <c r="Q34" s="55" t="s">
        <v>5353</v>
      </c>
      <c r="R34" s="55"/>
      <c r="S34" s="56" t="s">
        <v>81</v>
      </c>
      <c r="T34" s="55" t="str">
        <f>IF(ISNUMBER(SEARCH(",",N34)),"Y","N")</f>
        <v>N</v>
      </c>
      <c r="U34" s="57">
        <v>680</v>
      </c>
      <c r="V34" s="57" t="s">
        <v>101</v>
      </c>
      <c r="W34" s="55"/>
      <c r="X34" s="54" t="s">
        <v>4043</v>
      </c>
      <c r="Y34" s="52"/>
      <c r="Z34" s="3" t="s">
        <v>2005</v>
      </c>
      <c r="AA34" s="3" t="s">
        <v>183</v>
      </c>
      <c r="AB34" s="3"/>
      <c r="AC34" s="3"/>
      <c r="AD34" s="3" t="s">
        <v>62</v>
      </c>
      <c r="AE34" s="3" t="s">
        <v>184</v>
      </c>
      <c r="AF34" s="3"/>
      <c r="AG34" s="3" t="s">
        <v>185</v>
      </c>
      <c r="AH34" s="53">
        <v>70</v>
      </c>
      <c r="AI34" s="3" t="s">
        <v>186</v>
      </c>
      <c r="AJ34" s="53">
        <v>30</v>
      </c>
      <c r="AK34" s="3"/>
      <c r="AL34" s="53"/>
      <c r="AM34" s="3"/>
      <c r="AN34" s="53"/>
      <c r="AO34" s="3"/>
      <c r="AP34" s="53"/>
      <c r="AQ34" s="3"/>
      <c r="AR34" s="53"/>
      <c r="AS34" s="3"/>
      <c r="AT34" s="53"/>
      <c r="AU34" s="3"/>
      <c r="AV34" s="53"/>
      <c r="AW34" s="3"/>
      <c r="AX34" s="53"/>
      <c r="AY34" s="3"/>
      <c r="AZ34" s="4" t="s">
        <v>3811</v>
      </c>
      <c r="BA34" s="3" t="s">
        <v>3812</v>
      </c>
      <c r="BB34" s="1"/>
      <c r="BC34" s="1"/>
    </row>
    <row r="35" spans="1:55" s="78" customFormat="1" x14ac:dyDescent="0.25">
      <c r="A35" s="52" t="s">
        <v>4044</v>
      </c>
      <c r="B35" s="34" t="s">
        <v>59</v>
      </c>
      <c r="C35" s="53">
        <v>2026</v>
      </c>
      <c r="D35" s="53">
        <v>2026</v>
      </c>
      <c r="E35" s="54" t="s">
        <v>2912</v>
      </c>
      <c r="F35" s="55" t="s">
        <v>50</v>
      </c>
      <c r="G35" s="55" t="s">
        <v>50</v>
      </c>
      <c r="H35" s="45" t="s">
        <v>190</v>
      </c>
      <c r="I35" s="56" t="s">
        <v>78</v>
      </c>
      <c r="J35" s="56"/>
      <c r="K35" s="56" t="s">
        <v>79</v>
      </c>
      <c r="L35" s="55"/>
      <c r="M35" s="55"/>
      <c r="N35" s="56" t="s">
        <v>80</v>
      </c>
      <c r="O35" s="56"/>
      <c r="P35" s="56" t="s">
        <v>89</v>
      </c>
      <c r="Q35" s="56" t="s">
        <v>89</v>
      </c>
      <c r="R35" s="55"/>
      <c r="S35" s="56" t="s">
        <v>81</v>
      </c>
      <c r="T35" s="55" t="s">
        <v>81</v>
      </c>
      <c r="U35" s="57">
        <v>-999</v>
      </c>
      <c r="V35" s="57" t="s">
        <v>59</v>
      </c>
      <c r="W35" s="55" t="s">
        <v>2319</v>
      </c>
      <c r="X35" s="54" t="s">
        <v>4044</v>
      </c>
      <c r="Y35" s="52"/>
      <c r="Z35" s="1" t="s">
        <v>61</v>
      </c>
      <c r="AA35" s="1" t="s">
        <v>191</v>
      </c>
      <c r="AB35" s="1"/>
      <c r="AC35" s="1"/>
      <c r="AD35" s="3" t="s">
        <v>62</v>
      </c>
      <c r="AE35" s="1" t="s">
        <v>192</v>
      </c>
      <c r="AF35" s="1" t="s">
        <v>84</v>
      </c>
      <c r="AG35" s="1" t="s">
        <v>84</v>
      </c>
      <c r="AH35" s="2">
        <v>100</v>
      </c>
      <c r="AI35" s="1"/>
      <c r="AJ35" s="1"/>
      <c r="AK35" s="1"/>
      <c r="AL35" s="1"/>
      <c r="AM35" s="1"/>
      <c r="AN35" s="1"/>
      <c r="AO35" s="1"/>
      <c r="AP35" s="1"/>
      <c r="AQ35" s="1"/>
      <c r="AR35" s="1"/>
      <c r="AS35" s="1"/>
      <c r="AT35" s="1"/>
      <c r="AU35" s="1"/>
      <c r="AV35" s="1"/>
      <c r="AW35" s="1"/>
      <c r="AX35" s="1"/>
      <c r="AY35" s="1"/>
      <c r="AZ35" s="4" t="s">
        <v>189</v>
      </c>
      <c r="BA35" s="5"/>
      <c r="BB35" s="1"/>
      <c r="BC35" s="1"/>
    </row>
    <row r="36" spans="1:55" s="78" customFormat="1" x14ac:dyDescent="0.25">
      <c r="A36" s="52" t="s">
        <v>4045</v>
      </c>
      <c r="B36" s="34" t="s">
        <v>59</v>
      </c>
      <c r="C36" s="53">
        <v>2026</v>
      </c>
      <c r="D36" s="53">
        <v>2026</v>
      </c>
      <c r="E36" s="54" t="s">
        <v>2913</v>
      </c>
      <c r="F36" s="55" t="s">
        <v>50</v>
      </c>
      <c r="G36" s="55" t="s">
        <v>50</v>
      </c>
      <c r="H36" s="45" t="s">
        <v>193</v>
      </c>
      <c r="I36" s="45" t="s">
        <v>52</v>
      </c>
      <c r="J36" s="56"/>
      <c r="K36" s="56" t="s">
        <v>53</v>
      </c>
      <c r="L36" s="55" t="s">
        <v>54</v>
      </c>
      <c r="M36" s="55"/>
      <c r="N36" s="56" t="s">
        <v>55</v>
      </c>
      <c r="O36" s="56" t="s">
        <v>5302</v>
      </c>
      <c r="P36" s="56" t="s">
        <v>56</v>
      </c>
      <c r="Q36" s="56" t="s">
        <v>57</v>
      </c>
      <c r="R36" s="55"/>
      <c r="S36" s="56" t="s">
        <v>81</v>
      </c>
      <c r="T36" s="55" t="s">
        <v>81</v>
      </c>
      <c r="U36" s="57">
        <v>450000</v>
      </c>
      <c r="V36" s="57" t="s">
        <v>101</v>
      </c>
      <c r="W36" s="55"/>
      <c r="X36" s="54" t="s">
        <v>4045</v>
      </c>
      <c r="Y36" s="52"/>
      <c r="Z36" s="1" t="s">
        <v>2005</v>
      </c>
      <c r="AA36" s="3" t="s">
        <v>196</v>
      </c>
      <c r="AB36" s="1"/>
      <c r="AC36" s="1"/>
      <c r="AD36" s="3" t="s">
        <v>62</v>
      </c>
      <c r="AE36" s="1" t="s">
        <v>184</v>
      </c>
      <c r="AF36" s="1"/>
      <c r="AG36" s="1" t="s">
        <v>197</v>
      </c>
      <c r="AH36" s="2">
        <v>100</v>
      </c>
      <c r="AI36" s="1"/>
      <c r="AJ36" s="1"/>
      <c r="AK36" s="1"/>
      <c r="AL36" s="1"/>
      <c r="AM36" s="1"/>
      <c r="AN36" s="1"/>
      <c r="AO36" s="1"/>
      <c r="AP36" s="1"/>
      <c r="AQ36" s="1"/>
      <c r="AR36" s="1"/>
      <c r="AS36" s="1"/>
      <c r="AT36" s="1"/>
      <c r="AU36" s="1"/>
      <c r="AV36" s="1"/>
      <c r="AW36" s="1"/>
      <c r="AX36" s="1"/>
      <c r="AY36" s="1"/>
      <c r="AZ36" s="4" t="s">
        <v>5303</v>
      </c>
      <c r="BA36" s="4" t="s">
        <v>5304</v>
      </c>
      <c r="BB36" s="4" t="s">
        <v>5305</v>
      </c>
      <c r="BC36" s="1"/>
    </row>
    <row r="37" spans="1:55" s="78" customFormat="1" ht="15" customHeight="1" x14ac:dyDescent="0.25">
      <c r="A37" s="52" t="s">
        <v>4046</v>
      </c>
      <c r="B37" s="34" t="s">
        <v>59</v>
      </c>
      <c r="C37" s="53">
        <v>2026</v>
      </c>
      <c r="D37" s="53">
        <v>2026</v>
      </c>
      <c r="E37" s="54" t="s">
        <v>2913</v>
      </c>
      <c r="F37" s="55" t="s">
        <v>50</v>
      </c>
      <c r="G37" s="55" t="s">
        <v>50</v>
      </c>
      <c r="H37" s="45" t="s">
        <v>193</v>
      </c>
      <c r="I37" s="45" t="s">
        <v>52</v>
      </c>
      <c r="J37" s="56"/>
      <c r="K37" s="55" t="s">
        <v>194</v>
      </c>
      <c r="L37" s="55" t="s">
        <v>54</v>
      </c>
      <c r="M37" s="55"/>
      <c r="N37" s="55" t="s">
        <v>55</v>
      </c>
      <c r="O37" s="55"/>
      <c r="P37" s="55" t="s">
        <v>195</v>
      </c>
      <c r="Q37" s="55" t="s">
        <v>57</v>
      </c>
      <c r="R37" s="55"/>
      <c r="S37" s="56" t="s">
        <v>58</v>
      </c>
      <c r="T37" s="55" t="s">
        <v>81</v>
      </c>
      <c r="U37" s="57">
        <v>-999</v>
      </c>
      <c r="V37" s="57" t="s">
        <v>59</v>
      </c>
      <c r="W37" s="55"/>
      <c r="X37" s="54" t="s">
        <v>4046</v>
      </c>
      <c r="Y37" s="53"/>
      <c r="Z37" s="1" t="s">
        <v>2005</v>
      </c>
      <c r="AA37" s="3" t="s">
        <v>196</v>
      </c>
      <c r="AB37" s="3"/>
      <c r="AC37" s="3"/>
      <c r="AD37" s="3" t="s">
        <v>62</v>
      </c>
      <c r="AE37" s="1" t="s">
        <v>184</v>
      </c>
      <c r="AF37" s="3"/>
      <c r="AG37" s="1" t="s">
        <v>197</v>
      </c>
      <c r="AH37" s="2">
        <v>100</v>
      </c>
      <c r="AI37" s="3"/>
      <c r="AJ37" s="3"/>
      <c r="AK37" s="3"/>
      <c r="AL37" s="3"/>
      <c r="AM37" s="3"/>
      <c r="AN37" s="3"/>
      <c r="AO37" s="3"/>
      <c r="AP37" s="3"/>
      <c r="AQ37" s="3"/>
      <c r="AR37" s="3"/>
      <c r="AS37" s="3"/>
      <c r="AT37" s="3"/>
      <c r="AU37" s="3"/>
      <c r="AV37" s="3"/>
      <c r="AW37" s="3"/>
      <c r="AX37" s="3"/>
      <c r="AY37" s="3"/>
      <c r="AZ37" s="4" t="s">
        <v>3813</v>
      </c>
      <c r="BA37" s="3" t="s">
        <v>3814</v>
      </c>
      <c r="BB37" s="1"/>
      <c r="BC37" s="1"/>
    </row>
    <row r="38" spans="1:55" s="78" customFormat="1" ht="15" customHeight="1" x14ac:dyDescent="0.25">
      <c r="A38" s="52" t="s">
        <v>4047</v>
      </c>
      <c r="B38" s="34" t="s">
        <v>59</v>
      </c>
      <c r="C38" s="53">
        <v>2026</v>
      </c>
      <c r="D38" s="53">
        <v>2026</v>
      </c>
      <c r="E38" s="54" t="s">
        <v>2913</v>
      </c>
      <c r="F38" s="55" t="s">
        <v>50</v>
      </c>
      <c r="G38" s="55" t="s">
        <v>50</v>
      </c>
      <c r="H38" s="45" t="s">
        <v>193</v>
      </c>
      <c r="I38" s="45" t="s">
        <v>52</v>
      </c>
      <c r="J38" s="56"/>
      <c r="K38" s="55" t="s">
        <v>198</v>
      </c>
      <c r="L38" s="55" t="s">
        <v>54</v>
      </c>
      <c r="M38" s="55"/>
      <c r="N38" s="55" t="s">
        <v>55</v>
      </c>
      <c r="O38" s="55"/>
      <c r="P38" s="55" t="s">
        <v>199</v>
      </c>
      <c r="Q38" s="55" t="s">
        <v>57</v>
      </c>
      <c r="R38" s="55"/>
      <c r="S38" s="56" t="s">
        <v>58</v>
      </c>
      <c r="T38" s="55" t="s">
        <v>81</v>
      </c>
      <c r="U38" s="57">
        <v>-999</v>
      </c>
      <c r="V38" s="57" t="s">
        <v>59</v>
      </c>
      <c r="W38" s="55"/>
      <c r="X38" s="62" t="s">
        <v>4047</v>
      </c>
      <c r="Y38" s="53"/>
      <c r="Z38" s="1" t="s">
        <v>2005</v>
      </c>
      <c r="AA38" s="3" t="s">
        <v>196</v>
      </c>
      <c r="AB38" s="3"/>
      <c r="AC38" s="3"/>
      <c r="AD38" s="3" t="s">
        <v>62</v>
      </c>
      <c r="AE38" s="1" t="s">
        <v>184</v>
      </c>
      <c r="AF38" s="3"/>
      <c r="AG38" s="1" t="s">
        <v>197</v>
      </c>
      <c r="AH38" s="2">
        <v>100</v>
      </c>
      <c r="AI38" s="3"/>
      <c r="AJ38" s="3"/>
      <c r="AK38" s="3"/>
      <c r="AL38" s="3"/>
      <c r="AM38" s="3"/>
      <c r="AN38" s="3"/>
      <c r="AO38" s="3"/>
      <c r="AP38" s="3"/>
      <c r="AQ38" s="3"/>
      <c r="AR38" s="3"/>
      <c r="AS38" s="3"/>
      <c r="AT38" s="3"/>
      <c r="AU38" s="3"/>
      <c r="AV38" s="3"/>
      <c r="AW38" s="3"/>
      <c r="AX38" s="3"/>
      <c r="AY38" s="3"/>
      <c r="AZ38" s="4" t="s">
        <v>3813</v>
      </c>
      <c r="BA38" s="3" t="s">
        <v>3815</v>
      </c>
      <c r="BB38" s="1"/>
      <c r="BC38" s="1"/>
    </row>
    <row r="39" spans="1:55" s="78" customFormat="1" ht="15" customHeight="1" x14ac:dyDescent="0.25">
      <c r="A39" s="52" t="s">
        <v>4048</v>
      </c>
      <c r="B39" s="34" t="s">
        <v>59</v>
      </c>
      <c r="C39" s="53">
        <v>2026</v>
      </c>
      <c r="D39" s="53">
        <v>2026</v>
      </c>
      <c r="E39" s="54" t="s">
        <v>2913</v>
      </c>
      <c r="F39" s="55" t="s">
        <v>50</v>
      </c>
      <c r="G39" s="55" t="s">
        <v>50</v>
      </c>
      <c r="H39" s="45" t="s">
        <v>193</v>
      </c>
      <c r="I39" s="45" t="s">
        <v>52</v>
      </c>
      <c r="J39" s="56"/>
      <c r="K39" s="56" t="s">
        <v>137</v>
      </c>
      <c r="L39" s="55" t="s">
        <v>54</v>
      </c>
      <c r="M39" s="55"/>
      <c r="N39" s="56" t="s">
        <v>201</v>
      </c>
      <c r="O39" s="56"/>
      <c r="P39" s="56" t="s">
        <v>138</v>
      </c>
      <c r="Q39" s="55" t="s">
        <v>57</v>
      </c>
      <c r="R39" s="55"/>
      <c r="S39" s="56" t="s">
        <v>58</v>
      </c>
      <c r="T39" s="55" t="str">
        <f>IF(ISNUMBER(SEARCH(",",N39)),"Y","N")</f>
        <v>N</v>
      </c>
      <c r="U39" s="57">
        <v>-999</v>
      </c>
      <c r="V39" s="57" t="s">
        <v>59</v>
      </c>
      <c r="W39" s="55"/>
      <c r="X39" s="62" t="s">
        <v>4048</v>
      </c>
      <c r="Y39" s="53"/>
      <c r="Z39" s="1" t="s">
        <v>2005</v>
      </c>
      <c r="AA39" s="3" t="s">
        <v>196</v>
      </c>
      <c r="AB39" s="3"/>
      <c r="AC39" s="3"/>
      <c r="AD39" s="3" t="s">
        <v>62</v>
      </c>
      <c r="AE39" s="1" t="s">
        <v>184</v>
      </c>
      <c r="AF39" s="1"/>
      <c r="AG39" s="1" t="s">
        <v>197</v>
      </c>
      <c r="AH39" s="2">
        <v>100</v>
      </c>
      <c r="AI39" s="1"/>
      <c r="AJ39" s="1"/>
      <c r="AK39" s="1"/>
      <c r="AL39" s="1"/>
      <c r="AM39" s="1"/>
      <c r="AN39" s="1"/>
      <c r="AO39" s="1"/>
      <c r="AP39" s="1"/>
      <c r="AQ39" s="1"/>
      <c r="AR39" s="1"/>
      <c r="AS39" s="1"/>
      <c r="AT39" s="1"/>
      <c r="AU39" s="1"/>
      <c r="AV39" s="1"/>
      <c r="AW39" s="1"/>
      <c r="AX39" s="1"/>
      <c r="AY39" s="1"/>
      <c r="AZ39" s="4" t="s">
        <v>200</v>
      </c>
      <c r="BA39" s="1"/>
      <c r="BB39" s="1"/>
      <c r="BC39" s="1"/>
    </row>
    <row r="40" spans="1:55" s="78" customFormat="1" ht="15" customHeight="1" x14ac:dyDescent="0.25">
      <c r="A40" s="52" t="s">
        <v>4049</v>
      </c>
      <c r="B40" s="34" t="s">
        <v>59</v>
      </c>
      <c r="C40" s="53">
        <v>2026</v>
      </c>
      <c r="D40" s="53">
        <v>2026</v>
      </c>
      <c r="E40" s="54" t="s">
        <v>2914</v>
      </c>
      <c r="F40" s="55" t="s">
        <v>50</v>
      </c>
      <c r="G40" s="55" t="s">
        <v>50</v>
      </c>
      <c r="H40" s="45" t="s">
        <v>203</v>
      </c>
      <c r="I40" s="56" t="s">
        <v>52</v>
      </c>
      <c r="J40" s="56"/>
      <c r="K40" s="56" t="s">
        <v>204</v>
      </c>
      <c r="L40" s="55"/>
      <c r="M40" s="55"/>
      <c r="N40" s="56"/>
      <c r="O40" s="56"/>
      <c r="P40" s="55" t="s">
        <v>89</v>
      </c>
      <c r="Q40" s="55" t="s">
        <v>89</v>
      </c>
      <c r="R40" s="55"/>
      <c r="S40" s="56" t="s">
        <v>81</v>
      </c>
      <c r="T40" s="55" t="s">
        <v>81</v>
      </c>
      <c r="U40" s="57">
        <v>-999</v>
      </c>
      <c r="V40" s="57" t="s">
        <v>59</v>
      </c>
      <c r="W40" s="55" t="s">
        <v>2319</v>
      </c>
      <c r="X40" s="54" t="s">
        <v>4049</v>
      </c>
      <c r="Y40" s="52"/>
      <c r="Z40" s="2" t="s">
        <v>61</v>
      </c>
      <c r="AA40" s="1" t="s">
        <v>205</v>
      </c>
      <c r="AB40" s="1"/>
      <c r="AC40" s="1"/>
      <c r="AD40" s="3" t="s">
        <v>62</v>
      </c>
      <c r="AE40" s="2" t="s">
        <v>206</v>
      </c>
      <c r="AF40" s="2"/>
      <c r="AG40" s="3" t="s">
        <v>207</v>
      </c>
      <c r="AH40" s="58"/>
      <c r="AI40" s="1"/>
      <c r="AJ40" s="1"/>
      <c r="AK40" s="1"/>
      <c r="AL40" s="1"/>
      <c r="AM40" s="1"/>
      <c r="AN40" s="1"/>
      <c r="AO40" s="1"/>
      <c r="AP40" s="1"/>
      <c r="AQ40" s="1"/>
      <c r="AR40" s="1"/>
      <c r="AS40" s="1"/>
      <c r="AT40" s="1"/>
      <c r="AU40" s="1"/>
      <c r="AV40" s="1"/>
      <c r="AW40" s="1"/>
      <c r="AX40" s="1"/>
      <c r="AY40" s="1"/>
      <c r="AZ40" s="4" t="s">
        <v>202</v>
      </c>
      <c r="BA40" s="1"/>
      <c r="BB40" s="1"/>
      <c r="BC40" s="1"/>
    </row>
    <row r="41" spans="1:55" s="78" customFormat="1" ht="15" customHeight="1" x14ac:dyDescent="0.25">
      <c r="A41" s="52" t="s">
        <v>4050</v>
      </c>
      <c r="B41" s="34" t="s">
        <v>59</v>
      </c>
      <c r="C41" s="53">
        <v>2026</v>
      </c>
      <c r="D41" s="53">
        <v>2026</v>
      </c>
      <c r="E41" s="54" t="s">
        <v>2915</v>
      </c>
      <c r="F41" s="55" t="s">
        <v>50</v>
      </c>
      <c r="G41" s="55" t="s">
        <v>50</v>
      </c>
      <c r="H41" s="45" t="s">
        <v>209</v>
      </c>
      <c r="I41" s="45" t="s">
        <v>52</v>
      </c>
      <c r="J41" s="56"/>
      <c r="K41" s="55" t="s">
        <v>210</v>
      </c>
      <c r="L41" s="55" t="s">
        <v>54</v>
      </c>
      <c r="M41" s="55" t="s">
        <v>211</v>
      </c>
      <c r="N41" s="55" t="s">
        <v>212</v>
      </c>
      <c r="O41" s="55"/>
      <c r="P41" s="55" t="s">
        <v>89</v>
      </c>
      <c r="Q41" s="55" t="s">
        <v>89</v>
      </c>
      <c r="R41" s="55"/>
      <c r="S41" s="56" t="s">
        <v>81</v>
      </c>
      <c r="T41" s="55" t="s">
        <v>81</v>
      </c>
      <c r="U41" s="57">
        <v>184000</v>
      </c>
      <c r="V41" s="57" t="s">
        <v>101</v>
      </c>
      <c r="W41" s="55" t="s">
        <v>2319</v>
      </c>
      <c r="X41" s="54" t="s">
        <v>4050</v>
      </c>
      <c r="Y41" s="52"/>
      <c r="Z41" s="3" t="s">
        <v>61</v>
      </c>
      <c r="AA41" s="1" t="s">
        <v>213</v>
      </c>
      <c r="AB41" s="1"/>
      <c r="AC41" s="1"/>
      <c r="AD41" s="3" t="s">
        <v>62</v>
      </c>
      <c r="AE41" s="3" t="s">
        <v>214</v>
      </c>
      <c r="AF41" s="3"/>
      <c r="AG41" s="1" t="s">
        <v>215</v>
      </c>
      <c r="AH41" s="2">
        <v>100</v>
      </c>
      <c r="AI41" s="1"/>
      <c r="AJ41" s="2"/>
      <c r="AK41" s="3"/>
      <c r="AL41" s="3"/>
      <c r="AM41" s="3"/>
      <c r="AN41" s="3"/>
      <c r="AO41" s="3"/>
      <c r="AP41" s="3"/>
      <c r="AQ41" s="3"/>
      <c r="AR41" s="3"/>
      <c r="AS41" s="3"/>
      <c r="AT41" s="3"/>
      <c r="AU41" s="3"/>
      <c r="AV41" s="3"/>
      <c r="AW41" s="3"/>
      <c r="AX41" s="3"/>
      <c r="AY41" s="3"/>
      <c r="AZ41" s="4" t="s">
        <v>208</v>
      </c>
      <c r="BA41" s="3"/>
      <c r="BB41" s="1"/>
      <c r="BC41" s="1"/>
    </row>
    <row r="42" spans="1:55" s="78" customFormat="1" ht="15" customHeight="1" x14ac:dyDescent="0.25">
      <c r="A42" s="52" t="s">
        <v>4051</v>
      </c>
      <c r="B42" s="34" t="s">
        <v>59</v>
      </c>
      <c r="C42" s="53">
        <v>2026</v>
      </c>
      <c r="D42" s="53">
        <v>2026</v>
      </c>
      <c r="E42" s="54" t="s">
        <v>2916</v>
      </c>
      <c r="F42" s="55" t="s">
        <v>50</v>
      </c>
      <c r="G42" s="55" t="s">
        <v>50</v>
      </c>
      <c r="H42" s="45" t="s">
        <v>217</v>
      </c>
      <c r="I42" s="45" t="s">
        <v>52</v>
      </c>
      <c r="J42" s="56"/>
      <c r="K42" s="55" t="s">
        <v>218</v>
      </c>
      <c r="L42" s="55"/>
      <c r="M42" s="55" t="s">
        <v>113</v>
      </c>
      <c r="N42" s="55" t="s">
        <v>55</v>
      </c>
      <c r="O42" s="55" t="s">
        <v>141</v>
      </c>
      <c r="P42" s="55" t="s">
        <v>219</v>
      </c>
      <c r="Q42" s="55" t="s">
        <v>57</v>
      </c>
      <c r="R42" s="55"/>
      <c r="S42" s="56" t="s">
        <v>81</v>
      </c>
      <c r="T42" s="55" t="s">
        <v>81</v>
      </c>
      <c r="U42" s="57">
        <v>50000</v>
      </c>
      <c r="V42" s="57" t="s">
        <v>101</v>
      </c>
      <c r="W42" s="55" t="s">
        <v>2319</v>
      </c>
      <c r="X42" s="54" t="s">
        <v>4051</v>
      </c>
      <c r="Y42" s="52"/>
      <c r="Z42" s="3" t="s">
        <v>61</v>
      </c>
      <c r="AA42" s="3" t="s">
        <v>220</v>
      </c>
      <c r="AB42" s="3"/>
      <c r="AC42" s="3"/>
      <c r="AD42" s="3" t="s">
        <v>62</v>
      </c>
      <c r="AE42" s="3" t="s">
        <v>221</v>
      </c>
      <c r="AF42" s="3"/>
      <c r="AG42" s="3" t="s">
        <v>222</v>
      </c>
      <c r="AH42" s="58">
        <v>100</v>
      </c>
      <c r="AI42" s="3"/>
      <c r="AJ42" s="3"/>
      <c r="AK42" s="3"/>
      <c r="AL42" s="3"/>
      <c r="AM42" s="3"/>
      <c r="AN42" s="3"/>
      <c r="AO42" s="3"/>
      <c r="AP42" s="3"/>
      <c r="AQ42" s="3"/>
      <c r="AR42" s="3"/>
      <c r="AS42" s="3"/>
      <c r="AT42" s="3"/>
      <c r="AU42" s="3"/>
      <c r="AV42" s="3"/>
      <c r="AW42" s="3"/>
      <c r="AX42" s="3"/>
      <c r="AY42" s="3"/>
      <c r="AZ42" s="4" t="s">
        <v>216</v>
      </c>
      <c r="BA42" s="3"/>
      <c r="BB42" s="1"/>
      <c r="BC42" s="1"/>
    </row>
    <row r="43" spans="1:55" s="78" customFormat="1" ht="15" customHeight="1" x14ac:dyDescent="0.25">
      <c r="A43" s="52" t="s">
        <v>4052</v>
      </c>
      <c r="B43" s="34" t="s">
        <v>59</v>
      </c>
      <c r="C43" s="53">
        <v>2026</v>
      </c>
      <c r="D43" s="53">
        <v>2026</v>
      </c>
      <c r="E43" s="54" t="s">
        <v>2917</v>
      </c>
      <c r="F43" s="55" t="s">
        <v>50</v>
      </c>
      <c r="G43" s="55" t="s">
        <v>50</v>
      </c>
      <c r="H43" s="45" t="s">
        <v>224</v>
      </c>
      <c r="I43" s="56" t="s">
        <v>52</v>
      </c>
      <c r="J43" s="56"/>
      <c r="K43" s="56" t="s">
        <v>87</v>
      </c>
      <c r="L43" s="55" t="str">
        <f>IF(K43="Mine or Quarry","Mine","")</f>
        <v/>
      </c>
      <c r="M43" s="55"/>
      <c r="N43" s="56"/>
      <c r="O43" s="55" t="s">
        <v>2892</v>
      </c>
      <c r="P43" s="56" t="s">
        <v>89</v>
      </c>
      <c r="Q43" s="56" t="s">
        <v>89</v>
      </c>
      <c r="R43" s="55"/>
      <c r="S43" s="56" t="s">
        <v>81</v>
      </c>
      <c r="T43" s="55" t="s">
        <v>58</v>
      </c>
      <c r="U43" s="57">
        <v>-999</v>
      </c>
      <c r="V43" s="57" t="s">
        <v>59</v>
      </c>
      <c r="W43" s="55" t="s">
        <v>2319</v>
      </c>
      <c r="X43" s="54" t="s">
        <v>4052</v>
      </c>
      <c r="Y43" s="52"/>
      <c r="Z43" s="1" t="s">
        <v>61</v>
      </c>
      <c r="AA43" s="1" t="s">
        <v>226</v>
      </c>
      <c r="AB43" s="1"/>
      <c r="AC43" s="1"/>
      <c r="AD43" s="3" t="s">
        <v>62</v>
      </c>
      <c r="AE43" s="1" t="s">
        <v>63</v>
      </c>
      <c r="AF43" s="1" t="s">
        <v>227</v>
      </c>
      <c r="AG43" s="1" t="s">
        <v>228</v>
      </c>
      <c r="AH43" s="2">
        <v>100</v>
      </c>
      <c r="AI43" s="1"/>
      <c r="AJ43" s="1"/>
      <c r="AK43" s="1"/>
      <c r="AL43" s="1"/>
      <c r="AM43" s="1"/>
      <c r="AN43" s="1"/>
      <c r="AO43" s="1"/>
      <c r="AP43" s="1"/>
      <c r="AQ43" s="1"/>
      <c r="AR43" s="1"/>
      <c r="AS43" s="1"/>
      <c r="AT43" s="1"/>
      <c r="AU43" s="1"/>
      <c r="AV43" s="1"/>
      <c r="AW43" s="1"/>
      <c r="AX43" s="1"/>
      <c r="AY43" s="1"/>
      <c r="AZ43" s="5" t="s">
        <v>223</v>
      </c>
      <c r="BA43" s="5"/>
      <c r="BB43" s="1"/>
      <c r="BC43" s="1"/>
    </row>
    <row r="44" spans="1:55" s="78" customFormat="1" ht="15" customHeight="1" x14ac:dyDescent="0.25">
      <c r="A44" s="52" t="s">
        <v>4053</v>
      </c>
      <c r="B44" s="34" t="s">
        <v>59</v>
      </c>
      <c r="C44" s="53">
        <v>2026</v>
      </c>
      <c r="D44" s="53">
        <v>2026</v>
      </c>
      <c r="E44" s="54" t="s">
        <v>2918</v>
      </c>
      <c r="F44" s="55" t="s">
        <v>50</v>
      </c>
      <c r="G44" s="55" t="s">
        <v>50</v>
      </c>
      <c r="H44" s="45" t="s">
        <v>230</v>
      </c>
      <c r="I44" s="56" t="s">
        <v>52</v>
      </c>
      <c r="J44" s="56"/>
      <c r="K44" s="56" t="s">
        <v>87</v>
      </c>
      <c r="L44" s="55" t="str">
        <f>IF(K44="Mine or Quarry","Mine","")</f>
        <v/>
      </c>
      <c r="M44" s="55"/>
      <c r="N44" s="56"/>
      <c r="O44" s="56" t="s">
        <v>2983</v>
      </c>
      <c r="P44" s="56" t="s">
        <v>89</v>
      </c>
      <c r="Q44" s="56" t="s">
        <v>89</v>
      </c>
      <c r="R44" s="55"/>
      <c r="S44" s="56" t="s">
        <v>81</v>
      </c>
      <c r="T44" s="55" t="s">
        <v>58</v>
      </c>
      <c r="U44" s="57">
        <v>-999</v>
      </c>
      <c r="V44" s="57" t="s">
        <v>59</v>
      </c>
      <c r="W44" s="55" t="s">
        <v>2319</v>
      </c>
      <c r="X44" s="54" t="s">
        <v>4053</v>
      </c>
      <c r="Y44" s="52"/>
      <c r="Z44" s="1" t="s">
        <v>61</v>
      </c>
      <c r="AA44" s="1" t="s">
        <v>231</v>
      </c>
      <c r="AB44" s="1"/>
      <c r="AC44" s="1"/>
      <c r="AD44" s="3" t="s">
        <v>62</v>
      </c>
      <c r="AE44" s="1" t="s">
        <v>83</v>
      </c>
      <c r="AF44" s="1" t="s">
        <v>232</v>
      </c>
      <c r="AG44" s="1" t="s">
        <v>233</v>
      </c>
      <c r="AH44" s="2">
        <v>100</v>
      </c>
      <c r="AI44" s="1"/>
      <c r="AJ44" s="1"/>
      <c r="AK44" s="1"/>
      <c r="AL44" s="1"/>
      <c r="AM44" s="1"/>
      <c r="AN44" s="1"/>
      <c r="AO44" s="1"/>
      <c r="AP44" s="1"/>
      <c r="AQ44" s="1"/>
      <c r="AR44" s="1"/>
      <c r="AS44" s="1"/>
      <c r="AT44" s="1"/>
      <c r="AU44" s="1"/>
      <c r="AV44" s="1"/>
      <c r="AW44" s="1"/>
      <c r="AX44" s="1"/>
      <c r="AY44" s="1"/>
      <c r="AZ44" s="5" t="s">
        <v>229</v>
      </c>
      <c r="BA44" s="5"/>
      <c r="BB44" s="1"/>
      <c r="BC44" s="1"/>
    </row>
    <row r="45" spans="1:55" s="78" customFormat="1" ht="15" customHeight="1" x14ac:dyDescent="0.25">
      <c r="A45" s="52" t="s">
        <v>4054</v>
      </c>
      <c r="B45" s="34" t="s">
        <v>59</v>
      </c>
      <c r="C45" s="53">
        <v>2026</v>
      </c>
      <c r="D45" s="53">
        <v>2026</v>
      </c>
      <c r="E45" s="54" t="s">
        <v>2919</v>
      </c>
      <c r="F45" s="55" t="s">
        <v>50</v>
      </c>
      <c r="G45" s="55" t="s">
        <v>50</v>
      </c>
      <c r="H45" s="45" t="s">
        <v>235</v>
      </c>
      <c r="I45" s="56" t="s">
        <v>78</v>
      </c>
      <c r="J45" s="56"/>
      <c r="K45" s="56" t="s">
        <v>79</v>
      </c>
      <c r="L45" s="55" t="str">
        <f>IF(K45="Mine or Quarry","Mine","")</f>
        <v/>
      </c>
      <c r="M45" s="55"/>
      <c r="N45" s="56" t="s">
        <v>80</v>
      </c>
      <c r="O45" s="56"/>
      <c r="P45" s="56" t="s">
        <v>89</v>
      </c>
      <c r="Q45" s="56" t="s">
        <v>89</v>
      </c>
      <c r="R45" s="55"/>
      <c r="S45" s="56" t="s">
        <v>81</v>
      </c>
      <c r="T45" s="55" t="str">
        <f>IF(ISNUMBER(SEARCH(",",N45)),"Y","N")</f>
        <v>N</v>
      </c>
      <c r="U45" s="57">
        <v>-999</v>
      </c>
      <c r="V45" s="57" t="s">
        <v>59</v>
      </c>
      <c r="W45" s="55" t="s">
        <v>2319</v>
      </c>
      <c r="X45" s="54" t="s">
        <v>4054</v>
      </c>
      <c r="Y45" s="52"/>
      <c r="Z45" s="1" t="s">
        <v>61</v>
      </c>
      <c r="AA45" s="1" t="s">
        <v>231</v>
      </c>
      <c r="AB45" s="1"/>
      <c r="AC45" s="1"/>
      <c r="AD45" s="3" t="s">
        <v>62</v>
      </c>
      <c r="AE45" s="1" t="s">
        <v>83</v>
      </c>
      <c r="AF45" s="1" t="s">
        <v>236</v>
      </c>
      <c r="AG45" s="1" t="s">
        <v>237</v>
      </c>
      <c r="AH45" s="2">
        <v>100</v>
      </c>
      <c r="AI45" s="1"/>
      <c r="AJ45" s="1"/>
      <c r="AK45" s="1"/>
      <c r="AL45" s="1"/>
      <c r="AM45" s="1"/>
      <c r="AN45" s="1"/>
      <c r="AO45" s="1"/>
      <c r="AP45" s="1"/>
      <c r="AQ45" s="1"/>
      <c r="AR45" s="1"/>
      <c r="AS45" s="1"/>
      <c r="AT45" s="1"/>
      <c r="AU45" s="1"/>
      <c r="AV45" s="1"/>
      <c r="AW45" s="1"/>
      <c r="AX45" s="1"/>
      <c r="AY45" s="1"/>
      <c r="AZ45" s="5" t="s">
        <v>234</v>
      </c>
      <c r="BA45" s="5"/>
      <c r="BB45" s="1"/>
      <c r="BC45" s="1"/>
    </row>
    <row r="46" spans="1:55" s="78" customFormat="1" ht="15" customHeight="1" x14ac:dyDescent="0.25">
      <c r="A46" s="52" t="s">
        <v>4055</v>
      </c>
      <c r="B46" s="34" t="s">
        <v>59</v>
      </c>
      <c r="C46" s="53">
        <v>2026</v>
      </c>
      <c r="D46" s="53">
        <v>2026</v>
      </c>
      <c r="E46" s="54" t="s">
        <v>2920</v>
      </c>
      <c r="F46" s="55" t="s">
        <v>50</v>
      </c>
      <c r="G46" s="55" t="s">
        <v>50</v>
      </c>
      <c r="H46" s="45" t="s">
        <v>239</v>
      </c>
      <c r="I46" s="61" t="s">
        <v>52</v>
      </c>
      <c r="J46" s="56"/>
      <c r="K46" s="55" t="s">
        <v>133</v>
      </c>
      <c r="L46" s="55" t="s">
        <v>54</v>
      </c>
      <c r="M46" s="55" t="s">
        <v>113</v>
      </c>
      <c r="N46" s="55" t="s">
        <v>240</v>
      </c>
      <c r="O46" s="55"/>
      <c r="P46" s="55" t="s">
        <v>134</v>
      </c>
      <c r="Q46" s="55" t="s">
        <v>57</v>
      </c>
      <c r="R46" s="55"/>
      <c r="S46" s="56" t="s">
        <v>58</v>
      </c>
      <c r="T46" s="55" t="s">
        <v>81</v>
      </c>
      <c r="U46" s="57">
        <v>-999</v>
      </c>
      <c r="V46" s="57" t="s">
        <v>59</v>
      </c>
      <c r="W46" s="55" t="s">
        <v>2319</v>
      </c>
      <c r="X46" s="54" t="s">
        <v>4055</v>
      </c>
      <c r="Y46" s="52"/>
      <c r="Z46" s="3" t="s">
        <v>61</v>
      </c>
      <c r="AA46" s="3" t="s">
        <v>241</v>
      </c>
      <c r="AB46" s="3"/>
      <c r="AC46" s="3"/>
      <c r="AD46" s="3" t="s">
        <v>62</v>
      </c>
      <c r="AE46" s="3" t="s">
        <v>83</v>
      </c>
      <c r="AF46" s="3"/>
      <c r="AG46" s="3" t="s">
        <v>242</v>
      </c>
      <c r="AH46" s="58">
        <v>100</v>
      </c>
      <c r="AI46" s="3"/>
      <c r="AJ46" s="3"/>
      <c r="AK46" s="3"/>
      <c r="AL46" s="3"/>
      <c r="AM46" s="3"/>
      <c r="AN46" s="3"/>
      <c r="AO46" s="3"/>
      <c r="AP46" s="3"/>
      <c r="AQ46" s="3"/>
      <c r="AR46" s="3"/>
      <c r="AS46" s="3"/>
      <c r="AT46" s="3"/>
      <c r="AU46" s="3"/>
      <c r="AV46" s="3"/>
      <c r="AW46" s="3"/>
      <c r="AX46" s="3"/>
      <c r="AY46" s="3"/>
      <c r="AZ46" s="4" t="s">
        <v>238</v>
      </c>
      <c r="BA46" s="3"/>
      <c r="BB46" s="1"/>
      <c r="BC46" s="1"/>
    </row>
    <row r="47" spans="1:55" s="78" customFormat="1" ht="15" customHeight="1" x14ac:dyDescent="0.25">
      <c r="A47" s="52" t="s">
        <v>4056</v>
      </c>
      <c r="B47" s="34" t="s">
        <v>59</v>
      </c>
      <c r="C47" s="53">
        <v>2026</v>
      </c>
      <c r="D47" s="53">
        <v>2026</v>
      </c>
      <c r="E47" s="54" t="s">
        <v>2920</v>
      </c>
      <c r="F47" s="55" t="s">
        <v>50</v>
      </c>
      <c r="G47" s="55" t="s">
        <v>50</v>
      </c>
      <c r="H47" s="45" t="s">
        <v>239</v>
      </c>
      <c r="I47" s="61" t="s">
        <v>52</v>
      </c>
      <c r="J47" s="56"/>
      <c r="K47" s="55" t="s">
        <v>126</v>
      </c>
      <c r="L47" s="55"/>
      <c r="M47" s="55" t="s">
        <v>113</v>
      </c>
      <c r="N47" s="55" t="s">
        <v>127</v>
      </c>
      <c r="O47" s="55" t="s">
        <v>243</v>
      </c>
      <c r="P47" s="55" t="s">
        <v>129</v>
      </c>
      <c r="Q47" s="56" t="s">
        <v>57</v>
      </c>
      <c r="R47" s="55"/>
      <c r="S47" s="56" t="s">
        <v>58</v>
      </c>
      <c r="T47" s="55" t="s">
        <v>81</v>
      </c>
      <c r="U47" s="57">
        <v>-999</v>
      </c>
      <c r="V47" s="57" t="s">
        <v>59</v>
      </c>
      <c r="W47" s="55" t="s">
        <v>2319</v>
      </c>
      <c r="X47" s="54" t="s">
        <v>4056</v>
      </c>
      <c r="Y47" s="52"/>
      <c r="Z47" s="3" t="s">
        <v>61</v>
      </c>
      <c r="AA47" s="3" t="s">
        <v>241</v>
      </c>
      <c r="AB47" s="3"/>
      <c r="AC47" s="3"/>
      <c r="AD47" s="3" t="s">
        <v>62</v>
      </c>
      <c r="AE47" s="3" t="s">
        <v>83</v>
      </c>
      <c r="AF47" s="3"/>
      <c r="AG47" s="3" t="s">
        <v>242</v>
      </c>
      <c r="AH47" s="58">
        <v>100</v>
      </c>
      <c r="AI47" s="3"/>
      <c r="AJ47" s="3"/>
      <c r="AK47" s="3"/>
      <c r="AL47" s="3"/>
      <c r="AM47" s="3"/>
      <c r="AN47" s="3"/>
      <c r="AO47" s="3"/>
      <c r="AP47" s="3"/>
      <c r="AQ47" s="3"/>
      <c r="AR47" s="3"/>
      <c r="AS47" s="3"/>
      <c r="AT47" s="3"/>
      <c r="AU47" s="3"/>
      <c r="AV47" s="3"/>
      <c r="AW47" s="3"/>
      <c r="AX47" s="3"/>
      <c r="AY47" s="3"/>
      <c r="AZ47" s="4" t="s">
        <v>238</v>
      </c>
      <c r="BA47" s="3"/>
      <c r="BB47" s="1"/>
      <c r="BC47" s="1"/>
    </row>
    <row r="48" spans="1:55" s="78" customFormat="1" ht="15" customHeight="1" x14ac:dyDescent="0.25">
      <c r="A48" s="52" t="s">
        <v>4057</v>
      </c>
      <c r="B48" s="34" t="s">
        <v>59</v>
      </c>
      <c r="C48" s="53">
        <v>2026</v>
      </c>
      <c r="D48" s="53">
        <v>2026</v>
      </c>
      <c r="E48" s="54" t="s">
        <v>2920</v>
      </c>
      <c r="F48" s="55" t="s">
        <v>50</v>
      </c>
      <c r="G48" s="55" t="s">
        <v>50</v>
      </c>
      <c r="H48" s="45" t="s">
        <v>239</v>
      </c>
      <c r="I48" s="61" t="s">
        <v>52</v>
      </c>
      <c r="J48" s="56"/>
      <c r="K48" s="55" t="s">
        <v>135</v>
      </c>
      <c r="L48" s="55" t="s">
        <v>54</v>
      </c>
      <c r="M48" s="55" t="s">
        <v>113</v>
      </c>
      <c r="N48" s="55" t="s">
        <v>243</v>
      </c>
      <c r="O48" s="55"/>
      <c r="P48" s="55" t="s">
        <v>136</v>
      </c>
      <c r="Q48" s="55" t="s">
        <v>57</v>
      </c>
      <c r="R48" s="55"/>
      <c r="S48" s="56" t="s">
        <v>58</v>
      </c>
      <c r="T48" s="55" t="s">
        <v>81</v>
      </c>
      <c r="U48" s="57">
        <v>-999</v>
      </c>
      <c r="V48" s="57" t="s">
        <v>59</v>
      </c>
      <c r="W48" s="55" t="s">
        <v>2319</v>
      </c>
      <c r="X48" s="54" t="s">
        <v>4057</v>
      </c>
      <c r="Y48" s="52"/>
      <c r="Z48" s="3" t="s">
        <v>61</v>
      </c>
      <c r="AA48" s="3" t="s">
        <v>241</v>
      </c>
      <c r="AB48" s="3"/>
      <c r="AC48" s="3"/>
      <c r="AD48" s="3" t="s">
        <v>62</v>
      </c>
      <c r="AE48" s="3" t="s">
        <v>83</v>
      </c>
      <c r="AF48" s="3"/>
      <c r="AG48" s="3" t="s">
        <v>242</v>
      </c>
      <c r="AH48" s="58">
        <v>100</v>
      </c>
      <c r="AI48" s="3"/>
      <c r="AJ48" s="3"/>
      <c r="AK48" s="3"/>
      <c r="AL48" s="3"/>
      <c r="AM48" s="3"/>
      <c r="AN48" s="3"/>
      <c r="AO48" s="3"/>
      <c r="AP48" s="3"/>
      <c r="AQ48" s="3"/>
      <c r="AR48" s="3"/>
      <c r="AS48" s="3"/>
      <c r="AT48" s="3"/>
      <c r="AU48" s="3"/>
      <c r="AV48" s="3"/>
      <c r="AW48" s="3"/>
      <c r="AX48" s="3"/>
      <c r="AY48" s="3"/>
      <c r="AZ48" s="4" t="s">
        <v>238</v>
      </c>
      <c r="BA48" s="3"/>
      <c r="BB48" s="1"/>
      <c r="BC48" s="1"/>
    </row>
    <row r="49" spans="1:55" s="78" customFormat="1" ht="15" customHeight="1" x14ac:dyDescent="0.25">
      <c r="A49" s="52" t="s">
        <v>4058</v>
      </c>
      <c r="B49" s="34" t="s">
        <v>59</v>
      </c>
      <c r="C49" s="53">
        <v>2026</v>
      </c>
      <c r="D49" s="53">
        <v>2026</v>
      </c>
      <c r="E49" s="54" t="s">
        <v>2920</v>
      </c>
      <c r="F49" s="55" t="s">
        <v>50</v>
      </c>
      <c r="G49" s="55" t="s">
        <v>50</v>
      </c>
      <c r="H49" s="45" t="s">
        <v>239</v>
      </c>
      <c r="I49" s="61" t="s">
        <v>52</v>
      </c>
      <c r="J49" s="56"/>
      <c r="K49" s="55" t="s">
        <v>137</v>
      </c>
      <c r="L49" s="55" t="s">
        <v>54</v>
      </c>
      <c r="M49" s="55" t="s">
        <v>113</v>
      </c>
      <c r="N49" s="55" t="s">
        <v>243</v>
      </c>
      <c r="O49" s="55"/>
      <c r="P49" s="55" t="s">
        <v>138</v>
      </c>
      <c r="Q49" s="55" t="s">
        <v>57</v>
      </c>
      <c r="R49" s="55"/>
      <c r="S49" s="56" t="s">
        <v>58</v>
      </c>
      <c r="T49" s="55" t="s">
        <v>81</v>
      </c>
      <c r="U49" s="57">
        <v>-999</v>
      </c>
      <c r="V49" s="57" t="s">
        <v>59</v>
      </c>
      <c r="W49" s="55" t="s">
        <v>2319</v>
      </c>
      <c r="X49" s="54" t="s">
        <v>4058</v>
      </c>
      <c r="Y49" s="52"/>
      <c r="Z49" s="3" t="s">
        <v>61</v>
      </c>
      <c r="AA49" s="3" t="s">
        <v>241</v>
      </c>
      <c r="AB49" s="3"/>
      <c r="AC49" s="3"/>
      <c r="AD49" s="3" t="s">
        <v>62</v>
      </c>
      <c r="AE49" s="3" t="s">
        <v>83</v>
      </c>
      <c r="AF49" s="3"/>
      <c r="AG49" s="3" t="s">
        <v>242</v>
      </c>
      <c r="AH49" s="58">
        <v>100</v>
      </c>
      <c r="AI49" s="3"/>
      <c r="AJ49" s="3"/>
      <c r="AK49" s="3"/>
      <c r="AL49" s="3"/>
      <c r="AM49" s="3"/>
      <c r="AN49" s="3"/>
      <c r="AO49" s="3"/>
      <c r="AP49" s="3"/>
      <c r="AQ49" s="3"/>
      <c r="AR49" s="3"/>
      <c r="AS49" s="3"/>
      <c r="AT49" s="3"/>
      <c r="AU49" s="3"/>
      <c r="AV49" s="3"/>
      <c r="AW49" s="3"/>
      <c r="AX49" s="3"/>
      <c r="AY49" s="3"/>
      <c r="AZ49" s="4" t="s">
        <v>238</v>
      </c>
      <c r="BA49" s="3"/>
      <c r="BB49" s="1"/>
      <c r="BC49" s="1"/>
    </row>
    <row r="50" spans="1:55" s="78" customFormat="1" ht="15" customHeight="1" x14ac:dyDescent="0.25">
      <c r="A50" s="52" t="s">
        <v>4059</v>
      </c>
      <c r="B50" s="34" t="s">
        <v>59</v>
      </c>
      <c r="C50" s="53">
        <v>2026</v>
      </c>
      <c r="D50" s="53">
        <v>2026</v>
      </c>
      <c r="E50" s="54" t="s">
        <v>2921</v>
      </c>
      <c r="F50" s="55" t="s">
        <v>50</v>
      </c>
      <c r="G50" s="55" t="s">
        <v>50</v>
      </c>
      <c r="H50" s="45" t="s">
        <v>245</v>
      </c>
      <c r="I50" s="61" t="s">
        <v>52</v>
      </c>
      <c r="J50" s="56"/>
      <c r="K50" s="55" t="s">
        <v>126</v>
      </c>
      <c r="L50" s="55"/>
      <c r="M50" s="55" t="s">
        <v>113</v>
      </c>
      <c r="N50" s="55" t="s">
        <v>127</v>
      </c>
      <c r="O50" s="55" t="s">
        <v>128</v>
      </c>
      <c r="P50" s="55" t="s">
        <v>129</v>
      </c>
      <c r="Q50" s="56" t="s">
        <v>57</v>
      </c>
      <c r="R50" s="55"/>
      <c r="S50" s="56" t="s">
        <v>58</v>
      </c>
      <c r="T50" s="55" t="s">
        <v>81</v>
      </c>
      <c r="U50" s="57">
        <v>-999</v>
      </c>
      <c r="V50" s="57" t="s">
        <v>59</v>
      </c>
      <c r="W50" s="55" t="s">
        <v>2319</v>
      </c>
      <c r="X50" s="54" t="s">
        <v>4059</v>
      </c>
      <c r="Y50" s="52"/>
      <c r="Z50" s="3" t="s">
        <v>2005</v>
      </c>
      <c r="AA50" s="3" t="s">
        <v>246</v>
      </c>
      <c r="AB50" s="3"/>
      <c r="AC50" s="3"/>
      <c r="AD50" s="3" t="s">
        <v>62</v>
      </c>
      <c r="AE50" s="3" t="s">
        <v>108</v>
      </c>
      <c r="AF50" s="3"/>
      <c r="AG50" s="3" t="s">
        <v>132</v>
      </c>
      <c r="AH50" s="58">
        <v>100</v>
      </c>
      <c r="AI50" s="3"/>
      <c r="AJ50" s="3"/>
      <c r="AK50" s="3"/>
      <c r="AL50" s="3"/>
      <c r="AM50" s="3"/>
      <c r="AN50" s="3"/>
      <c r="AO50" s="3"/>
      <c r="AP50" s="3"/>
      <c r="AQ50" s="3"/>
      <c r="AR50" s="3"/>
      <c r="AS50" s="3"/>
      <c r="AT50" s="3"/>
      <c r="AU50" s="3"/>
      <c r="AV50" s="3"/>
      <c r="AW50" s="3"/>
      <c r="AX50" s="3"/>
      <c r="AY50" s="3"/>
      <c r="AZ50" s="4" t="s">
        <v>244</v>
      </c>
      <c r="BA50" s="3"/>
      <c r="BB50" s="1"/>
      <c r="BC50" s="1"/>
    </row>
    <row r="51" spans="1:55" s="78" customFormat="1" ht="15" customHeight="1" x14ac:dyDescent="0.25">
      <c r="A51" s="52" t="s">
        <v>4060</v>
      </c>
      <c r="B51" s="34" t="s">
        <v>59</v>
      </c>
      <c r="C51" s="53">
        <v>2026</v>
      </c>
      <c r="D51" s="53">
        <v>2026</v>
      </c>
      <c r="E51" s="54" t="s">
        <v>2921</v>
      </c>
      <c r="F51" s="55" t="s">
        <v>50</v>
      </c>
      <c r="G51" s="55" t="s">
        <v>50</v>
      </c>
      <c r="H51" s="45" t="s">
        <v>245</v>
      </c>
      <c r="I51" s="61" t="s">
        <v>52</v>
      </c>
      <c r="J51" s="56"/>
      <c r="K51" s="55" t="s">
        <v>133</v>
      </c>
      <c r="L51" s="55"/>
      <c r="M51" s="55" t="s">
        <v>113</v>
      </c>
      <c r="N51" s="55" t="s">
        <v>127</v>
      </c>
      <c r="O51" s="55" t="s">
        <v>128</v>
      </c>
      <c r="P51" s="55" t="s">
        <v>134</v>
      </c>
      <c r="Q51" s="55" t="s">
        <v>57</v>
      </c>
      <c r="R51" s="55"/>
      <c r="S51" s="56" t="s">
        <v>58</v>
      </c>
      <c r="T51" s="55" t="s">
        <v>81</v>
      </c>
      <c r="U51" s="57">
        <v>-999</v>
      </c>
      <c r="V51" s="57" t="s">
        <v>59</v>
      </c>
      <c r="W51" s="55" t="s">
        <v>2319</v>
      </c>
      <c r="X51" s="54" t="s">
        <v>4060</v>
      </c>
      <c r="Y51" s="52"/>
      <c r="Z51" s="3" t="s">
        <v>2005</v>
      </c>
      <c r="AA51" s="3" t="s">
        <v>246</v>
      </c>
      <c r="AB51" s="3"/>
      <c r="AC51" s="3"/>
      <c r="AD51" s="3" t="s">
        <v>62</v>
      </c>
      <c r="AE51" s="3" t="s">
        <v>108</v>
      </c>
      <c r="AF51" s="3"/>
      <c r="AG51" s="3" t="s">
        <v>132</v>
      </c>
      <c r="AH51" s="58">
        <v>100</v>
      </c>
      <c r="AI51" s="3"/>
      <c r="AJ51" s="3"/>
      <c r="AK51" s="3"/>
      <c r="AL51" s="3"/>
      <c r="AM51" s="3"/>
      <c r="AN51" s="3"/>
      <c r="AO51" s="3"/>
      <c r="AP51" s="3"/>
      <c r="AQ51" s="3"/>
      <c r="AR51" s="3"/>
      <c r="AS51" s="3"/>
      <c r="AT51" s="3"/>
      <c r="AU51" s="3"/>
      <c r="AV51" s="3"/>
      <c r="AW51" s="3"/>
      <c r="AX51" s="3"/>
      <c r="AY51" s="3"/>
      <c r="AZ51" s="4" t="s">
        <v>244</v>
      </c>
      <c r="BA51" s="3"/>
      <c r="BB51" s="1"/>
      <c r="BC51" s="1"/>
    </row>
    <row r="52" spans="1:55" s="78" customFormat="1" ht="15" customHeight="1" x14ac:dyDescent="0.25">
      <c r="A52" s="52" t="s">
        <v>4061</v>
      </c>
      <c r="B52" s="34" t="s">
        <v>59</v>
      </c>
      <c r="C52" s="53">
        <v>2026</v>
      </c>
      <c r="D52" s="53">
        <v>2026</v>
      </c>
      <c r="E52" s="54" t="s">
        <v>2921</v>
      </c>
      <c r="F52" s="55" t="s">
        <v>50</v>
      </c>
      <c r="G52" s="55" t="s">
        <v>50</v>
      </c>
      <c r="H52" s="45" t="s">
        <v>245</v>
      </c>
      <c r="I52" s="61" t="s">
        <v>52</v>
      </c>
      <c r="J52" s="56"/>
      <c r="K52" s="55" t="s">
        <v>135</v>
      </c>
      <c r="L52" s="55"/>
      <c r="M52" s="55" t="s">
        <v>113</v>
      </c>
      <c r="N52" s="55" t="s">
        <v>127</v>
      </c>
      <c r="O52" s="55" t="s">
        <v>128</v>
      </c>
      <c r="P52" s="55" t="s">
        <v>136</v>
      </c>
      <c r="Q52" s="55" t="s">
        <v>57</v>
      </c>
      <c r="R52" s="55"/>
      <c r="S52" s="56" t="s">
        <v>58</v>
      </c>
      <c r="T52" s="55" t="s">
        <v>81</v>
      </c>
      <c r="U52" s="57">
        <v>-999</v>
      </c>
      <c r="V52" s="57" t="s">
        <v>59</v>
      </c>
      <c r="W52" s="55" t="s">
        <v>2319</v>
      </c>
      <c r="X52" s="54" t="s">
        <v>4061</v>
      </c>
      <c r="Y52" s="52"/>
      <c r="Z52" s="3" t="s">
        <v>2005</v>
      </c>
      <c r="AA52" s="3" t="s">
        <v>246</v>
      </c>
      <c r="AB52" s="3"/>
      <c r="AC52" s="3"/>
      <c r="AD52" s="3" t="s">
        <v>62</v>
      </c>
      <c r="AE52" s="3" t="s">
        <v>108</v>
      </c>
      <c r="AF52" s="3"/>
      <c r="AG52" s="3" t="s">
        <v>132</v>
      </c>
      <c r="AH52" s="58">
        <v>100</v>
      </c>
      <c r="AI52" s="3"/>
      <c r="AJ52" s="3"/>
      <c r="AK52" s="3"/>
      <c r="AL52" s="3"/>
      <c r="AM52" s="3"/>
      <c r="AN52" s="3"/>
      <c r="AO52" s="3"/>
      <c r="AP52" s="3"/>
      <c r="AQ52" s="3"/>
      <c r="AR52" s="3"/>
      <c r="AS52" s="3"/>
      <c r="AT52" s="3"/>
      <c r="AU52" s="3"/>
      <c r="AV52" s="3"/>
      <c r="AW52" s="3"/>
      <c r="AX52" s="3"/>
      <c r="AY52" s="3"/>
      <c r="AZ52" s="4" t="s">
        <v>244</v>
      </c>
      <c r="BA52" s="3"/>
      <c r="BB52" s="1"/>
      <c r="BC52" s="1"/>
    </row>
    <row r="53" spans="1:55" s="78" customFormat="1" ht="15" customHeight="1" x14ac:dyDescent="0.25">
      <c r="A53" s="52" t="s">
        <v>4062</v>
      </c>
      <c r="B53" s="34" t="s">
        <v>59</v>
      </c>
      <c r="C53" s="53">
        <v>2026</v>
      </c>
      <c r="D53" s="53">
        <v>2026</v>
      </c>
      <c r="E53" s="54" t="s">
        <v>2921</v>
      </c>
      <c r="F53" s="55" t="s">
        <v>50</v>
      </c>
      <c r="G53" s="55" t="s">
        <v>50</v>
      </c>
      <c r="H53" s="45" t="s">
        <v>245</v>
      </c>
      <c r="I53" s="61" t="s">
        <v>52</v>
      </c>
      <c r="J53" s="56"/>
      <c r="K53" s="55" t="s">
        <v>137</v>
      </c>
      <c r="L53" s="55"/>
      <c r="M53" s="55" t="s">
        <v>113</v>
      </c>
      <c r="N53" s="55" t="s">
        <v>127</v>
      </c>
      <c r="O53" s="55" t="s">
        <v>128</v>
      </c>
      <c r="P53" s="55" t="s">
        <v>138</v>
      </c>
      <c r="Q53" s="55" t="s">
        <v>57</v>
      </c>
      <c r="R53" s="55"/>
      <c r="S53" s="56" t="s">
        <v>58</v>
      </c>
      <c r="T53" s="55" t="s">
        <v>81</v>
      </c>
      <c r="U53" s="57">
        <v>-999</v>
      </c>
      <c r="V53" s="57" t="s">
        <v>59</v>
      </c>
      <c r="W53" s="55" t="s">
        <v>2319</v>
      </c>
      <c r="X53" s="54" t="s">
        <v>4062</v>
      </c>
      <c r="Y53" s="52"/>
      <c r="Z53" s="3" t="s">
        <v>2005</v>
      </c>
      <c r="AA53" s="3" t="s">
        <v>246</v>
      </c>
      <c r="AB53" s="3"/>
      <c r="AC53" s="3"/>
      <c r="AD53" s="3" t="s">
        <v>62</v>
      </c>
      <c r="AE53" s="3" t="s">
        <v>108</v>
      </c>
      <c r="AF53" s="3"/>
      <c r="AG53" s="3" t="s">
        <v>132</v>
      </c>
      <c r="AH53" s="58">
        <v>100</v>
      </c>
      <c r="AI53" s="3"/>
      <c r="AJ53" s="3"/>
      <c r="AK53" s="3"/>
      <c r="AL53" s="3"/>
      <c r="AM53" s="3"/>
      <c r="AN53" s="3"/>
      <c r="AO53" s="3"/>
      <c r="AP53" s="3"/>
      <c r="AQ53" s="3"/>
      <c r="AR53" s="3"/>
      <c r="AS53" s="3"/>
      <c r="AT53" s="3"/>
      <c r="AU53" s="3"/>
      <c r="AV53" s="3"/>
      <c r="AW53" s="3"/>
      <c r="AX53" s="3"/>
      <c r="AY53" s="3"/>
      <c r="AZ53" s="4" t="s">
        <v>244</v>
      </c>
      <c r="BA53" s="3"/>
      <c r="BB53" s="1"/>
      <c r="BC53" s="1"/>
    </row>
    <row r="54" spans="1:55" s="78" customFormat="1" ht="15" customHeight="1" x14ac:dyDescent="0.25">
      <c r="A54" s="52" t="s">
        <v>4063</v>
      </c>
      <c r="B54" s="34" t="s">
        <v>59</v>
      </c>
      <c r="C54" s="53">
        <v>2026</v>
      </c>
      <c r="D54" s="53">
        <v>2026</v>
      </c>
      <c r="E54" s="54" t="s">
        <v>2922</v>
      </c>
      <c r="F54" s="55" t="s">
        <v>50</v>
      </c>
      <c r="G54" s="55" t="s">
        <v>50</v>
      </c>
      <c r="H54" s="45" t="s">
        <v>248</v>
      </c>
      <c r="I54" s="45" t="s">
        <v>52</v>
      </c>
      <c r="J54" s="56"/>
      <c r="K54" s="55" t="s">
        <v>71</v>
      </c>
      <c r="L54" s="55" t="s">
        <v>54</v>
      </c>
      <c r="M54" s="55"/>
      <c r="N54" s="55" t="s">
        <v>55</v>
      </c>
      <c r="O54" s="55" t="s">
        <v>249</v>
      </c>
      <c r="P54" s="55" t="s">
        <v>73</v>
      </c>
      <c r="Q54" s="55" t="s">
        <v>57</v>
      </c>
      <c r="R54" s="55"/>
      <c r="S54" s="56" t="s">
        <v>58</v>
      </c>
      <c r="T54" s="55" t="str">
        <f>IF(ISNUMBER(SEARCH(",",N54)),"Y","N")</f>
        <v>N</v>
      </c>
      <c r="U54" s="57">
        <v>-999</v>
      </c>
      <c r="V54" s="57" t="s">
        <v>59</v>
      </c>
      <c r="W54" s="55" t="s">
        <v>2319</v>
      </c>
      <c r="X54" s="54" t="s">
        <v>4063</v>
      </c>
      <c r="Y54" s="52"/>
      <c r="Z54" s="3" t="s">
        <v>61</v>
      </c>
      <c r="AA54" s="3" t="s">
        <v>250</v>
      </c>
      <c r="AB54" s="3"/>
      <c r="AC54" s="3"/>
      <c r="AD54" s="3" t="s">
        <v>62</v>
      </c>
      <c r="AE54" s="3" t="s">
        <v>251</v>
      </c>
      <c r="AF54" s="3" t="s">
        <v>252</v>
      </c>
      <c r="AG54" s="3" t="s">
        <v>253</v>
      </c>
      <c r="AH54" s="58">
        <v>100</v>
      </c>
      <c r="AI54" s="3"/>
      <c r="AJ54" s="3"/>
      <c r="AK54" s="3"/>
      <c r="AL54" s="3"/>
      <c r="AM54" s="3"/>
      <c r="AN54" s="3"/>
      <c r="AO54" s="3"/>
      <c r="AP54" s="3"/>
      <c r="AQ54" s="3"/>
      <c r="AR54" s="3"/>
      <c r="AS54" s="3"/>
      <c r="AT54" s="3"/>
      <c r="AU54" s="3"/>
      <c r="AV54" s="3"/>
      <c r="AW54" s="3"/>
      <c r="AX54" s="3"/>
      <c r="AY54" s="3"/>
      <c r="AZ54" s="4" t="s">
        <v>247</v>
      </c>
      <c r="BA54" s="32"/>
      <c r="BB54" s="1"/>
      <c r="BC54" s="1"/>
    </row>
    <row r="55" spans="1:55" s="78" customFormat="1" ht="15" customHeight="1" x14ac:dyDescent="0.25">
      <c r="A55" s="52" t="s">
        <v>4064</v>
      </c>
      <c r="B55" s="34" t="s">
        <v>59</v>
      </c>
      <c r="C55" s="53">
        <v>2026</v>
      </c>
      <c r="D55" s="53">
        <v>2026</v>
      </c>
      <c r="E55" s="54" t="s">
        <v>2922</v>
      </c>
      <c r="F55" s="55" t="s">
        <v>50</v>
      </c>
      <c r="G55" s="55" t="s">
        <v>50</v>
      </c>
      <c r="H55" s="45" t="s">
        <v>248</v>
      </c>
      <c r="I55" s="45" t="s">
        <v>52</v>
      </c>
      <c r="J55" s="56"/>
      <c r="K55" s="55" t="s">
        <v>74</v>
      </c>
      <c r="L55" s="55" t="s">
        <v>54</v>
      </c>
      <c r="M55" s="55"/>
      <c r="N55" s="55" t="s">
        <v>249</v>
      </c>
      <c r="O55" s="55"/>
      <c r="P55" s="55" t="s">
        <v>75</v>
      </c>
      <c r="Q55" s="56" t="s">
        <v>57</v>
      </c>
      <c r="R55" s="55"/>
      <c r="S55" s="56" t="s">
        <v>58</v>
      </c>
      <c r="T55" s="55" t="str">
        <f>IF(ISNUMBER(SEARCH(",",N55)),"Y","N")</f>
        <v>N</v>
      </c>
      <c r="U55" s="57">
        <v>-999</v>
      </c>
      <c r="V55" s="57" t="s">
        <v>59</v>
      </c>
      <c r="W55" s="55" t="s">
        <v>2319</v>
      </c>
      <c r="X55" s="54" t="s">
        <v>4064</v>
      </c>
      <c r="Y55" s="52"/>
      <c r="Z55" s="3" t="s">
        <v>61</v>
      </c>
      <c r="AA55" s="3" t="s">
        <v>250</v>
      </c>
      <c r="AB55" s="3"/>
      <c r="AC55" s="3"/>
      <c r="AD55" s="3" t="s">
        <v>62</v>
      </c>
      <c r="AE55" s="3" t="s">
        <v>251</v>
      </c>
      <c r="AF55" s="3" t="s">
        <v>252</v>
      </c>
      <c r="AG55" s="3" t="s">
        <v>253</v>
      </c>
      <c r="AH55" s="58">
        <v>100</v>
      </c>
      <c r="AI55" s="3"/>
      <c r="AJ55" s="3"/>
      <c r="AK55" s="3"/>
      <c r="AL55" s="3"/>
      <c r="AM55" s="3"/>
      <c r="AN55" s="3"/>
      <c r="AO55" s="3"/>
      <c r="AP55" s="3"/>
      <c r="AQ55" s="3"/>
      <c r="AR55" s="3"/>
      <c r="AS55" s="3"/>
      <c r="AT55" s="3"/>
      <c r="AU55" s="3"/>
      <c r="AV55" s="3"/>
      <c r="AW55" s="3"/>
      <c r="AX55" s="3"/>
      <c r="AY55" s="3"/>
      <c r="AZ55" s="4" t="s">
        <v>247</v>
      </c>
      <c r="BA55" s="32"/>
      <c r="BB55" s="1"/>
      <c r="BC55" s="1"/>
    </row>
    <row r="56" spans="1:55" s="78" customFormat="1" ht="15" customHeight="1" x14ac:dyDescent="0.25">
      <c r="A56" s="52" t="s">
        <v>4065</v>
      </c>
      <c r="B56" s="1" t="s">
        <v>59</v>
      </c>
      <c r="C56" s="53">
        <v>2026</v>
      </c>
      <c r="D56" s="53">
        <v>2026</v>
      </c>
      <c r="E56" s="54" t="s">
        <v>2923</v>
      </c>
      <c r="F56" s="55" t="s">
        <v>50</v>
      </c>
      <c r="G56" s="55" t="s">
        <v>50</v>
      </c>
      <c r="H56" s="45" t="s">
        <v>3988</v>
      </c>
      <c r="I56" s="56" t="s">
        <v>52</v>
      </c>
      <c r="J56" s="45"/>
      <c r="K56" s="56" t="s">
        <v>346</v>
      </c>
      <c r="L56" s="45"/>
      <c r="M56" s="45"/>
      <c r="N56" s="45"/>
      <c r="O56" s="45" t="s">
        <v>3998</v>
      </c>
      <c r="P56" s="56" t="s">
        <v>89</v>
      </c>
      <c r="Q56" s="55" t="s">
        <v>89</v>
      </c>
      <c r="R56" s="45"/>
      <c r="S56" s="56" t="s">
        <v>58</v>
      </c>
      <c r="T56" s="55" t="s">
        <v>58</v>
      </c>
      <c r="U56" s="45">
        <v>-999</v>
      </c>
      <c r="V56" s="57" t="s">
        <v>59</v>
      </c>
      <c r="W56" s="45"/>
      <c r="X56" s="54" t="s">
        <v>4065</v>
      </c>
      <c r="Y56" s="59"/>
      <c r="Z56" s="3" t="s">
        <v>61</v>
      </c>
      <c r="AA56" s="1" t="s">
        <v>3989</v>
      </c>
      <c r="AB56" s="2"/>
      <c r="AC56" s="2"/>
      <c r="AD56" s="3" t="s">
        <v>62</v>
      </c>
      <c r="AE56" s="3" t="s">
        <v>1612</v>
      </c>
      <c r="AF56" s="2" t="s">
        <v>3990</v>
      </c>
      <c r="AG56" s="1" t="s">
        <v>3996</v>
      </c>
      <c r="AH56" s="59">
        <v>100</v>
      </c>
      <c r="AI56" s="2"/>
      <c r="AJ56" s="2"/>
      <c r="AK56" s="2"/>
      <c r="AL56" s="59"/>
      <c r="AM56" s="2"/>
      <c r="AN56" s="59"/>
      <c r="AO56" s="2"/>
      <c r="AP56" s="59"/>
      <c r="AQ56" s="2"/>
      <c r="AR56" s="59"/>
      <c r="AS56" s="2"/>
      <c r="AT56" s="59"/>
      <c r="AU56" s="2"/>
      <c r="AV56" s="59"/>
      <c r="AW56" s="2"/>
      <c r="AX56" s="59"/>
      <c r="AY56" s="2"/>
      <c r="AZ56" s="4" t="s">
        <v>3991</v>
      </c>
      <c r="BA56" s="2"/>
      <c r="BB56" s="2"/>
      <c r="BC56" s="2"/>
    </row>
    <row r="57" spans="1:55" s="78" customFormat="1" ht="15" customHeight="1" x14ac:dyDescent="0.25">
      <c r="A57" s="52" t="s">
        <v>4066</v>
      </c>
      <c r="B57" s="34" t="s">
        <v>59</v>
      </c>
      <c r="C57" s="53">
        <v>2026</v>
      </c>
      <c r="D57" s="53">
        <v>2026</v>
      </c>
      <c r="E57" s="54" t="s">
        <v>2923</v>
      </c>
      <c r="F57" s="55" t="s">
        <v>50</v>
      </c>
      <c r="G57" s="55" t="s">
        <v>50</v>
      </c>
      <c r="H57" s="45" t="s">
        <v>3988</v>
      </c>
      <c r="I57" s="56" t="s">
        <v>52</v>
      </c>
      <c r="J57" s="45"/>
      <c r="K57" s="56" t="s">
        <v>633</v>
      </c>
      <c r="L57" s="45"/>
      <c r="M57" s="45"/>
      <c r="N57" s="56" t="s">
        <v>418</v>
      </c>
      <c r="O57" s="45"/>
      <c r="P57" s="56" t="s">
        <v>89</v>
      </c>
      <c r="Q57" s="61" t="s">
        <v>89</v>
      </c>
      <c r="R57" s="45"/>
      <c r="S57" s="56" t="s">
        <v>58</v>
      </c>
      <c r="T57" s="55" t="s">
        <v>58</v>
      </c>
      <c r="U57" s="45">
        <v>-999</v>
      </c>
      <c r="V57" s="57" t="s">
        <v>59</v>
      </c>
      <c r="W57" s="45"/>
      <c r="X57" s="54" t="s">
        <v>4066</v>
      </c>
      <c r="Y57" s="59"/>
      <c r="Z57" s="3" t="s">
        <v>61</v>
      </c>
      <c r="AA57" s="1" t="s">
        <v>3989</v>
      </c>
      <c r="AB57" s="2"/>
      <c r="AC57" s="2"/>
      <c r="AD57" s="3" t="s">
        <v>62</v>
      </c>
      <c r="AE57" s="3" t="s">
        <v>1612</v>
      </c>
      <c r="AF57" s="2" t="s">
        <v>3990</v>
      </c>
      <c r="AG57" s="1" t="s">
        <v>3996</v>
      </c>
      <c r="AH57" s="59">
        <v>100</v>
      </c>
      <c r="AI57" s="2"/>
      <c r="AJ57" s="2"/>
      <c r="AK57" s="2"/>
      <c r="AL57" s="59"/>
      <c r="AM57" s="2"/>
      <c r="AN57" s="59"/>
      <c r="AO57" s="2"/>
      <c r="AP57" s="59"/>
      <c r="AQ57" s="2"/>
      <c r="AR57" s="59"/>
      <c r="AS57" s="2"/>
      <c r="AT57" s="59"/>
      <c r="AU57" s="2"/>
      <c r="AV57" s="59"/>
      <c r="AW57" s="2"/>
      <c r="AX57" s="59"/>
      <c r="AY57" s="2"/>
      <c r="AZ57" s="4" t="s">
        <v>3992</v>
      </c>
      <c r="BA57" s="2"/>
      <c r="BB57" s="2"/>
      <c r="BC57" s="2"/>
    </row>
    <row r="58" spans="1:55" s="78" customFormat="1" ht="15" customHeight="1" x14ac:dyDescent="0.25">
      <c r="A58" s="52" t="s">
        <v>4067</v>
      </c>
      <c r="B58" s="34" t="s">
        <v>59</v>
      </c>
      <c r="C58" s="53">
        <v>2026</v>
      </c>
      <c r="D58" s="53">
        <v>2026</v>
      </c>
      <c r="E58" s="54" t="s">
        <v>2923</v>
      </c>
      <c r="F58" s="55" t="s">
        <v>50</v>
      </c>
      <c r="G58" s="55" t="s">
        <v>50</v>
      </c>
      <c r="H58" s="45" t="s">
        <v>3988</v>
      </c>
      <c r="I58" s="56" t="s">
        <v>52</v>
      </c>
      <c r="J58" s="45"/>
      <c r="K58" s="56" t="s">
        <v>633</v>
      </c>
      <c r="L58" s="45"/>
      <c r="M58" s="45"/>
      <c r="N58" s="45" t="s">
        <v>2398</v>
      </c>
      <c r="O58" s="45"/>
      <c r="P58" s="56" t="s">
        <v>89</v>
      </c>
      <c r="Q58" s="55" t="s">
        <v>89</v>
      </c>
      <c r="R58" s="45"/>
      <c r="S58" s="56" t="s">
        <v>58</v>
      </c>
      <c r="T58" s="55" t="s">
        <v>58</v>
      </c>
      <c r="U58" s="45">
        <v>-999</v>
      </c>
      <c r="V58" s="57" t="s">
        <v>59</v>
      </c>
      <c r="W58" s="45"/>
      <c r="X58" s="54" t="s">
        <v>4067</v>
      </c>
      <c r="Y58" s="59"/>
      <c r="Z58" s="3" t="s">
        <v>61</v>
      </c>
      <c r="AA58" s="1" t="s">
        <v>3989</v>
      </c>
      <c r="AB58" s="2"/>
      <c r="AC58" s="2"/>
      <c r="AD58" s="3" t="s">
        <v>62</v>
      </c>
      <c r="AE58" s="3" t="s">
        <v>1612</v>
      </c>
      <c r="AF58" s="2" t="s">
        <v>3990</v>
      </c>
      <c r="AG58" s="1" t="s">
        <v>3996</v>
      </c>
      <c r="AH58" s="59">
        <v>100</v>
      </c>
      <c r="AI58" s="2"/>
      <c r="AJ58" s="2"/>
      <c r="AK58" s="2"/>
      <c r="AL58" s="59"/>
      <c r="AM58" s="2"/>
      <c r="AN58" s="59"/>
      <c r="AO58" s="2"/>
      <c r="AP58" s="59"/>
      <c r="AQ58" s="2"/>
      <c r="AR58" s="59"/>
      <c r="AS58" s="2"/>
      <c r="AT58" s="59"/>
      <c r="AU58" s="2"/>
      <c r="AV58" s="59"/>
      <c r="AW58" s="2"/>
      <c r="AX58" s="59"/>
      <c r="AY58" s="2"/>
      <c r="AZ58" s="4" t="s">
        <v>3992</v>
      </c>
      <c r="BA58" s="2"/>
      <c r="BB58" s="2"/>
      <c r="BC58" s="2"/>
    </row>
    <row r="59" spans="1:55" s="78" customFormat="1" ht="15" customHeight="1" x14ac:dyDescent="0.25">
      <c r="A59" s="52" t="s">
        <v>4068</v>
      </c>
      <c r="B59" s="34" t="s">
        <v>59</v>
      </c>
      <c r="C59" s="53">
        <v>2026</v>
      </c>
      <c r="D59" s="53">
        <v>2026</v>
      </c>
      <c r="E59" s="54" t="s">
        <v>2924</v>
      </c>
      <c r="F59" s="55" t="s">
        <v>50</v>
      </c>
      <c r="G59" s="55" t="s">
        <v>50</v>
      </c>
      <c r="H59" s="45" t="s">
        <v>255</v>
      </c>
      <c r="I59" s="61" t="s">
        <v>52</v>
      </c>
      <c r="J59" s="56"/>
      <c r="K59" s="55" t="s">
        <v>126</v>
      </c>
      <c r="L59" s="55"/>
      <c r="M59" s="55" t="s">
        <v>113</v>
      </c>
      <c r="N59" s="55" t="s">
        <v>127</v>
      </c>
      <c r="O59" s="55" t="s">
        <v>243</v>
      </c>
      <c r="P59" s="55" t="s">
        <v>129</v>
      </c>
      <c r="Q59" s="56" t="s">
        <v>57</v>
      </c>
      <c r="R59" s="55"/>
      <c r="S59" s="56" t="s">
        <v>58</v>
      </c>
      <c r="T59" s="55" t="s">
        <v>81</v>
      </c>
      <c r="U59" s="57">
        <v>1250</v>
      </c>
      <c r="V59" s="57" t="s">
        <v>101</v>
      </c>
      <c r="W59" s="55" t="s">
        <v>106</v>
      </c>
      <c r="X59" s="54" t="s">
        <v>4068</v>
      </c>
      <c r="Y59" s="52"/>
      <c r="Z59" s="3" t="s">
        <v>61</v>
      </c>
      <c r="AA59" s="3" t="s">
        <v>256</v>
      </c>
      <c r="AB59" s="3"/>
      <c r="AC59" s="3"/>
      <c r="AD59" s="3" t="s">
        <v>62</v>
      </c>
      <c r="AE59" s="3" t="s">
        <v>257</v>
      </c>
      <c r="AF59" s="3"/>
      <c r="AG59" s="3" t="s">
        <v>258</v>
      </c>
      <c r="AH59" s="58">
        <v>100</v>
      </c>
      <c r="AI59" s="3"/>
      <c r="AJ59" s="3"/>
      <c r="AK59" s="3"/>
      <c r="AL59" s="3"/>
      <c r="AM59" s="3"/>
      <c r="AN59" s="3"/>
      <c r="AO59" s="3"/>
      <c r="AP59" s="3"/>
      <c r="AQ59" s="3"/>
      <c r="AR59" s="3"/>
      <c r="AS59" s="3"/>
      <c r="AT59" s="3"/>
      <c r="AU59" s="3"/>
      <c r="AV59" s="3"/>
      <c r="AW59" s="3"/>
      <c r="AX59" s="3"/>
      <c r="AY59" s="3"/>
      <c r="AZ59" s="4" t="s">
        <v>254</v>
      </c>
      <c r="BA59" s="3"/>
      <c r="BB59" s="1"/>
      <c r="BC59" s="1"/>
    </row>
    <row r="60" spans="1:55" s="78" customFormat="1" ht="15" customHeight="1" x14ac:dyDescent="0.25">
      <c r="A60" s="52" t="s">
        <v>4069</v>
      </c>
      <c r="B60" s="34" t="s">
        <v>59</v>
      </c>
      <c r="C60" s="53">
        <v>2026</v>
      </c>
      <c r="D60" s="53">
        <v>2026</v>
      </c>
      <c r="E60" s="54" t="s">
        <v>2924</v>
      </c>
      <c r="F60" s="55" t="s">
        <v>50</v>
      </c>
      <c r="G60" s="55" t="s">
        <v>50</v>
      </c>
      <c r="H60" s="45" t="s">
        <v>255</v>
      </c>
      <c r="I60" s="61" t="s">
        <v>52</v>
      </c>
      <c r="J60" s="56"/>
      <c r="K60" s="55" t="s">
        <v>135</v>
      </c>
      <c r="L60" s="55" t="s">
        <v>54</v>
      </c>
      <c r="M60" s="55" t="s">
        <v>113</v>
      </c>
      <c r="N60" s="55" t="s">
        <v>243</v>
      </c>
      <c r="O60" s="55"/>
      <c r="P60" s="55" t="s">
        <v>136</v>
      </c>
      <c r="Q60" s="55" t="s">
        <v>57</v>
      </c>
      <c r="R60" s="55"/>
      <c r="S60" s="56" t="s">
        <v>58</v>
      </c>
      <c r="T60" s="55" t="s">
        <v>81</v>
      </c>
      <c r="U60" s="57">
        <v>1250</v>
      </c>
      <c r="V60" s="57" t="s">
        <v>101</v>
      </c>
      <c r="W60" s="55" t="s">
        <v>106</v>
      </c>
      <c r="X60" s="54" t="s">
        <v>4069</v>
      </c>
      <c r="Y60" s="52"/>
      <c r="Z60" s="3" t="s">
        <v>61</v>
      </c>
      <c r="AA60" s="3" t="s">
        <v>256</v>
      </c>
      <c r="AB60" s="3"/>
      <c r="AC60" s="3"/>
      <c r="AD60" s="3" t="s">
        <v>62</v>
      </c>
      <c r="AE60" s="3" t="s">
        <v>257</v>
      </c>
      <c r="AF60" s="3"/>
      <c r="AG60" s="3" t="s">
        <v>258</v>
      </c>
      <c r="AH60" s="58">
        <v>100</v>
      </c>
      <c r="AI60" s="3"/>
      <c r="AJ60" s="3"/>
      <c r="AK60" s="3"/>
      <c r="AL60" s="3"/>
      <c r="AM60" s="3"/>
      <c r="AN60" s="3"/>
      <c r="AO60" s="3"/>
      <c r="AP60" s="3"/>
      <c r="AQ60" s="3"/>
      <c r="AR60" s="3"/>
      <c r="AS60" s="3"/>
      <c r="AT60" s="3"/>
      <c r="AU60" s="3"/>
      <c r="AV60" s="3"/>
      <c r="AW60" s="3"/>
      <c r="AX60" s="3"/>
      <c r="AY60" s="3"/>
      <c r="AZ60" s="4" t="s">
        <v>254</v>
      </c>
      <c r="BA60" s="3"/>
      <c r="BB60" s="1"/>
      <c r="BC60" s="1"/>
    </row>
    <row r="61" spans="1:55" s="78" customFormat="1" ht="15" customHeight="1" x14ac:dyDescent="0.25">
      <c r="A61" s="52" t="s">
        <v>4070</v>
      </c>
      <c r="B61" s="34" t="s">
        <v>59</v>
      </c>
      <c r="C61" s="53">
        <v>2026</v>
      </c>
      <c r="D61" s="53">
        <v>2026</v>
      </c>
      <c r="E61" s="54" t="s">
        <v>2924</v>
      </c>
      <c r="F61" s="55" t="s">
        <v>50</v>
      </c>
      <c r="G61" s="55" t="s">
        <v>50</v>
      </c>
      <c r="H61" s="45" t="s">
        <v>255</v>
      </c>
      <c r="I61" s="61" t="s">
        <v>52</v>
      </c>
      <c r="J61" s="56"/>
      <c r="K61" s="55" t="s">
        <v>137</v>
      </c>
      <c r="L61" s="55" t="s">
        <v>54</v>
      </c>
      <c r="M61" s="55" t="s">
        <v>113</v>
      </c>
      <c r="N61" s="55" t="s">
        <v>243</v>
      </c>
      <c r="O61" s="55"/>
      <c r="P61" s="55" t="s">
        <v>138</v>
      </c>
      <c r="Q61" s="55" t="s">
        <v>57</v>
      </c>
      <c r="R61" s="55"/>
      <c r="S61" s="56" t="s">
        <v>58</v>
      </c>
      <c r="T61" s="55" t="s">
        <v>81</v>
      </c>
      <c r="U61" s="57">
        <v>10000</v>
      </c>
      <c r="V61" s="57" t="s">
        <v>101</v>
      </c>
      <c r="W61" s="55" t="s">
        <v>106</v>
      </c>
      <c r="X61" s="54" t="s">
        <v>4070</v>
      </c>
      <c r="Y61" s="52"/>
      <c r="Z61" s="3" t="s">
        <v>61</v>
      </c>
      <c r="AA61" s="3" t="s">
        <v>256</v>
      </c>
      <c r="AB61" s="3"/>
      <c r="AC61" s="3"/>
      <c r="AD61" s="3" t="s">
        <v>62</v>
      </c>
      <c r="AE61" s="3" t="s">
        <v>257</v>
      </c>
      <c r="AF61" s="3"/>
      <c r="AG61" s="3" t="s">
        <v>258</v>
      </c>
      <c r="AH61" s="58">
        <v>100</v>
      </c>
      <c r="AI61" s="3"/>
      <c r="AJ61" s="3"/>
      <c r="AK61" s="3"/>
      <c r="AL61" s="3"/>
      <c r="AM61" s="3"/>
      <c r="AN61" s="3"/>
      <c r="AO61" s="3"/>
      <c r="AP61" s="3"/>
      <c r="AQ61" s="3"/>
      <c r="AR61" s="3"/>
      <c r="AS61" s="3"/>
      <c r="AT61" s="3"/>
      <c r="AU61" s="3"/>
      <c r="AV61" s="3"/>
      <c r="AW61" s="3"/>
      <c r="AX61" s="3"/>
      <c r="AY61" s="3"/>
      <c r="AZ61" s="4" t="s">
        <v>254</v>
      </c>
      <c r="BA61" s="3"/>
      <c r="BB61" s="1"/>
      <c r="BC61" s="1"/>
    </row>
    <row r="62" spans="1:55" s="78" customFormat="1" ht="15" customHeight="1" x14ac:dyDescent="0.25">
      <c r="A62" s="52" t="s">
        <v>4071</v>
      </c>
      <c r="B62" s="34" t="s">
        <v>59</v>
      </c>
      <c r="C62" s="53">
        <v>2026</v>
      </c>
      <c r="D62" s="53">
        <v>2026</v>
      </c>
      <c r="E62" s="54" t="s">
        <v>2925</v>
      </c>
      <c r="F62" s="55" t="s">
        <v>50</v>
      </c>
      <c r="G62" s="55" t="s">
        <v>50</v>
      </c>
      <c r="H62" s="45" t="s">
        <v>260</v>
      </c>
      <c r="I62" s="61" t="s">
        <v>52</v>
      </c>
      <c r="J62" s="56"/>
      <c r="K62" s="55" t="s">
        <v>126</v>
      </c>
      <c r="L62" s="55"/>
      <c r="M62" s="55" t="s">
        <v>113</v>
      </c>
      <c r="N62" s="55" t="s">
        <v>358</v>
      </c>
      <c r="O62" s="55" t="s">
        <v>201</v>
      </c>
      <c r="P62" s="55" t="s">
        <v>129</v>
      </c>
      <c r="Q62" s="56" t="s">
        <v>57</v>
      </c>
      <c r="R62" s="55"/>
      <c r="S62" s="56" t="s">
        <v>58</v>
      </c>
      <c r="T62" s="55" t="s">
        <v>81</v>
      </c>
      <c r="U62" s="57">
        <v>-999</v>
      </c>
      <c r="V62" s="57" t="s">
        <v>59</v>
      </c>
      <c r="W62" s="55" t="s">
        <v>2319</v>
      </c>
      <c r="X62" s="54" t="s">
        <v>4071</v>
      </c>
      <c r="Y62" s="52"/>
      <c r="Z62" s="3" t="s">
        <v>61</v>
      </c>
      <c r="AA62" s="3" t="s">
        <v>261</v>
      </c>
      <c r="AB62" s="3"/>
      <c r="AC62" s="3"/>
      <c r="AD62" s="3" t="s">
        <v>62</v>
      </c>
      <c r="AE62" s="3" t="s">
        <v>262</v>
      </c>
      <c r="AF62" s="3"/>
      <c r="AG62" s="3" t="s">
        <v>258</v>
      </c>
      <c r="AH62" s="58">
        <v>100</v>
      </c>
      <c r="AI62" s="3"/>
      <c r="AJ62" s="3"/>
      <c r="AK62" s="3"/>
      <c r="AL62" s="3"/>
      <c r="AM62" s="3"/>
      <c r="AN62" s="3"/>
      <c r="AO62" s="3"/>
      <c r="AP62" s="3"/>
      <c r="AQ62" s="3"/>
      <c r="AR62" s="3"/>
      <c r="AS62" s="3"/>
      <c r="AT62" s="3"/>
      <c r="AU62" s="3"/>
      <c r="AV62" s="3"/>
      <c r="AW62" s="3"/>
      <c r="AX62" s="3"/>
      <c r="AY62" s="3"/>
      <c r="AZ62" s="4" t="s">
        <v>259</v>
      </c>
      <c r="BA62" s="3"/>
      <c r="BB62" s="1"/>
      <c r="BC62" s="1"/>
    </row>
    <row r="63" spans="1:55" s="78" customFormat="1" ht="15" customHeight="1" x14ac:dyDescent="0.25">
      <c r="A63" s="52" t="s">
        <v>4072</v>
      </c>
      <c r="B63" s="34" t="s">
        <v>59</v>
      </c>
      <c r="C63" s="53">
        <v>2026</v>
      </c>
      <c r="D63" s="53">
        <v>2026</v>
      </c>
      <c r="E63" s="54" t="s">
        <v>2925</v>
      </c>
      <c r="F63" s="55" t="s">
        <v>50</v>
      </c>
      <c r="G63" s="55" t="s">
        <v>50</v>
      </c>
      <c r="H63" s="45" t="s">
        <v>260</v>
      </c>
      <c r="I63" s="61" t="s">
        <v>52</v>
      </c>
      <c r="J63" s="56"/>
      <c r="K63" s="55" t="s">
        <v>135</v>
      </c>
      <c r="L63" s="55" t="s">
        <v>54</v>
      </c>
      <c r="M63" s="55" t="s">
        <v>113</v>
      </c>
      <c r="N63" s="55" t="s">
        <v>358</v>
      </c>
      <c r="O63" s="55" t="s">
        <v>201</v>
      </c>
      <c r="P63" s="55" t="s">
        <v>136</v>
      </c>
      <c r="Q63" s="55" t="s">
        <v>57</v>
      </c>
      <c r="R63" s="55"/>
      <c r="S63" s="56" t="s">
        <v>58</v>
      </c>
      <c r="T63" s="55" t="s">
        <v>81</v>
      </c>
      <c r="U63" s="57">
        <v>-999</v>
      </c>
      <c r="V63" s="57" t="s">
        <v>59</v>
      </c>
      <c r="W63" s="55" t="s">
        <v>2319</v>
      </c>
      <c r="X63" s="54" t="s">
        <v>4072</v>
      </c>
      <c r="Y63" s="52"/>
      <c r="Z63" s="3" t="s">
        <v>61</v>
      </c>
      <c r="AA63" s="3" t="s">
        <v>261</v>
      </c>
      <c r="AB63" s="3"/>
      <c r="AC63" s="3"/>
      <c r="AD63" s="3" t="s">
        <v>62</v>
      </c>
      <c r="AE63" s="3" t="s">
        <v>262</v>
      </c>
      <c r="AF63" s="3"/>
      <c r="AG63" s="3" t="s">
        <v>258</v>
      </c>
      <c r="AH63" s="58">
        <v>100</v>
      </c>
      <c r="AI63" s="3"/>
      <c r="AJ63" s="3"/>
      <c r="AK63" s="3"/>
      <c r="AL63" s="3"/>
      <c r="AM63" s="3"/>
      <c r="AN63" s="3"/>
      <c r="AO63" s="3"/>
      <c r="AP63" s="3"/>
      <c r="AQ63" s="3"/>
      <c r="AR63" s="3"/>
      <c r="AS63" s="3"/>
      <c r="AT63" s="3"/>
      <c r="AU63" s="3"/>
      <c r="AV63" s="3"/>
      <c r="AW63" s="3"/>
      <c r="AX63" s="3"/>
      <c r="AY63" s="3"/>
      <c r="AZ63" s="4" t="s">
        <v>259</v>
      </c>
      <c r="BA63" s="3"/>
      <c r="BB63" s="1"/>
      <c r="BC63" s="1"/>
    </row>
    <row r="64" spans="1:55" s="78" customFormat="1" ht="15" customHeight="1" x14ac:dyDescent="0.25">
      <c r="A64" s="52" t="s">
        <v>4073</v>
      </c>
      <c r="B64" s="34" t="s">
        <v>59</v>
      </c>
      <c r="C64" s="53">
        <v>2026</v>
      </c>
      <c r="D64" s="53">
        <v>2026</v>
      </c>
      <c r="E64" s="54" t="s">
        <v>2925</v>
      </c>
      <c r="F64" s="55" t="s">
        <v>50</v>
      </c>
      <c r="G64" s="55" t="s">
        <v>50</v>
      </c>
      <c r="H64" s="45" t="s">
        <v>260</v>
      </c>
      <c r="I64" s="61" t="s">
        <v>52</v>
      </c>
      <c r="J64" s="56"/>
      <c r="K64" s="55" t="s">
        <v>137</v>
      </c>
      <c r="L64" s="55" t="s">
        <v>54</v>
      </c>
      <c r="M64" s="55" t="s">
        <v>113</v>
      </c>
      <c r="N64" s="55" t="s">
        <v>358</v>
      </c>
      <c r="O64" s="55" t="s">
        <v>201</v>
      </c>
      <c r="P64" s="55" t="s">
        <v>138</v>
      </c>
      <c r="Q64" s="55" t="s">
        <v>57</v>
      </c>
      <c r="R64" s="55"/>
      <c r="S64" s="56" t="s">
        <v>58</v>
      </c>
      <c r="T64" s="55" t="s">
        <v>81</v>
      </c>
      <c r="U64" s="57">
        <v>-999</v>
      </c>
      <c r="V64" s="57" t="s">
        <v>59</v>
      </c>
      <c r="W64" s="55" t="s">
        <v>2319</v>
      </c>
      <c r="X64" s="54" t="s">
        <v>4073</v>
      </c>
      <c r="Y64" s="52"/>
      <c r="Z64" s="3" t="s">
        <v>61</v>
      </c>
      <c r="AA64" s="3" t="s">
        <v>261</v>
      </c>
      <c r="AB64" s="3"/>
      <c r="AC64" s="3"/>
      <c r="AD64" s="3" t="s">
        <v>62</v>
      </c>
      <c r="AE64" s="3" t="s">
        <v>262</v>
      </c>
      <c r="AF64" s="3"/>
      <c r="AG64" s="3" t="s">
        <v>258</v>
      </c>
      <c r="AH64" s="58">
        <v>100</v>
      </c>
      <c r="AI64" s="3"/>
      <c r="AJ64" s="3"/>
      <c r="AK64" s="3"/>
      <c r="AL64" s="3"/>
      <c r="AM64" s="3"/>
      <c r="AN64" s="3"/>
      <c r="AO64" s="3"/>
      <c r="AP64" s="3"/>
      <c r="AQ64" s="3"/>
      <c r="AR64" s="3"/>
      <c r="AS64" s="3"/>
      <c r="AT64" s="3"/>
      <c r="AU64" s="3"/>
      <c r="AV64" s="3"/>
      <c r="AW64" s="3"/>
      <c r="AX64" s="3"/>
      <c r="AY64" s="3"/>
      <c r="AZ64" s="4" t="s">
        <v>259</v>
      </c>
      <c r="BA64" s="3"/>
      <c r="BB64" s="1"/>
      <c r="BC64" s="1"/>
    </row>
    <row r="65" spans="1:55" s="78" customFormat="1" ht="15" customHeight="1" x14ac:dyDescent="0.25">
      <c r="A65" s="52" t="s">
        <v>4074</v>
      </c>
      <c r="B65" s="34" t="s">
        <v>59</v>
      </c>
      <c r="C65" s="53">
        <v>2026</v>
      </c>
      <c r="D65" s="53">
        <v>2026</v>
      </c>
      <c r="E65" s="54" t="s">
        <v>2925</v>
      </c>
      <c r="F65" s="55" t="s">
        <v>50</v>
      </c>
      <c r="G65" s="55" t="s">
        <v>50</v>
      </c>
      <c r="H65" s="45" t="s">
        <v>260</v>
      </c>
      <c r="I65" s="61" t="s">
        <v>52</v>
      </c>
      <c r="J65" s="56"/>
      <c r="K65" s="55" t="s">
        <v>133</v>
      </c>
      <c r="L65" s="55" t="s">
        <v>54</v>
      </c>
      <c r="M65" s="55" t="s">
        <v>113</v>
      </c>
      <c r="N65" s="55" t="s">
        <v>240</v>
      </c>
      <c r="O65" s="55"/>
      <c r="P65" s="55" t="s">
        <v>134</v>
      </c>
      <c r="Q65" s="55" t="s">
        <v>57</v>
      </c>
      <c r="R65" s="55"/>
      <c r="S65" s="56" t="s">
        <v>58</v>
      </c>
      <c r="T65" s="55" t="s">
        <v>81</v>
      </c>
      <c r="U65" s="57">
        <v>560</v>
      </c>
      <c r="V65" s="57" t="s">
        <v>101</v>
      </c>
      <c r="W65" s="55" t="s">
        <v>2319</v>
      </c>
      <c r="X65" s="54" t="s">
        <v>4074</v>
      </c>
      <c r="Y65" s="52"/>
      <c r="Z65" s="3" t="s">
        <v>61</v>
      </c>
      <c r="AA65" s="3" t="s">
        <v>261</v>
      </c>
      <c r="AB65" s="3"/>
      <c r="AC65" s="3"/>
      <c r="AD65" s="3" t="s">
        <v>62</v>
      </c>
      <c r="AE65" s="3" t="s">
        <v>262</v>
      </c>
      <c r="AF65" s="3"/>
      <c r="AG65" s="3" t="s">
        <v>258</v>
      </c>
      <c r="AH65" s="58">
        <v>100</v>
      </c>
      <c r="AI65" s="3"/>
      <c r="AJ65" s="3"/>
      <c r="AK65" s="3"/>
      <c r="AL65" s="3"/>
      <c r="AM65" s="3"/>
      <c r="AN65" s="3"/>
      <c r="AO65" s="3"/>
      <c r="AP65" s="3"/>
      <c r="AQ65" s="3"/>
      <c r="AR65" s="3"/>
      <c r="AS65" s="3"/>
      <c r="AT65" s="3"/>
      <c r="AU65" s="3"/>
      <c r="AV65" s="3"/>
      <c r="AW65" s="3"/>
      <c r="AX65" s="3"/>
      <c r="AY65" s="3"/>
      <c r="AZ65" s="4" t="s">
        <v>259</v>
      </c>
      <c r="BA65" s="3"/>
      <c r="BB65" s="1"/>
      <c r="BC65" s="1"/>
    </row>
    <row r="66" spans="1:55" s="78" customFormat="1" ht="15" customHeight="1" x14ac:dyDescent="0.25">
      <c r="A66" s="52" t="s">
        <v>4075</v>
      </c>
      <c r="B66" s="34" t="s">
        <v>59</v>
      </c>
      <c r="C66" s="53">
        <v>2026</v>
      </c>
      <c r="D66" s="53">
        <v>2026</v>
      </c>
      <c r="E66" s="54" t="s">
        <v>2926</v>
      </c>
      <c r="F66" s="55" t="s">
        <v>50</v>
      </c>
      <c r="G66" s="55" t="s">
        <v>50</v>
      </c>
      <c r="H66" s="45" t="s">
        <v>263</v>
      </c>
      <c r="I66" s="56" t="s">
        <v>78</v>
      </c>
      <c r="J66" s="56"/>
      <c r="K66" s="56" t="s">
        <v>264</v>
      </c>
      <c r="L66" s="55" t="s">
        <v>88</v>
      </c>
      <c r="M66" s="55"/>
      <c r="N66" s="56" t="s">
        <v>110</v>
      </c>
      <c r="O66" s="56"/>
      <c r="P66" s="55" t="s">
        <v>265</v>
      </c>
      <c r="Q66" s="55" t="s">
        <v>57</v>
      </c>
      <c r="R66" s="55"/>
      <c r="S66" s="56" t="s">
        <v>81</v>
      </c>
      <c r="T66" s="55" t="str">
        <f>IF(ISNUMBER(SEARCH(",",N66)),"Y","N")</f>
        <v>N</v>
      </c>
      <c r="U66" s="57">
        <v>476</v>
      </c>
      <c r="V66" s="57" t="s">
        <v>101</v>
      </c>
      <c r="W66" s="55" t="s">
        <v>2319</v>
      </c>
      <c r="X66" s="54" t="s">
        <v>4075</v>
      </c>
      <c r="Y66" s="52"/>
      <c r="Z66" s="1" t="s">
        <v>61</v>
      </c>
      <c r="AA66" s="1" t="s">
        <v>266</v>
      </c>
      <c r="AB66" s="1"/>
      <c r="AC66" s="1"/>
      <c r="AD66" s="3" t="s">
        <v>62</v>
      </c>
      <c r="AE66" s="2" t="s">
        <v>83</v>
      </c>
      <c r="AF66" s="2"/>
      <c r="AG66" s="1" t="s">
        <v>267</v>
      </c>
      <c r="AH66" s="59">
        <v>50</v>
      </c>
      <c r="AI66" s="1" t="s">
        <v>268</v>
      </c>
      <c r="AJ66" s="59">
        <v>50</v>
      </c>
      <c r="AK66" s="1"/>
      <c r="AL66" s="60"/>
      <c r="AM66" s="1"/>
      <c r="AN66" s="60"/>
      <c r="AO66" s="1"/>
      <c r="AP66" s="60"/>
      <c r="AQ66" s="1"/>
      <c r="AR66" s="60"/>
      <c r="AS66" s="1"/>
      <c r="AT66" s="60"/>
      <c r="AU66" s="1"/>
      <c r="AV66" s="60"/>
      <c r="AW66" s="1"/>
      <c r="AX66" s="60"/>
      <c r="AY66" s="1"/>
      <c r="AZ66" s="2" t="s">
        <v>3816</v>
      </c>
      <c r="BA66" s="1" t="s">
        <v>3817</v>
      </c>
      <c r="BB66" s="1"/>
      <c r="BC66" s="1"/>
    </row>
    <row r="67" spans="1:55" s="78" customFormat="1" ht="15" customHeight="1" x14ac:dyDescent="0.25">
      <c r="A67" s="52" t="s">
        <v>4076</v>
      </c>
      <c r="B67" s="34" t="s">
        <v>59</v>
      </c>
      <c r="C67" s="53">
        <v>2026</v>
      </c>
      <c r="D67" s="53">
        <v>2026</v>
      </c>
      <c r="E67" s="54" t="s">
        <v>2927</v>
      </c>
      <c r="F67" s="55" t="s">
        <v>50</v>
      </c>
      <c r="G67" s="55" t="s">
        <v>50</v>
      </c>
      <c r="H67" s="45" t="s">
        <v>269</v>
      </c>
      <c r="I67" s="45" t="s">
        <v>52</v>
      </c>
      <c r="J67" s="56"/>
      <c r="K67" s="55" t="s">
        <v>140</v>
      </c>
      <c r="L67" s="55" t="s">
        <v>88</v>
      </c>
      <c r="M67" s="55"/>
      <c r="N67" s="55" t="s">
        <v>270</v>
      </c>
      <c r="O67" s="55"/>
      <c r="P67" s="55" t="s">
        <v>271</v>
      </c>
      <c r="Q67" s="55" t="s">
        <v>5353</v>
      </c>
      <c r="R67" s="55"/>
      <c r="S67" s="56" t="s">
        <v>81</v>
      </c>
      <c r="T67" s="55" t="str">
        <f>IF(ISNUMBER(SEARCH(",",N67)),"Y","N")</f>
        <v>N</v>
      </c>
      <c r="U67" s="57">
        <v>245000</v>
      </c>
      <c r="V67" s="57" t="s">
        <v>101</v>
      </c>
      <c r="W67" s="55" t="s">
        <v>2319</v>
      </c>
      <c r="X67" s="54" t="s">
        <v>4076</v>
      </c>
      <c r="Y67" s="52"/>
      <c r="Z67" s="3" t="s">
        <v>61</v>
      </c>
      <c r="AA67" s="3" t="s">
        <v>272</v>
      </c>
      <c r="AB67" s="3"/>
      <c r="AC67" s="3"/>
      <c r="AD67" s="3" t="s">
        <v>62</v>
      </c>
      <c r="AE67" s="3" t="s">
        <v>115</v>
      </c>
      <c r="AF67" s="3"/>
      <c r="AG67" s="3" t="s">
        <v>273</v>
      </c>
      <c r="AH67" s="58">
        <v>100</v>
      </c>
      <c r="AI67" s="3"/>
      <c r="AJ67" s="3"/>
      <c r="AK67" s="3"/>
      <c r="AL67" s="3"/>
      <c r="AM67" s="3"/>
      <c r="AN67" s="3"/>
      <c r="AO67" s="3"/>
      <c r="AP67" s="3"/>
      <c r="AQ67" s="3"/>
      <c r="AR67" s="3"/>
      <c r="AS67" s="3"/>
      <c r="AT67" s="3"/>
      <c r="AU67" s="3"/>
      <c r="AV67" s="3"/>
      <c r="AW67" s="3"/>
      <c r="AX67" s="3"/>
      <c r="AY67" s="3"/>
      <c r="AZ67" s="4" t="s">
        <v>139</v>
      </c>
      <c r="BA67" s="3"/>
      <c r="BB67" s="1"/>
      <c r="BC67" s="1"/>
    </row>
    <row r="68" spans="1:55" s="78" customFormat="1" ht="15" customHeight="1" x14ac:dyDescent="0.25">
      <c r="A68" s="52" t="s">
        <v>4077</v>
      </c>
      <c r="B68" s="34" t="s">
        <v>59</v>
      </c>
      <c r="C68" s="53">
        <v>2026</v>
      </c>
      <c r="D68" s="53">
        <v>2026</v>
      </c>
      <c r="E68" s="54" t="s">
        <v>2928</v>
      </c>
      <c r="F68" s="55" t="s">
        <v>50</v>
      </c>
      <c r="G68" s="55" t="s">
        <v>50</v>
      </c>
      <c r="H68" s="45" t="s">
        <v>275</v>
      </c>
      <c r="I68" s="56" t="s">
        <v>52</v>
      </c>
      <c r="J68" s="56"/>
      <c r="K68" s="55" t="s">
        <v>74</v>
      </c>
      <c r="L68" s="55" t="s">
        <v>54</v>
      </c>
      <c r="M68" s="55" t="s">
        <v>113</v>
      </c>
      <c r="N68" s="55" t="s">
        <v>276</v>
      </c>
      <c r="O68" s="55"/>
      <c r="P68" s="55" t="s">
        <v>75</v>
      </c>
      <c r="Q68" s="56" t="s">
        <v>57</v>
      </c>
      <c r="R68" s="55"/>
      <c r="S68" s="56" t="s">
        <v>58</v>
      </c>
      <c r="T68" s="55" t="s">
        <v>81</v>
      </c>
      <c r="U68" s="57">
        <v>-999</v>
      </c>
      <c r="V68" s="57" t="s">
        <v>59</v>
      </c>
      <c r="W68" s="55" t="s">
        <v>2319</v>
      </c>
      <c r="X68" s="54" t="s">
        <v>4077</v>
      </c>
      <c r="Y68" s="52"/>
      <c r="Z68" s="3" t="s">
        <v>61</v>
      </c>
      <c r="AA68" s="3" t="s">
        <v>277</v>
      </c>
      <c r="AB68" s="3"/>
      <c r="AC68" s="3"/>
      <c r="AD68" s="3" t="s">
        <v>62</v>
      </c>
      <c r="AE68" s="3" t="s">
        <v>63</v>
      </c>
      <c r="AF68" s="3"/>
      <c r="AG68" s="3" t="s">
        <v>278</v>
      </c>
      <c r="AH68" s="58">
        <v>100</v>
      </c>
      <c r="AI68" s="3"/>
      <c r="AJ68" s="3"/>
      <c r="AK68" s="3"/>
      <c r="AL68" s="3"/>
      <c r="AM68" s="3"/>
      <c r="AN68" s="3"/>
      <c r="AO68" s="3"/>
      <c r="AP68" s="3"/>
      <c r="AQ68" s="3"/>
      <c r="AR68" s="3"/>
      <c r="AS68" s="3"/>
      <c r="AT68" s="3"/>
      <c r="AU68" s="3"/>
      <c r="AV68" s="3"/>
      <c r="AW68" s="3"/>
      <c r="AX68" s="3"/>
      <c r="AY68" s="3"/>
      <c r="AZ68" s="4" t="s">
        <v>274</v>
      </c>
      <c r="BA68" s="32"/>
      <c r="BB68" s="1"/>
      <c r="BC68" s="1"/>
    </row>
    <row r="69" spans="1:55" s="78" customFormat="1" ht="15" customHeight="1" x14ac:dyDescent="0.25">
      <c r="A69" s="52" t="s">
        <v>4078</v>
      </c>
      <c r="B69" s="34" t="s">
        <v>59</v>
      </c>
      <c r="C69" s="53">
        <v>2026</v>
      </c>
      <c r="D69" s="53">
        <v>2026</v>
      </c>
      <c r="E69" s="54" t="s">
        <v>2929</v>
      </c>
      <c r="F69" s="55" t="s">
        <v>50</v>
      </c>
      <c r="G69" s="55" t="s">
        <v>50</v>
      </c>
      <c r="H69" s="45" t="s">
        <v>279</v>
      </c>
      <c r="I69" s="45" t="s">
        <v>52</v>
      </c>
      <c r="J69" s="56" t="s">
        <v>165</v>
      </c>
      <c r="K69" s="56" t="s">
        <v>166</v>
      </c>
      <c r="L69" s="55"/>
      <c r="M69" s="55"/>
      <c r="N69" s="56" t="s">
        <v>280</v>
      </c>
      <c r="O69" s="56"/>
      <c r="P69" s="56" t="s">
        <v>89</v>
      </c>
      <c r="Q69" s="56" t="s">
        <v>89</v>
      </c>
      <c r="R69" s="55"/>
      <c r="S69" s="56" t="s">
        <v>81</v>
      </c>
      <c r="T69" s="55" t="s">
        <v>81</v>
      </c>
      <c r="U69" s="57">
        <v>-999</v>
      </c>
      <c r="V69" s="57" t="s">
        <v>59</v>
      </c>
      <c r="W69" s="55" t="s">
        <v>2319</v>
      </c>
      <c r="X69" s="54" t="s">
        <v>4078</v>
      </c>
      <c r="Y69" s="52"/>
      <c r="Z69" s="1" t="s">
        <v>61</v>
      </c>
      <c r="AA69" s="1" t="s">
        <v>281</v>
      </c>
      <c r="AB69" s="1"/>
      <c r="AC69" s="1"/>
      <c r="AD69" s="3" t="s">
        <v>62</v>
      </c>
      <c r="AE69" s="3" t="s">
        <v>262</v>
      </c>
      <c r="AF69" s="3" t="s">
        <v>282</v>
      </c>
      <c r="AG69" s="3" t="s">
        <v>283</v>
      </c>
      <c r="AH69" s="58">
        <v>100</v>
      </c>
      <c r="AI69" s="1"/>
      <c r="AJ69" s="1"/>
      <c r="AK69" s="1"/>
      <c r="AL69" s="1"/>
      <c r="AM69" s="1"/>
      <c r="AN69" s="1"/>
      <c r="AO69" s="1"/>
      <c r="AP69" s="1"/>
      <c r="AQ69" s="1"/>
      <c r="AR69" s="1"/>
      <c r="AS69" s="1"/>
      <c r="AT69" s="1"/>
      <c r="AU69" s="1"/>
      <c r="AV69" s="1"/>
      <c r="AW69" s="1"/>
      <c r="AX69" s="1"/>
      <c r="AY69" s="1"/>
      <c r="AZ69" s="4" t="s">
        <v>163</v>
      </c>
      <c r="BA69" s="1"/>
      <c r="BB69" s="1"/>
      <c r="BC69" s="1"/>
    </row>
    <row r="70" spans="1:55" s="78" customFormat="1" ht="15" customHeight="1" x14ac:dyDescent="0.25">
      <c r="A70" s="52" t="s">
        <v>4079</v>
      </c>
      <c r="B70" s="34" t="s">
        <v>59</v>
      </c>
      <c r="C70" s="53">
        <v>2026</v>
      </c>
      <c r="D70" s="53">
        <v>2026</v>
      </c>
      <c r="E70" s="54" t="s">
        <v>2930</v>
      </c>
      <c r="F70" s="55" t="s">
        <v>50</v>
      </c>
      <c r="G70" s="55" t="s">
        <v>50</v>
      </c>
      <c r="H70" s="45" t="s">
        <v>3985</v>
      </c>
      <c r="I70" s="56" t="s">
        <v>52</v>
      </c>
      <c r="J70" s="56" t="s">
        <v>291</v>
      </c>
      <c r="K70" s="56" t="s">
        <v>291</v>
      </c>
      <c r="L70" s="55"/>
      <c r="M70" s="55"/>
      <c r="N70" s="56" t="s">
        <v>300</v>
      </c>
      <c r="O70" s="56"/>
      <c r="P70" s="56" t="s">
        <v>293</v>
      </c>
      <c r="Q70" s="55" t="s">
        <v>57</v>
      </c>
      <c r="R70" s="55"/>
      <c r="S70" s="56" t="s">
        <v>81</v>
      </c>
      <c r="T70" s="55" t="str">
        <f>IF(ISNUMBER(SEARCH(",",N70)),"Y","N")</f>
        <v>N</v>
      </c>
      <c r="U70" s="57">
        <v>1000000</v>
      </c>
      <c r="V70" s="57" t="s">
        <v>101</v>
      </c>
      <c r="W70" s="55"/>
      <c r="X70" s="54" t="s">
        <v>4079</v>
      </c>
      <c r="Y70" s="52"/>
      <c r="Z70" s="2" t="s">
        <v>61</v>
      </c>
      <c r="AA70" s="1" t="s">
        <v>287</v>
      </c>
      <c r="AB70" s="1"/>
      <c r="AC70" s="1"/>
      <c r="AD70" s="3" t="s">
        <v>62</v>
      </c>
      <c r="AE70" s="2" t="s">
        <v>288</v>
      </c>
      <c r="AF70" s="2"/>
      <c r="AG70" s="3" t="s">
        <v>294</v>
      </c>
      <c r="AH70" s="58">
        <v>100</v>
      </c>
      <c r="AI70" s="1"/>
      <c r="AJ70" s="1"/>
      <c r="AK70" s="1"/>
      <c r="AL70" s="1"/>
      <c r="AM70" s="1"/>
      <c r="AN70" s="1"/>
      <c r="AO70" s="1"/>
      <c r="AP70" s="1"/>
      <c r="AQ70" s="1"/>
      <c r="AR70" s="1"/>
      <c r="AS70" s="1"/>
      <c r="AT70" s="1"/>
      <c r="AU70" s="1"/>
      <c r="AV70" s="1"/>
      <c r="AW70" s="1"/>
      <c r="AX70" s="1"/>
      <c r="AY70" s="1"/>
      <c r="AZ70" s="2" t="s">
        <v>3818</v>
      </c>
      <c r="BA70" s="1" t="s">
        <v>3819</v>
      </c>
      <c r="BB70" s="1"/>
      <c r="BC70" s="1"/>
    </row>
    <row r="71" spans="1:55" s="78" customFormat="1" ht="15" customHeight="1" x14ac:dyDescent="0.25">
      <c r="A71" s="52" t="s">
        <v>4080</v>
      </c>
      <c r="B71" s="34" t="s">
        <v>59</v>
      </c>
      <c r="C71" s="53">
        <v>2026</v>
      </c>
      <c r="D71" s="53">
        <v>2026</v>
      </c>
      <c r="E71" s="54" t="s">
        <v>2930</v>
      </c>
      <c r="F71" s="55" t="s">
        <v>50</v>
      </c>
      <c r="G71" s="55" t="s">
        <v>50</v>
      </c>
      <c r="H71" s="45" t="s">
        <v>3985</v>
      </c>
      <c r="I71" s="45" t="s">
        <v>52</v>
      </c>
      <c r="J71" s="56"/>
      <c r="K71" s="55" t="s">
        <v>210</v>
      </c>
      <c r="L71" s="55" t="s">
        <v>54</v>
      </c>
      <c r="M71" s="55"/>
      <c r="N71" s="55" t="s">
        <v>212</v>
      </c>
      <c r="O71" s="55"/>
      <c r="P71" s="55" t="s">
        <v>89</v>
      </c>
      <c r="Q71" s="55" t="s">
        <v>89</v>
      </c>
      <c r="R71" s="55"/>
      <c r="S71" s="56" t="s">
        <v>58</v>
      </c>
      <c r="T71" s="55" t="s">
        <v>81</v>
      </c>
      <c r="U71" s="57">
        <v>1200000</v>
      </c>
      <c r="V71" s="57" t="s">
        <v>101</v>
      </c>
      <c r="W71" s="55"/>
      <c r="X71" s="54" t="s">
        <v>4080</v>
      </c>
      <c r="Y71" s="52"/>
      <c r="Z71" s="3" t="s">
        <v>61</v>
      </c>
      <c r="AA71" s="1" t="s">
        <v>287</v>
      </c>
      <c r="AB71" s="1"/>
      <c r="AC71" s="1"/>
      <c r="AD71" s="3" t="s">
        <v>62</v>
      </c>
      <c r="AE71" s="3" t="s">
        <v>288</v>
      </c>
      <c r="AF71" s="1" t="s">
        <v>302</v>
      </c>
      <c r="AG71" s="3" t="s">
        <v>294</v>
      </c>
      <c r="AH71" s="2">
        <v>100</v>
      </c>
      <c r="AI71" s="1"/>
      <c r="AJ71" s="2"/>
      <c r="AK71" s="3"/>
      <c r="AL71" s="3"/>
      <c r="AM71" s="3"/>
      <c r="AN71" s="3"/>
      <c r="AO71" s="3"/>
      <c r="AP71" s="3"/>
      <c r="AQ71" s="3"/>
      <c r="AR71" s="3"/>
      <c r="AS71" s="3"/>
      <c r="AT71" s="3"/>
      <c r="AU71" s="3"/>
      <c r="AV71" s="3"/>
      <c r="AW71" s="3"/>
      <c r="AX71" s="3"/>
      <c r="AY71" s="3"/>
      <c r="AZ71" s="4" t="s">
        <v>301</v>
      </c>
      <c r="BA71" s="3"/>
      <c r="BB71" s="1"/>
      <c r="BC71" s="1"/>
    </row>
    <row r="72" spans="1:55" s="78" customFormat="1" ht="15" customHeight="1" x14ac:dyDescent="0.25">
      <c r="A72" s="52" t="s">
        <v>4081</v>
      </c>
      <c r="B72" s="34" t="s">
        <v>59</v>
      </c>
      <c r="C72" s="53">
        <v>2026</v>
      </c>
      <c r="D72" s="53">
        <v>2026</v>
      </c>
      <c r="E72" s="54" t="s">
        <v>2932</v>
      </c>
      <c r="F72" s="55" t="s">
        <v>50</v>
      </c>
      <c r="G72" s="55" t="s">
        <v>50</v>
      </c>
      <c r="H72" s="45" t="s">
        <v>3986</v>
      </c>
      <c r="I72" s="56" t="s">
        <v>52</v>
      </c>
      <c r="J72" s="56"/>
      <c r="K72" s="45" t="s">
        <v>285</v>
      </c>
      <c r="L72" s="55" t="str">
        <f>IF(K72="Mine or Quarry","Mine","")</f>
        <v/>
      </c>
      <c r="M72" s="55"/>
      <c r="N72" s="56" t="s">
        <v>286</v>
      </c>
      <c r="O72" s="56"/>
      <c r="P72" s="55" t="s">
        <v>89</v>
      </c>
      <c r="Q72" s="55" t="s">
        <v>89</v>
      </c>
      <c r="R72" s="55"/>
      <c r="S72" s="56" t="s">
        <v>58</v>
      </c>
      <c r="T72" s="55" t="str">
        <f>IF(ISNUMBER(SEARCH(",",N72)),"Y","N")</f>
        <v>N</v>
      </c>
      <c r="U72" s="57">
        <v>40000</v>
      </c>
      <c r="V72" s="57" t="s">
        <v>101</v>
      </c>
      <c r="W72" s="55"/>
      <c r="X72" s="54" t="s">
        <v>4081</v>
      </c>
      <c r="Y72" s="52"/>
      <c r="Z72" s="1" t="s">
        <v>61</v>
      </c>
      <c r="AA72" s="1" t="s">
        <v>287</v>
      </c>
      <c r="AB72" s="1"/>
      <c r="AC72" s="1"/>
      <c r="AD72" s="3" t="s">
        <v>62</v>
      </c>
      <c r="AE72" s="1" t="s">
        <v>288</v>
      </c>
      <c r="AF72" s="1"/>
      <c r="AG72" s="1" t="s">
        <v>289</v>
      </c>
      <c r="AH72" s="2">
        <v>100</v>
      </c>
      <c r="AI72" s="1"/>
      <c r="AJ72" s="1"/>
      <c r="AK72" s="1"/>
      <c r="AL72" s="1"/>
      <c r="AM72" s="1"/>
      <c r="AN72" s="1"/>
      <c r="AO72" s="1"/>
      <c r="AP72" s="1"/>
      <c r="AQ72" s="1"/>
      <c r="AR72" s="1"/>
      <c r="AS72" s="1"/>
      <c r="AT72" s="1"/>
      <c r="AU72" s="1"/>
      <c r="AV72" s="1"/>
      <c r="AW72" s="1"/>
      <c r="AX72" s="1"/>
      <c r="AY72" s="1"/>
      <c r="AZ72" s="1" t="s">
        <v>284</v>
      </c>
      <c r="BA72" s="1"/>
      <c r="BB72" s="1"/>
      <c r="BC72" s="1"/>
    </row>
    <row r="73" spans="1:55" s="78" customFormat="1" ht="15" customHeight="1" x14ac:dyDescent="0.25">
      <c r="A73" s="52" t="s">
        <v>4082</v>
      </c>
      <c r="B73" s="34" t="s">
        <v>59</v>
      </c>
      <c r="C73" s="53">
        <v>2026</v>
      </c>
      <c r="D73" s="53">
        <v>2026</v>
      </c>
      <c r="E73" s="54" t="s">
        <v>2933</v>
      </c>
      <c r="F73" s="55" t="s">
        <v>50</v>
      </c>
      <c r="G73" s="55" t="s">
        <v>50</v>
      </c>
      <c r="H73" s="45" t="s">
        <v>290</v>
      </c>
      <c r="I73" s="56" t="s">
        <v>78</v>
      </c>
      <c r="J73" s="56"/>
      <c r="K73" s="45" t="s">
        <v>285</v>
      </c>
      <c r="L73" s="55"/>
      <c r="M73" s="55"/>
      <c r="N73" s="56" t="s">
        <v>181</v>
      </c>
      <c r="O73" s="56"/>
      <c r="P73" s="55" t="s">
        <v>89</v>
      </c>
      <c r="Q73" s="55" t="s">
        <v>89</v>
      </c>
      <c r="R73" s="55"/>
      <c r="S73" s="56" t="s">
        <v>58</v>
      </c>
      <c r="T73" s="55" t="s">
        <v>81</v>
      </c>
      <c r="U73" s="57">
        <v>-999</v>
      </c>
      <c r="V73" s="57" t="s">
        <v>59</v>
      </c>
      <c r="W73" s="55"/>
      <c r="X73" s="54" t="s">
        <v>4082</v>
      </c>
      <c r="Y73" s="52"/>
      <c r="Z73" s="1" t="s">
        <v>61</v>
      </c>
      <c r="AA73" s="1" t="s">
        <v>287</v>
      </c>
      <c r="AB73" s="1"/>
      <c r="AC73" s="1"/>
      <c r="AD73" s="3" t="s">
        <v>62</v>
      </c>
      <c r="AE73" s="1" t="s">
        <v>288</v>
      </c>
      <c r="AF73" s="1"/>
      <c r="AG73" s="3" t="s">
        <v>294</v>
      </c>
      <c r="AH73" s="2">
        <v>100</v>
      </c>
      <c r="AI73" s="1"/>
      <c r="AJ73" s="1"/>
      <c r="AK73" s="1"/>
      <c r="AL73" s="1"/>
      <c r="AM73" s="1"/>
      <c r="AN73" s="1"/>
      <c r="AO73" s="1"/>
      <c r="AP73" s="1"/>
      <c r="AQ73" s="1"/>
      <c r="AR73" s="1"/>
      <c r="AS73" s="1"/>
      <c r="AT73" s="1"/>
      <c r="AU73" s="1"/>
      <c r="AV73" s="1"/>
      <c r="AW73" s="1"/>
      <c r="AX73" s="1"/>
      <c r="AY73" s="1"/>
      <c r="AZ73" s="2" t="s">
        <v>3818</v>
      </c>
      <c r="BA73" s="1"/>
      <c r="BB73" s="1"/>
      <c r="BC73" s="1"/>
    </row>
    <row r="74" spans="1:55" s="78" customFormat="1" ht="15" customHeight="1" x14ac:dyDescent="0.25">
      <c r="A74" s="52" t="s">
        <v>4083</v>
      </c>
      <c r="B74" s="34" t="s">
        <v>59</v>
      </c>
      <c r="C74" s="53">
        <v>2026</v>
      </c>
      <c r="D74" s="53">
        <v>2026</v>
      </c>
      <c r="E74" s="54" t="s">
        <v>2933</v>
      </c>
      <c r="F74" s="55" t="s">
        <v>50</v>
      </c>
      <c r="G74" s="55" t="s">
        <v>50</v>
      </c>
      <c r="H74" s="45" t="s">
        <v>290</v>
      </c>
      <c r="I74" s="56" t="s">
        <v>78</v>
      </c>
      <c r="J74" s="56" t="s">
        <v>291</v>
      </c>
      <c r="K74" s="55" t="s">
        <v>292</v>
      </c>
      <c r="L74" s="55" t="str">
        <f>IF(K74="Mine or Quarry","Mine","")</f>
        <v/>
      </c>
      <c r="M74" s="55"/>
      <c r="N74" s="55" t="s">
        <v>181</v>
      </c>
      <c r="O74" s="55"/>
      <c r="P74" s="56" t="s">
        <v>293</v>
      </c>
      <c r="Q74" s="55" t="s">
        <v>57</v>
      </c>
      <c r="R74" s="55"/>
      <c r="S74" s="56" t="s">
        <v>81</v>
      </c>
      <c r="T74" s="55" t="str">
        <f t="shared" ref="T74:T92" si="2">IF(ISNUMBER(SEARCH(",",N74)),"Y","N")</f>
        <v>N</v>
      </c>
      <c r="U74" s="57">
        <v>1000000</v>
      </c>
      <c r="V74" s="57" t="s">
        <v>101</v>
      </c>
      <c r="W74" s="55"/>
      <c r="X74" s="54" t="s">
        <v>4083</v>
      </c>
      <c r="Y74" s="52"/>
      <c r="Z74" s="3" t="s">
        <v>61</v>
      </c>
      <c r="AA74" s="1" t="s">
        <v>287</v>
      </c>
      <c r="AB74" s="1"/>
      <c r="AC74" s="1"/>
      <c r="AD74" s="3" t="s">
        <v>62</v>
      </c>
      <c r="AE74" s="3" t="s">
        <v>288</v>
      </c>
      <c r="AF74" s="3"/>
      <c r="AG74" s="3" t="s">
        <v>294</v>
      </c>
      <c r="AH74" s="58">
        <v>100</v>
      </c>
      <c r="AI74" s="3"/>
      <c r="AJ74" s="3"/>
      <c r="AK74" s="3"/>
      <c r="AL74" s="3"/>
      <c r="AM74" s="3"/>
      <c r="AN74" s="3"/>
      <c r="AO74" s="3"/>
      <c r="AP74" s="3"/>
      <c r="AQ74" s="3"/>
      <c r="AR74" s="3"/>
      <c r="AS74" s="3"/>
      <c r="AT74" s="3"/>
      <c r="AU74" s="3"/>
      <c r="AV74" s="3"/>
      <c r="AW74" s="3"/>
      <c r="AX74" s="3"/>
      <c r="AY74" s="3"/>
      <c r="AZ74" s="2" t="s">
        <v>3818</v>
      </c>
      <c r="BA74" s="3" t="s">
        <v>3819</v>
      </c>
      <c r="BB74" s="1"/>
      <c r="BC74" s="1"/>
    </row>
    <row r="75" spans="1:55" s="78" customFormat="1" ht="15" customHeight="1" x14ac:dyDescent="0.25">
      <c r="A75" s="52" t="s">
        <v>4084</v>
      </c>
      <c r="B75" s="34" t="s">
        <v>59</v>
      </c>
      <c r="C75" s="53">
        <v>2026</v>
      </c>
      <c r="D75" s="53">
        <v>2026</v>
      </c>
      <c r="E75" s="54" t="s">
        <v>2934</v>
      </c>
      <c r="F75" s="55" t="s">
        <v>50</v>
      </c>
      <c r="G75" s="55" t="s">
        <v>50</v>
      </c>
      <c r="H75" s="45" t="s">
        <v>2931</v>
      </c>
      <c r="I75" s="56" t="s">
        <v>52</v>
      </c>
      <c r="J75" s="56"/>
      <c r="K75" s="55" t="s">
        <v>71</v>
      </c>
      <c r="L75" s="55" t="s">
        <v>54</v>
      </c>
      <c r="M75" s="55"/>
      <c r="N75" s="55" t="s">
        <v>110</v>
      </c>
      <c r="O75" s="45" t="s">
        <v>296</v>
      </c>
      <c r="P75" s="55" t="s">
        <v>73</v>
      </c>
      <c r="Q75" s="55" t="s">
        <v>57</v>
      </c>
      <c r="R75" s="55"/>
      <c r="S75" s="56" t="s">
        <v>58</v>
      </c>
      <c r="T75" s="55" t="str">
        <f t="shared" si="2"/>
        <v>N</v>
      </c>
      <c r="U75" s="57">
        <v>-999</v>
      </c>
      <c r="V75" s="57" t="s">
        <v>59</v>
      </c>
      <c r="W75" s="55"/>
      <c r="X75" s="54" t="s">
        <v>4084</v>
      </c>
      <c r="Y75" s="52"/>
      <c r="Z75" s="3" t="s">
        <v>2005</v>
      </c>
      <c r="AA75" s="3" t="s">
        <v>297</v>
      </c>
      <c r="AB75" s="3"/>
      <c r="AC75" s="3"/>
      <c r="AD75" s="3" t="s">
        <v>62</v>
      </c>
      <c r="AE75" s="3" t="s">
        <v>83</v>
      </c>
      <c r="AF75" s="1" t="s">
        <v>298</v>
      </c>
      <c r="AG75" s="1" t="s">
        <v>299</v>
      </c>
      <c r="AH75" s="59">
        <v>100</v>
      </c>
      <c r="AI75" s="3"/>
      <c r="AJ75" s="53"/>
      <c r="AK75" s="3"/>
      <c r="AL75" s="53"/>
      <c r="AM75" s="3"/>
      <c r="AN75" s="53"/>
      <c r="AO75" s="3"/>
      <c r="AP75" s="53"/>
      <c r="AQ75" s="3"/>
      <c r="AR75" s="53"/>
      <c r="AS75" s="3"/>
      <c r="AT75" s="53"/>
      <c r="AU75" s="3"/>
      <c r="AV75" s="53"/>
      <c r="AW75" s="3"/>
      <c r="AX75" s="53"/>
      <c r="AY75" s="3"/>
      <c r="AZ75" s="4" t="s">
        <v>295</v>
      </c>
      <c r="BA75" s="32"/>
      <c r="BB75" s="1"/>
      <c r="BC75" s="1"/>
    </row>
    <row r="76" spans="1:55" s="78" customFormat="1" ht="15" customHeight="1" x14ac:dyDescent="0.25">
      <c r="A76" s="52" t="s">
        <v>4085</v>
      </c>
      <c r="B76" s="34" t="s">
        <v>59</v>
      </c>
      <c r="C76" s="53">
        <v>2026</v>
      </c>
      <c r="D76" s="53">
        <v>2026</v>
      </c>
      <c r="E76" s="54" t="s">
        <v>2934</v>
      </c>
      <c r="F76" s="55" t="s">
        <v>50</v>
      </c>
      <c r="G76" s="55" t="s">
        <v>50</v>
      </c>
      <c r="H76" s="45" t="s">
        <v>2931</v>
      </c>
      <c r="I76" s="56" t="s">
        <v>52</v>
      </c>
      <c r="J76" s="56"/>
      <c r="K76" s="55" t="s">
        <v>74</v>
      </c>
      <c r="L76" s="55" t="s">
        <v>54</v>
      </c>
      <c r="M76" s="55"/>
      <c r="N76" s="55" t="s">
        <v>110</v>
      </c>
      <c r="O76" s="56" t="s">
        <v>296</v>
      </c>
      <c r="P76" s="55" t="s">
        <v>75</v>
      </c>
      <c r="Q76" s="56" t="s">
        <v>57</v>
      </c>
      <c r="R76" s="55"/>
      <c r="S76" s="56" t="s">
        <v>58</v>
      </c>
      <c r="T76" s="55" t="str">
        <f t="shared" si="2"/>
        <v>N</v>
      </c>
      <c r="U76" s="57">
        <v>-999</v>
      </c>
      <c r="V76" s="57" t="s">
        <v>59</v>
      </c>
      <c r="W76" s="55"/>
      <c r="X76" s="54" t="s">
        <v>4085</v>
      </c>
      <c r="Y76" s="52"/>
      <c r="Z76" s="3" t="s">
        <v>2005</v>
      </c>
      <c r="AA76" s="3" t="s">
        <v>297</v>
      </c>
      <c r="AB76" s="3"/>
      <c r="AC76" s="3"/>
      <c r="AD76" s="3" t="s">
        <v>62</v>
      </c>
      <c r="AE76" s="3" t="s">
        <v>83</v>
      </c>
      <c r="AF76" s="1" t="s">
        <v>298</v>
      </c>
      <c r="AG76" s="1" t="s">
        <v>299</v>
      </c>
      <c r="AH76" s="59">
        <v>100</v>
      </c>
      <c r="AI76" s="3"/>
      <c r="AJ76" s="53"/>
      <c r="AK76" s="3"/>
      <c r="AL76" s="53"/>
      <c r="AM76" s="3"/>
      <c r="AN76" s="53"/>
      <c r="AO76" s="3"/>
      <c r="AP76" s="53"/>
      <c r="AQ76" s="3"/>
      <c r="AR76" s="53"/>
      <c r="AS76" s="3"/>
      <c r="AT76" s="53"/>
      <c r="AU76" s="3"/>
      <c r="AV76" s="53"/>
      <c r="AW76" s="3"/>
      <c r="AX76" s="53"/>
      <c r="AY76" s="3"/>
      <c r="AZ76" s="4" t="s">
        <v>295</v>
      </c>
      <c r="BA76" s="32"/>
      <c r="BB76" s="1"/>
      <c r="BC76" s="1"/>
    </row>
    <row r="77" spans="1:55" s="78" customFormat="1" ht="15" customHeight="1" x14ac:dyDescent="0.25">
      <c r="A77" s="52" t="s">
        <v>4086</v>
      </c>
      <c r="B77" s="34" t="s">
        <v>59</v>
      </c>
      <c r="C77" s="53">
        <v>2026</v>
      </c>
      <c r="D77" s="53">
        <v>2026</v>
      </c>
      <c r="E77" s="54" t="s">
        <v>2935</v>
      </c>
      <c r="F77" s="55" t="s">
        <v>50</v>
      </c>
      <c r="G77" s="55" t="s">
        <v>50</v>
      </c>
      <c r="H77" s="45" t="s">
        <v>304</v>
      </c>
      <c r="I77" s="56" t="s">
        <v>78</v>
      </c>
      <c r="J77" s="56"/>
      <c r="K77" s="56" t="s">
        <v>79</v>
      </c>
      <c r="L77" s="55" t="str">
        <f>IF(K77="Mine or Quarry","Mine","")</f>
        <v/>
      </c>
      <c r="M77" s="55"/>
      <c r="N77" s="56" t="s">
        <v>80</v>
      </c>
      <c r="O77" s="56"/>
      <c r="P77" s="56" t="s">
        <v>89</v>
      </c>
      <c r="Q77" s="56" t="s">
        <v>89</v>
      </c>
      <c r="R77" s="55"/>
      <c r="S77" s="56" t="s">
        <v>81</v>
      </c>
      <c r="T77" s="55" t="str">
        <f t="shared" si="2"/>
        <v>N</v>
      </c>
      <c r="U77" s="57">
        <v>-999</v>
      </c>
      <c r="V77" s="57" t="s">
        <v>59</v>
      </c>
      <c r="W77" s="55"/>
      <c r="X77" s="54" t="s">
        <v>4086</v>
      </c>
      <c r="Y77" s="52"/>
      <c r="Z77" s="1" t="s">
        <v>61</v>
      </c>
      <c r="AA77" s="1" t="s">
        <v>305</v>
      </c>
      <c r="AB77" s="1"/>
      <c r="AC77" s="1"/>
      <c r="AD77" s="3" t="s">
        <v>62</v>
      </c>
      <c r="AE77" s="1" t="s">
        <v>306</v>
      </c>
      <c r="AF77" s="1" t="s">
        <v>307</v>
      </c>
      <c r="AG77" s="1" t="s">
        <v>308</v>
      </c>
      <c r="AH77" s="1"/>
      <c r="AI77" s="1"/>
      <c r="AJ77" s="1"/>
      <c r="AK77" s="1"/>
      <c r="AL77" s="1"/>
      <c r="AM77" s="1"/>
      <c r="AN77" s="1"/>
      <c r="AO77" s="1"/>
      <c r="AP77" s="1"/>
      <c r="AQ77" s="1"/>
      <c r="AR77" s="1"/>
      <c r="AS77" s="1"/>
      <c r="AT77" s="1"/>
      <c r="AU77" s="1"/>
      <c r="AV77" s="1"/>
      <c r="AW77" s="1"/>
      <c r="AX77" s="1"/>
      <c r="AY77" s="1"/>
      <c r="AZ77" s="4" t="s">
        <v>303</v>
      </c>
      <c r="BA77" s="5"/>
      <c r="BB77" s="1"/>
      <c r="BC77" s="1"/>
    </row>
    <row r="78" spans="1:55" s="78" customFormat="1" ht="15" customHeight="1" x14ac:dyDescent="0.25">
      <c r="A78" s="52" t="s">
        <v>4087</v>
      </c>
      <c r="B78" s="34" t="s">
        <v>59</v>
      </c>
      <c r="C78" s="53">
        <v>2026</v>
      </c>
      <c r="D78" s="53">
        <v>2026</v>
      </c>
      <c r="E78" s="54" t="s">
        <v>2936</v>
      </c>
      <c r="F78" s="55" t="s">
        <v>50</v>
      </c>
      <c r="G78" s="55" t="s">
        <v>50</v>
      </c>
      <c r="H78" s="45" t="s">
        <v>309</v>
      </c>
      <c r="I78" s="56" t="s">
        <v>78</v>
      </c>
      <c r="J78" s="56"/>
      <c r="K78" s="56" t="s">
        <v>71</v>
      </c>
      <c r="L78" s="55"/>
      <c r="M78" s="55"/>
      <c r="N78" s="56" t="s">
        <v>181</v>
      </c>
      <c r="O78" s="56"/>
      <c r="P78" s="55" t="s">
        <v>73</v>
      </c>
      <c r="Q78" s="55" t="s">
        <v>57</v>
      </c>
      <c r="R78" s="55"/>
      <c r="S78" s="56" t="s">
        <v>58</v>
      </c>
      <c r="T78" s="55" t="str">
        <f t="shared" si="2"/>
        <v>N</v>
      </c>
      <c r="U78" s="57">
        <v>-999</v>
      </c>
      <c r="V78" s="57" t="s">
        <v>59</v>
      </c>
      <c r="W78" s="55"/>
      <c r="X78" s="54" t="s">
        <v>4087</v>
      </c>
      <c r="Y78" s="60"/>
      <c r="Z78" s="3" t="s">
        <v>154</v>
      </c>
      <c r="AA78" s="1" t="s">
        <v>310</v>
      </c>
      <c r="AB78" s="1"/>
      <c r="AC78" s="1"/>
      <c r="AD78" s="3" t="s">
        <v>62</v>
      </c>
      <c r="AE78" s="1" t="s">
        <v>306</v>
      </c>
      <c r="AF78" s="3"/>
      <c r="AG78" s="3" t="s">
        <v>311</v>
      </c>
      <c r="AH78" s="53">
        <v>100</v>
      </c>
      <c r="AI78" s="1"/>
      <c r="AJ78" s="59"/>
      <c r="AK78" s="1"/>
      <c r="AL78" s="59"/>
      <c r="AM78" s="1"/>
      <c r="AN78" s="59"/>
      <c r="AO78" s="1"/>
      <c r="AP78" s="59"/>
      <c r="AQ78" s="1"/>
      <c r="AR78" s="59"/>
      <c r="AS78" s="1"/>
      <c r="AT78" s="59"/>
      <c r="AU78" s="1"/>
      <c r="AV78" s="59"/>
      <c r="AW78" s="1"/>
      <c r="AX78" s="59"/>
      <c r="AY78" s="1"/>
      <c r="AZ78" s="4" t="s">
        <v>312</v>
      </c>
      <c r="BA78" s="5" t="s">
        <v>3820</v>
      </c>
      <c r="BB78" s="1"/>
      <c r="BC78" s="1"/>
    </row>
    <row r="79" spans="1:55" s="78" customFormat="1" ht="15" customHeight="1" x14ac:dyDescent="0.25">
      <c r="A79" s="52" t="s">
        <v>4088</v>
      </c>
      <c r="B79" s="34" t="s">
        <v>59</v>
      </c>
      <c r="C79" s="53">
        <v>2026</v>
      </c>
      <c r="D79" s="53">
        <v>2026</v>
      </c>
      <c r="E79" s="54" t="s">
        <v>2936</v>
      </c>
      <c r="F79" s="55" t="s">
        <v>50</v>
      </c>
      <c r="G79" s="55" t="s">
        <v>50</v>
      </c>
      <c r="H79" s="45" t="s">
        <v>309</v>
      </c>
      <c r="I79" s="56" t="s">
        <v>78</v>
      </c>
      <c r="J79" s="56"/>
      <c r="K79" s="55" t="s">
        <v>74</v>
      </c>
      <c r="L79" s="55"/>
      <c r="M79" s="55"/>
      <c r="N79" s="55" t="s">
        <v>181</v>
      </c>
      <c r="O79" s="55"/>
      <c r="P79" s="55" t="s">
        <v>75</v>
      </c>
      <c r="Q79" s="56" t="s">
        <v>57</v>
      </c>
      <c r="R79" s="55"/>
      <c r="S79" s="56" t="s">
        <v>58</v>
      </c>
      <c r="T79" s="55" t="str">
        <f t="shared" si="2"/>
        <v>N</v>
      </c>
      <c r="U79" s="57">
        <v>-999</v>
      </c>
      <c r="V79" s="57" t="s">
        <v>59</v>
      </c>
      <c r="W79" s="55"/>
      <c r="X79" s="54" t="s">
        <v>4088</v>
      </c>
      <c r="Y79" s="60"/>
      <c r="Z79" s="3" t="s">
        <v>154</v>
      </c>
      <c r="AA79" s="1" t="s">
        <v>310</v>
      </c>
      <c r="AB79" s="1"/>
      <c r="AC79" s="1"/>
      <c r="AD79" s="3" t="s">
        <v>62</v>
      </c>
      <c r="AE79" s="3" t="s">
        <v>306</v>
      </c>
      <c r="AF79" s="3"/>
      <c r="AG79" s="3" t="s">
        <v>311</v>
      </c>
      <c r="AH79" s="53">
        <v>100</v>
      </c>
      <c r="AI79" s="1"/>
      <c r="AJ79" s="59"/>
      <c r="AK79" s="1"/>
      <c r="AL79" s="59"/>
      <c r="AM79" s="1"/>
      <c r="AN79" s="59"/>
      <c r="AO79" s="1"/>
      <c r="AP79" s="59"/>
      <c r="AQ79" s="1"/>
      <c r="AR79" s="59"/>
      <c r="AS79" s="1"/>
      <c r="AT79" s="59"/>
      <c r="AU79" s="1"/>
      <c r="AV79" s="59"/>
      <c r="AW79" s="1"/>
      <c r="AX79" s="59"/>
      <c r="AY79" s="1"/>
      <c r="AZ79" s="4" t="s">
        <v>312</v>
      </c>
      <c r="BA79" s="32" t="s">
        <v>3820</v>
      </c>
      <c r="BB79" s="1"/>
      <c r="BC79" s="1"/>
    </row>
    <row r="80" spans="1:55" s="78" customFormat="1" ht="15" customHeight="1" x14ac:dyDescent="0.25">
      <c r="A80" s="52" t="s">
        <v>4089</v>
      </c>
      <c r="B80" s="34" t="s">
        <v>59</v>
      </c>
      <c r="C80" s="53">
        <v>2026</v>
      </c>
      <c r="D80" s="53">
        <v>2026</v>
      </c>
      <c r="E80" s="54" t="s">
        <v>2936</v>
      </c>
      <c r="F80" s="55" t="s">
        <v>50</v>
      </c>
      <c r="G80" s="55" t="s">
        <v>50</v>
      </c>
      <c r="H80" s="45" t="s">
        <v>309</v>
      </c>
      <c r="I80" s="56" t="s">
        <v>78</v>
      </c>
      <c r="J80" s="56"/>
      <c r="K80" s="56" t="s">
        <v>53</v>
      </c>
      <c r="L80" s="55" t="s">
        <v>88</v>
      </c>
      <c r="M80" s="55"/>
      <c r="N80" s="56" t="s">
        <v>110</v>
      </c>
      <c r="O80" s="56"/>
      <c r="P80" s="55" t="s">
        <v>56</v>
      </c>
      <c r="Q80" s="55" t="s">
        <v>57</v>
      </c>
      <c r="R80" s="55"/>
      <c r="S80" s="56" t="s">
        <v>58</v>
      </c>
      <c r="T80" s="55" t="str">
        <f t="shared" si="2"/>
        <v>N</v>
      </c>
      <c r="U80" s="57">
        <v>3000</v>
      </c>
      <c r="V80" s="57" t="s">
        <v>101</v>
      </c>
      <c r="W80" s="55"/>
      <c r="X80" s="54" t="s">
        <v>4089</v>
      </c>
      <c r="Y80" s="60"/>
      <c r="Z80" s="3" t="s">
        <v>154</v>
      </c>
      <c r="AA80" s="1" t="s">
        <v>310</v>
      </c>
      <c r="AB80" s="1"/>
      <c r="AC80" s="1"/>
      <c r="AD80" s="3" t="s">
        <v>62</v>
      </c>
      <c r="AE80" s="3" t="s">
        <v>306</v>
      </c>
      <c r="AF80" s="3"/>
      <c r="AG80" s="3" t="s">
        <v>311</v>
      </c>
      <c r="AH80" s="58">
        <v>100</v>
      </c>
      <c r="AI80" s="1"/>
      <c r="AJ80" s="1"/>
      <c r="AK80" s="1"/>
      <c r="AL80" s="1"/>
      <c r="AM80" s="1"/>
      <c r="AN80" s="1"/>
      <c r="AO80" s="1"/>
      <c r="AP80" s="1"/>
      <c r="AQ80" s="1"/>
      <c r="AR80" s="1"/>
      <c r="AS80" s="1"/>
      <c r="AT80" s="1"/>
      <c r="AU80" s="1"/>
      <c r="AV80" s="1"/>
      <c r="AW80" s="1"/>
      <c r="AX80" s="1"/>
      <c r="AY80" s="1"/>
      <c r="AZ80" s="4" t="s">
        <v>312</v>
      </c>
      <c r="BA80" s="1"/>
      <c r="BB80" s="1"/>
      <c r="BC80" s="1"/>
    </row>
    <row r="81" spans="1:55" s="78" customFormat="1" ht="15" customHeight="1" x14ac:dyDescent="0.25">
      <c r="A81" s="52" t="s">
        <v>4090</v>
      </c>
      <c r="B81" s="34" t="s">
        <v>59</v>
      </c>
      <c r="C81" s="53">
        <v>2026</v>
      </c>
      <c r="D81" s="53">
        <v>2026</v>
      </c>
      <c r="E81" s="54" t="s">
        <v>2936</v>
      </c>
      <c r="F81" s="55" t="s">
        <v>50</v>
      </c>
      <c r="G81" s="55" t="s">
        <v>50</v>
      </c>
      <c r="H81" s="45" t="s">
        <v>309</v>
      </c>
      <c r="I81" s="56" t="s">
        <v>78</v>
      </c>
      <c r="J81" s="56"/>
      <c r="K81" s="56" t="s">
        <v>313</v>
      </c>
      <c r="L81" s="55" t="s">
        <v>88</v>
      </c>
      <c r="M81" s="55"/>
      <c r="N81" s="56" t="s">
        <v>110</v>
      </c>
      <c r="O81" s="56"/>
      <c r="P81" s="61" t="s">
        <v>314</v>
      </c>
      <c r="Q81" s="61" t="s">
        <v>57</v>
      </c>
      <c r="R81" s="55"/>
      <c r="S81" s="56" t="s">
        <v>58</v>
      </c>
      <c r="T81" s="55" t="str">
        <f t="shared" si="2"/>
        <v>N</v>
      </c>
      <c r="U81" s="57">
        <v>39190</v>
      </c>
      <c r="V81" s="57" t="s">
        <v>101</v>
      </c>
      <c r="W81" s="55"/>
      <c r="X81" s="54" t="s">
        <v>4090</v>
      </c>
      <c r="Y81" s="60"/>
      <c r="Z81" s="3" t="s">
        <v>154</v>
      </c>
      <c r="AA81" s="1" t="s">
        <v>310</v>
      </c>
      <c r="AB81" s="1"/>
      <c r="AC81" s="1"/>
      <c r="AD81" s="3" t="s">
        <v>62</v>
      </c>
      <c r="AE81" s="3" t="s">
        <v>306</v>
      </c>
      <c r="AF81" s="3"/>
      <c r="AG81" s="3" t="s">
        <v>311</v>
      </c>
      <c r="AH81" s="58">
        <v>100</v>
      </c>
      <c r="AI81" s="1"/>
      <c r="AJ81" s="1"/>
      <c r="AK81" s="1"/>
      <c r="AL81" s="1"/>
      <c r="AM81" s="1"/>
      <c r="AN81" s="1"/>
      <c r="AO81" s="1"/>
      <c r="AP81" s="1"/>
      <c r="AQ81" s="1"/>
      <c r="AR81" s="1"/>
      <c r="AS81" s="1"/>
      <c r="AT81" s="1"/>
      <c r="AU81" s="1"/>
      <c r="AV81" s="1"/>
      <c r="AW81" s="1"/>
      <c r="AX81" s="1"/>
      <c r="AY81" s="1"/>
      <c r="AZ81" s="4" t="s">
        <v>312</v>
      </c>
      <c r="BA81" s="1"/>
      <c r="BB81" s="1"/>
      <c r="BC81" s="1"/>
    </row>
    <row r="82" spans="1:55" s="78" customFormat="1" ht="15" customHeight="1" x14ac:dyDescent="0.25">
      <c r="A82" s="52" t="s">
        <v>4091</v>
      </c>
      <c r="B82" s="34" t="s">
        <v>59</v>
      </c>
      <c r="C82" s="53">
        <v>2026</v>
      </c>
      <c r="D82" s="53">
        <v>2026</v>
      </c>
      <c r="E82" s="54" t="s">
        <v>2937</v>
      </c>
      <c r="F82" s="55" t="s">
        <v>50</v>
      </c>
      <c r="G82" s="55" t="s">
        <v>50</v>
      </c>
      <c r="H82" s="45" t="s">
        <v>315</v>
      </c>
      <c r="I82" s="56" t="s">
        <v>52</v>
      </c>
      <c r="J82" s="56"/>
      <c r="K82" s="56" t="s">
        <v>71</v>
      </c>
      <c r="L82" s="55" t="s">
        <v>54</v>
      </c>
      <c r="M82" s="55"/>
      <c r="N82" s="55" t="s">
        <v>110</v>
      </c>
      <c r="O82" s="45" t="s">
        <v>296</v>
      </c>
      <c r="P82" s="55" t="s">
        <v>73</v>
      </c>
      <c r="Q82" s="55" t="s">
        <v>57</v>
      </c>
      <c r="R82" s="55"/>
      <c r="S82" s="56" t="s">
        <v>58</v>
      </c>
      <c r="T82" s="55" t="str">
        <f t="shared" si="2"/>
        <v>N</v>
      </c>
      <c r="U82" s="57">
        <v>-999</v>
      </c>
      <c r="V82" s="57" t="s">
        <v>59</v>
      </c>
      <c r="W82" s="55"/>
      <c r="X82" s="54" t="s">
        <v>4091</v>
      </c>
      <c r="Y82" s="60"/>
      <c r="Z82" s="3" t="s">
        <v>154</v>
      </c>
      <c r="AA82" s="1" t="s">
        <v>310</v>
      </c>
      <c r="AB82" s="1"/>
      <c r="AC82" s="1"/>
      <c r="AD82" s="3" t="s">
        <v>62</v>
      </c>
      <c r="AE82" s="3" t="s">
        <v>306</v>
      </c>
      <c r="AF82" s="3"/>
      <c r="AG82" s="3" t="s">
        <v>311</v>
      </c>
      <c r="AH82" s="53">
        <v>100</v>
      </c>
      <c r="AI82" s="1"/>
      <c r="AJ82" s="59"/>
      <c r="AK82" s="1"/>
      <c r="AL82" s="59"/>
      <c r="AM82" s="1"/>
      <c r="AN82" s="59"/>
      <c r="AO82" s="1"/>
      <c r="AP82" s="59"/>
      <c r="AQ82" s="1"/>
      <c r="AR82" s="59"/>
      <c r="AS82" s="1"/>
      <c r="AT82" s="59"/>
      <c r="AU82" s="1"/>
      <c r="AV82" s="59"/>
      <c r="AW82" s="1"/>
      <c r="AX82" s="59"/>
      <c r="AY82" s="1"/>
      <c r="AZ82" s="4" t="s">
        <v>312</v>
      </c>
      <c r="BA82" s="5" t="s">
        <v>3820</v>
      </c>
      <c r="BB82" s="1"/>
      <c r="BC82" s="1"/>
    </row>
    <row r="83" spans="1:55" s="78" customFormat="1" ht="15" customHeight="1" x14ac:dyDescent="0.25">
      <c r="A83" s="52" t="s">
        <v>4092</v>
      </c>
      <c r="B83" s="34" t="s">
        <v>59</v>
      </c>
      <c r="C83" s="53">
        <v>2026</v>
      </c>
      <c r="D83" s="53">
        <v>2026</v>
      </c>
      <c r="E83" s="54" t="s">
        <v>2937</v>
      </c>
      <c r="F83" s="55" t="s">
        <v>50</v>
      </c>
      <c r="G83" s="55" t="s">
        <v>50</v>
      </c>
      <c r="H83" s="45" t="s">
        <v>315</v>
      </c>
      <c r="I83" s="56" t="s">
        <v>52</v>
      </c>
      <c r="J83" s="56"/>
      <c r="K83" s="56" t="s">
        <v>74</v>
      </c>
      <c r="L83" s="55" t="s">
        <v>54</v>
      </c>
      <c r="M83" s="55"/>
      <c r="N83" s="55" t="s">
        <v>110</v>
      </c>
      <c r="O83" s="56" t="s">
        <v>296</v>
      </c>
      <c r="P83" s="55" t="s">
        <v>75</v>
      </c>
      <c r="Q83" s="56" t="s">
        <v>57</v>
      </c>
      <c r="R83" s="55"/>
      <c r="S83" s="56" t="s">
        <v>58</v>
      </c>
      <c r="T83" s="55" t="str">
        <f t="shared" si="2"/>
        <v>N</v>
      </c>
      <c r="U83" s="57">
        <v>-999</v>
      </c>
      <c r="V83" s="57" t="s">
        <v>59</v>
      </c>
      <c r="W83" s="55"/>
      <c r="X83" s="54" t="s">
        <v>4092</v>
      </c>
      <c r="Y83" s="60"/>
      <c r="Z83" s="3" t="s">
        <v>154</v>
      </c>
      <c r="AA83" s="1" t="s">
        <v>310</v>
      </c>
      <c r="AB83" s="1"/>
      <c r="AC83" s="1"/>
      <c r="AD83" s="3" t="s">
        <v>62</v>
      </c>
      <c r="AE83" s="3" t="s">
        <v>306</v>
      </c>
      <c r="AF83" s="3"/>
      <c r="AG83" s="3" t="s">
        <v>311</v>
      </c>
      <c r="AH83" s="53">
        <v>100</v>
      </c>
      <c r="AI83" s="1"/>
      <c r="AJ83" s="59"/>
      <c r="AK83" s="1"/>
      <c r="AL83" s="59"/>
      <c r="AM83" s="1"/>
      <c r="AN83" s="59"/>
      <c r="AO83" s="1"/>
      <c r="AP83" s="59"/>
      <c r="AQ83" s="1"/>
      <c r="AR83" s="59"/>
      <c r="AS83" s="1"/>
      <c r="AT83" s="59"/>
      <c r="AU83" s="1"/>
      <c r="AV83" s="59"/>
      <c r="AW83" s="1"/>
      <c r="AX83" s="59"/>
      <c r="AY83" s="1"/>
      <c r="AZ83" s="4" t="s">
        <v>312</v>
      </c>
      <c r="BA83" s="32" t="s">
        <v>3820</v>
      </c>
      <c r="BB83" s="1"/>
      <c r="BC83" s="1"/>
    </row>
    <row r="84" spans="1:55" s="78" customFormat="1" ht="15" customHeight="1" x14ac:dyDescent="0.25">
      <c r="A84" s="52" t="s">
        <v>4093</v>
      </c>
      <c r="B84" s="34" t="s">
        <v>59</v>
      </c>
      <c r="C84" s="53">
        <v>2026</v>
      </c>
      <c r="D84" s="53">
        <v>2026</v>
      </c>
      <c r="E84" s="54" t="s">
        <v>2938</v>
      </c>
      <c r="F84" s="55" t="s">
        <v>50</v>
      </c>
      <c r="G84" s="55" t="s">
        <v>50</v>
      </c>
      <c r="H84" s="45" t="s">
        <v>321</v>
      </c>
      <c r="I84" s="56" t="s">
        <v>78</v>
      </c>
      <c r="J84" s="56"/>
      <c r="K84" s="56" t="s">
        <v>53</v>
      </c>
      <c r="L84" s="55" t="s">
        <v>88</v>
      </c>
      <c r="M84" s="55"/>
      <c r="N84" s="56" t="s">
        <v>110</v>
      </c>
      <c r="O84" s="56"/>
      <c r="P84" s="55" t="s">
        <v>56</v>
      </c>
      <c r="Q84" s="55" t="s">
        <v>57</v>
      </c>
      <c r="R84" s="55"/>
      <c r="S84" s="56" t="s">
        <v>58</v>
      </c>
      <c r="T84" s="55" t="str">
        <f t="shared" si="2"/>
        <v>N</v>
      </c>
      <c r="U84" s="57">
        <v>110000</v>
      </c>
      <c r="V84" s="57" t="s">
        <v>101</v>
      </c>
      <c r="W84" s="55"/>
      <c r="X84" s="54" t="s">
        <v>4093</v>
      </c>
      <c r="Y84" s="52"/>
      <c r="Z84" s="1" t="s">
        <v>61</v>
      </c>
      <c r="AA84" s="1" t="s">
        <v>324</v>
      </c>
      <c r="AB84" s="1"/>
      <c r="AC84" s="1"/>
      <c r="AD84" s="3" t="s">
        <v>62</v>
      </c>
      <c r="AE84" s="1" t="s">
        <v>108</v>
      </c>
      <c r="AF84" s="1"/>
      <c r="AG84" s="3" t="s">
        <v>109</v>
      </c>
      <c r="AH84" s="58">
        <v>100</v>
      </c>
      <c r="AI84" s="1"/>
      <c r="AJ84" s="1"/>
      <c r="AK84" s="1"/>
      <c r="AL84" s="1"/>
      <c r="AM84" s="1"/>
      <c r="AN84" s="1"/>
      <c r="AO84" s="1"/>
      <c r="AP84" s="1"/>
      <c r="AQ84" s="1"/>
      <c r="AR84" s="1"/>
      <c r="AS84" s="1"/>
      <c r="AT84" s="1"/>
      <c r="AU84" s="1"/>
      <c r="AV84" s="1"/>
      <c r="AW84" s="1"/>
      <c r="AX84" s="1"/>
      <c r="AY84" s="1"/>
      <c r="AZ84" s="4" t="s">
        <v>320</v>
      </c>
      <c r="BA84" s="1"/>
      <c r="BB84" s="1"/>
      <c r="BC84" s="1"/>
    </row>
    <row r="85" spans="1:55" s="78" customFormat="1" ht="15" customHeight="1" x14ac:dyDescent="0.25">
      <c r="A85" s="52" t="s">
        <v>4094</v>
      </c>
      <c r="B85" s="34" t="s">
        <v>59</v>
      </c>
      <c r="C85" s="53">
        <v>2026</v>
      </c>
      <c r="D85" s="53">
        <v>2026</v>
      </c>
      <c r="E85" s="54" t="s">
        <v>2938</v>
      </c>
      <c r="F85" s="55" t="s">
        <v>50</v>
      </c>
      <c r="G85" s="55" t="s">
        <v>50</v>
      </c>
      <c r="H85" s="45" t="s">
        <v>321</v>
      </c>
      <c r="I85" s="56" t="s">
        <v>78</v>
      </c>
      <c r="J85" s="56"/>
      <c r="K85" s="56" t="s">
        <v>71</v>
      </c>
      <c r="L85" s="55" t="str">
        <f>IF(K85="Mine or Quarry","Mine","")</f>
        <v/>
      </c>
      <c r="M85" s="55"/>
      <c r="N85" s="56" t="s">
        <v>110</v>
      </c>
      <c r="O85" s="56"/>
      <c r="P85" s="55" t="s">
        <v>73</v>
      </c>
      <c r="Q85" s="55" t="s">
        <v>57</v>
      </c>
      <c r="R85" s="55"/>
      <c r="S85" s="56" t="s">
        <v>58</v>
      </c>
      <c r="T85" s="55" t="str">
        <f t="shared" si="2"/>
        <v>N</v>
      </c>
      <c r="U85" s="57">
        <v>-999</v>
      </c>
      <c r="V85" s="57" t="s">
        <v>59</v>
      </c>
      <c r="W85" s="55" t="s">
        <v>2319</v>
      </c>
      <c r="X85" s="54" t="s">
        <v>4094</v>
      </c>
      <c r="Y85" s="52"/>
      <c r="Z85" s="1" t="s">
        <v>61</v>
      </c>
      <c r="AA85" s="1" t="s">
        <v>324</v>
      </c>
      <c r="AB85" s="1"/>
      <c r="AC85" s="1"/>
      <c r="AD85" s="3" t="s">
        <v>62</v>
      </c>
      <c r="AE85" s="1" t="s">
        <v>108</v>
      </c>
      <c r="AF85" s="1" t="s">
        <v>109</v>
      </c>
      <c r="AG85" s="1" t="s">
        <v>109</v>
      </c>
      <c r="AH85" s="59">
        <v>100</v>
      </c>
      <c r="AI85" s="1"/>
      <c r="AJ85" s="59"/>
      <c r="AK85" s="1"/>
      <c r="AL85" s="59"/>
      <c r="AM85" s="1"/>
      <c r="AN85" s="60"/>
      <c r="AO85" s="1"/>
      <c r="AP85" s="60"/>
      <c r="AQ85" s="1"/>
      <c r="AR85" s="60"/>
      <c r="AS85" s="1"/>
      <c r="AT85" s="60"/>
      <c r="AU85" s="1"/>
      <c r="AV85" s="60"/>
      <c r="AW85" s="1"/>
      <c r="AX85" s="60"/>
      <c r="AY85" s="1"/>
      <c r="AZ85" s="4" t="s">
        <v>323</v>
      </c>
      <c r="BA85" s="5"/>
      <c r="BB85" s="1"/>
      <c r="BC85" s="1"/>
    </row>
    <row r="86" spans="1:55" s="78" customFormat="1" ht="15" customHeight="1" x14ac:dyDescent="0.25">
      <c r="A86" s="52" t="s">
        <v>4095</v>
      </c>
      <c r="B86" s="34" t="s">
        <v>59</v>
      </c>
      <c r="C86" s="53">
        <v>2026</v>
      </c>
      <c r="D86" s="53">
        <v>2026</v>
      </c>
      <c r="E86" s="54" t="s">
        <v>2938</v>
      </c>
      <c r="F86" s="55" t="s">
        <v>50</v>
      </c>
      <c r="G86" s="55" t="s">
        <v>50</v>
      </c>
      <c r="H86" s="45" t="s">
        <v>321</v>
      </c>
      <c r="I86" s="56" t="s">
        <v>78</v>
      </c>
      <c r="J86" s="56"/>
      <c r="K86" s="56" t="s">
        <v>264</v>
      </c>
      <c r="L86" s="55" t="s">
        <v>88</v>
      </c>
      <c r="M86" s="55"/>
      <c r="N86" s="56" t="s">
        <v>110</v>
      </c>
      <c r="O86" s="56"/>
      <c r="P86" s="55" t="s">
        <v>265</v>
      </c>
      <c r="Q86" s="55" t="s">
        <v>57</v>
      </c>
      <c r="R86" s="55"/>
      <c r="S86" s="56" t="s">
        <v>58</v>
      </c>
      <c r="T86" s="55" t="str">
        <f t="shared" si="2"/>
        <v>N</v>
      </c>
      <c r="U86" s="57">
        <v>4000</v>
      </c>
      <c r="V86" s="57" t="s">
        <v>101</v>
      </c>
      <c r="W86" s="55"/>
      <c r="X86" s="54" t="s">
        <v>4095</v>
      </c>
      <c r="Y86" s="52"/>
      <c r="Z86" s="1" t="s">
        <v>61</v>
      </c>
      <c r="AA86" s="1" t="s">
        <v>324</v>
      </c>
      <c r="AB86" s="1"/>
      <c r="AC86" s="1"/>
      <c r="AD86" s="3" t="s">
        <v>62</v>
      </c>
      <c r="AE86" s="2" t="s">
        <v>108</v>
      </c>
      <c r="AF86" s="2"/>
      <c r="AG86" s="1" t="s">
        <v>109</v>
      </c>
      <c r="AH86" s="58">
        <v>100</v>
      </c>
      <c r="AI86" s="1"/>
      <c r="AJ86" s="1"/>
      <c r="AK86" s="1"/>
      <c r="AL86" s="1"/>
      <c r="AM86" s="1"/>
      <c r="AN86" s="1"/>
      <c r="AO86" s="1"/>
      <c r="AP86" s="1"/>
      <c r="AQ86" s="1"/>
      <c r="AR86" s="1"/>
      <c r="AS86" s="1"/>
      <c r="AT86" s="1"/>
      <c r="AU86" s="1"/>
      <c r="AV86" s="1"/>
      <c r="AW86" s="1"/>
      <c r="AX86" s="1"/>
      <c r="AY86" s="1"/>
      <c r="AZ86" s="4" t="s">
        <v>323</v>
      </c>
      <c r="BA86" s="1"/>
      <c r="BB86" s="1"/>
      <c r="BC86" s="1"/>
    </row>
    <row r="87" spans="1:55" s="78" customFormat="1" ht="15" customHeight="1" x14ac:dyDescent="0.25">
      <c r="A87" s="52" t="s">
        <v>4096</v>
      </c>
      <c r="B87" s="34" t="s">
        <v>59</v>
      </c>
      <c r="C87" s="53">
        <v>2026</v>
      </c>
      <c r="D87" s="53">
        <v>2026</v>
      </c>
      <c r="E87" s="54" t="s">
        <v>2938</v>
      </c>
      <c r="F87" s="55" t="s">
        <v>50</v>
      </c>
      <c r="G87" s="55" t="s">
        <v>50</v>
      </c>
      <c r="H87" s="45" t="s">
        <v>321</v>
      </c>
      <c r="I87" s="56" t="s">
        <v>78</v>
      </c>
      <c r="J87" s="56"/>
      <c r="K87" s="56" t="s">
        <v>74</v>
      </c>
      <c r="L87" s="55" t="str">
        <f>IF(K87="Mines and Quarries","Mine","")</f>
        <v/>
      </c>
      <c r="M87" s="55"/>
      <c r="N87" s="56" t="s">
        <v>110</v>
      </c>
      <c r="O87" s="56"/>
      <c r="P87" s="55" t="s">
        <v>75</v>
      </c>
      <c r="Q87" s="56" t="s">
        <v>57</v>
      </c>
      <c r="R87" s="55"/>
      <c r="S87" s="56" t="s">
        <v>58</v>
      </c>
      <c r="T87" s="55" t="str">
        <f t="shared" si="2"/>
        <v>N</v>
      </c>
      <c r="U87" s="57">
        <v>21.262</v>
      </c>
      <c r="V87" s="57" t="s">
        <v>101</v>
      </c>
      <c r="W87" s="55" t="s">
        <v>2319</v>
      </c>
      <c r="X87" s="54" t="s">
        <v>4096</v>
      </c>
      <c r="Y87" s="52"/>
      <c r="Z87" s="1" t="s">
        <v>61</v>
      </c>
      <c r="AA87" s="1" t="s">
        <v>324</v>
      </c>
      <c r="AB87" s="1"/>
      <c r="AC87" s="1"/>
      <c r="AD87" s="3" t="s">
        <v>62</v>
      </c>
      <c r="AE87" s="1" t="s">
        <v>108</v>
      </c>
      <c r="AF87" s="1" t="s">
        <v>109</v>
      </c>
      <c r="AG87" s="1" t="s">
        <v>109</v>
      </c>
      <c r="AH87" s="59">
        <v>100</v>
      </c>
      <c r="AI87" s="1"/>
      <c r="AJ87" s="59"/>
      <c r="AK87" s="1"/>
      <c r="AL87" s="59"/>
      <c r="AM87" s="1"/>
      <c r="AN87" s="60"/>
      <c r="AO87" s="1"/>
      <c r="AP87" s="60"/>
      <c r="AQ87" s="1"/>
      <c r="AR87" s="60"/>
      <c r="AS87" s="1"/>
      <c r="AT87" s="60"/>
      <c r="AU87" s="1"/>
      <c r="AV87" s="60"/>
      <c r="AW87" s="1"/>
      <c r="AX87" s="60"/>
      <c r="AY87" s="1"/>
      <c r="AZ87" s="5" t="s">
        <v>325</v>
      </c>
      <c r="BA87" s="5" t="s">
        <v>3821</v>
      </c>
      <c r="BB87" s="1"/>
      <c r="BC87" s="1"/>
    </row>
    <row r="88" spans="1:55" s="78" customFormat="1" ht="15" customHeight="1" x14ac:dyDescent="0.25">
      <c r="A88" s="52" t="s">
        <v>4097</v>
      </c>
      <c r="B88" s="34" t="s">
        <v>59</v>
      </c>
      <c r="C88" s="53">
        <v>2026</v>
      </c>
      <c r="D88" s="53">
        <v>2026</v>
      </c>
      <c r="E88" s="54" t="s">
        <v>2939</v>
      </c>
      <c r="F88" s="55" t="s">
        <v>50</v>
      </c>
      <c r="G88" s="55" t="s">
        <v>50</v>
      </c>
      <c r="H88" s="45" t="s">
        <v>326</v>
      </c>
      <c r="I88" s="56" t="s">
        <v>52</v>
      </c>
      <c r="J88" s="56"/>
      <c r="K88" s="55" t="s">
        <v>53</v>
      </c>
      <c r="L88" s="55" t="str">
        <f>IF(K88="Mine or Quarry","Mine","")</f>
        <v/>
      </c>
      <c r="M88" s="55"/>
      <c r="N88" s="55" t="s">
        <v>327</v>
      </c>
      <c r="O88" s="55"/>
      <c r="P88" s="55" t="s">
        <v>56</v>
      </c>
      <c r="Q88" s="55" t="s">
        <v>57</v>
      </c>
      <c r="R88" s="55"/>
      <c r="S88" s="56" t="s">
        <v>58</v>
      </c>
      <c r="T88" s="55" t="str">
        <f t="shared" si="2"/>
        <v>N</v>
      </c>
      <c r="U88" s="57">
        <v>15000</v>
      </c>
      <c r="V88" s="57" t="s">
        <v>101</v>
      </c>
      <c r="W88" s="55"/>
      <c r="X88" s="54" t="s">
        <v>4097</v>
      </c>
      <c r="Y88" s="52"/>
      <c r="Z88" s="3" t="s">
        <v>61</v>
      </c>
      <c r="AA88" s="1" t="s">
        <v>322</v>
      </c>
      <c r="AB88" s="1"/>
      <c r="AC88" s="1"/>
      <c r="AD88" s="3" t="s">
        <v>62</v>
      </c>
      <c r="AE88" s="3" t="s">
        <v>108</v>
      </c>
      <c r="AF88" s="3"/>
      <c r="AG88" s="3" t="s">
        <v>109</v>
      </c>
      <c r="AH88" s="58">
        <v>100</v>
      </c>
      <c r="AI88" s="3"/>
      <c r="AJ88" s="3"/>
      <c r="AK88" s="3"/>
      <c r="AL88" s="3"/>
      <c r="AM88" s="3"/>
      <c r="AN88" s="3"/>
      <c r="AO88" s="3"/>
      <c r="AP88" s="3"/>
      <c r="AQ88" s="3"/>
      <c r="AR88" s="3"/>
      <c r="AS88" s="3"/>
      <c r="AT88" s="3"/>
      <c r="AU88" s="3"/>
      <c r="AV88" s="3"/>
      <c r="AW88" s="3"/>
      <c r="AX88" s="3"/>
      <c r="AY88" s="3"/>
      <c r="AZ88" s="4" t="s">
        <v>323</v>
      </c>
      <c r="BA88" s="3"/>
      <c r="BB88" s="1"/>
      <c r="BC88" s="1"/>
    </row>
    <row r="89" spans="1:55" s="78" customFormat="1" ht="15" customHeight="1" x14ac:dyDescent="0.25">
      <c r="A89" s="52" t="s">
        <v>4098</v>
      </c>
      <c r="B89" s="34" t="s">
        <v>59</v>
      </c>
      <c r="C89" s="53">
        <v>2026</v>
      </c>
      <c r="D89" s="53">
        <v>2026</v>
      </c>
      <c r="E89" s="54" t="s">
        <v>2940</v>
      </c>
      <c r="F89" s="55" t="s">
        <v>50</v>
      </c>
      <c r="G89" s="55" t="s">
        <v>50</v>
      </c>
      <c r="H89" s="45" t="s">
        <v>329</v>
      </c>
      <c r="I89" s="56" t="s">
        <v>78</v>
      </c>
      <c r="J89" s="56"/>
      <c r="K89" s="56" t="s">
        <v>71</v>
      </c>
      <c r="L89" s="55" t="str">
        <f>IF(K89="Mine or Quarry","Mine","")</f>
        <v/>
      </c>
      <c r="M89" s="55"/>
      <c r="N89" s="56" t="s">
        <v>181</v>
      </c>
      <c r="O89" s="56"/>
      <c r="P89" s="55" t="s">
        <v>73</v>
      </c>
      <c r="Q89" s="55" t="s">
        <v>57</v>
      </c>
      <c r="R89" s="55"/>
      <c r="S89" s="56" t="s">
        <v>58</v>
      </c>
      <c r="T89" s="55" t="str">
        <f t="shared" si="2"/>
        <v>N</v>
      </c>
      <c r="U89" s="57">
        <v>5.1029999999999998</v>
      </c>
      <c r="V89" s="57" t="s">
        <v>101</v>
      </c>
      <c r="W89" s="55"/>
      <c r="X89" s="54" t="s">
        <v>4098</v>
      </c>
      <c r="Y89" s="52"/>
      <c r="Z89" s="1" t="s">
        <v>61</v>
      </c>
      <c r="AA89" s="1" t="s">
        <v>330</v>
      </c>
      <c r="AB89" s="1"/>
      <c r="AC89" s="1"/>
      <c r="AD89" s="3" t="s">
        <v>62</v>
      </c>
      <c r="AE89" s="1" t="s">
        <v>83</v>
      </c>
      <c r="AF89" s="3"/>
      <c r="AG89" s="3" t="s">
        <v>331</v>
      </c>
      <c r="AH89" s="59">
        <v>100</v>
      </c>
      <c r="AI89" s="1"/>
      <c r="AJ89" s="59"/>
      <c r="AK89" s="1"/>
      <c r="AL89" s="60"/>
      <c r="AM89" s="1"/>
      <c r="AN89" s="60"/>
      <c r="AO89" s="1"/>
      <c r="AP89" s="60"/>
      <c r="AQ89" s="1"/>
      <c r="AR89" s="60"/>
      <c r="AS89" s="1"/>
      <c r="AT89" s="60"/>
      <c r="AU89" s="1"/>
      <c r="AV89" s="60"/>
      <c r="AW89" s="1"/>
      <c r="AX89" s="60"/>
      <c r="AY89" s="1"/>
      <c r="AZ89" s="4" t="s">
        <v>328</v>
      </c>
      <c r="BA89" s="5"/>
      <c r="BB89" s="1"/>
      <c r="BC89" s="1"/>
    </row>
    <row r="90" spans="1:55" s="78" customFormat="1" ht="15" customHeight="1" x14ac:dyDescent="0.25">
      <c r="A90" s="52" t="s">
        <v>4099</v>
      </c>
      <c r="B90" s="34" t="s">
        <v>59</v>
      </c>
      <c r="C90" s="53">
        <v>2026</v>
      </c>
      <c r="D90" s="53">
        <v>2026</v>
      </c>
      <c r="E90" s="54" t="s">
        <v>2940</v>
      </c>
      <c r="F90" s="55" t="s">
        <v>50</v>
      </c>
      <c r="G90" s="55" t="s">
        <v>50</v>
      </c>
      <c r="H90" s="45" t="s">
        <v>329</v>
      </c>
      <c r="I90" s="56" t="s">
        <v>78</v>
      </c>
      <c r="J90" s="56"/>
      <c r="K90" s="56" t="s">
        <v>74</v>
      </c>
      <c r="L90" s="55" t="str">
        <f>IF(K90="Mines and Quarries","Mine","")</f>
        <v/>
      </c>
      <c r="M90" s="55"/>
      <c r="N90" s="56" t="s">
        <v>110</v>
      </c>
      <c r="O90" s="56"/>
      <c r="P90" s="55" t="s">
        <v>75</v>
      </c>
      <c r="Q90" s="56" t="s">
        <v>57</v>
      </c>
      <c r="R90" s="55"/>
      <c r="S90" s="56" t="s">
        <v>58</v>
      </c>
      <c r="T90" s="55" t="str">
        <f t="shared" si="2"/>
        <v>N</v>
      </c>
      <c r="U90" s="57">
        <v>-999</v>
      </c>
      <c r="V90" s="57" t="s">
        <v>59</v>
      </c>
      <c r="W90" s="55" t="s">
        <v>2797</v>
      </c>
      <c r="X90" s="54" t="s">
        <v>4099</v>
      </c>
      <c r="Y90" s="52"/>
      <c r="Z90" s="1" t="s">
        <v>61</v>
      </c>
      <c r="AA90" s="1" t="s">
        <v>330</v>
      </c>
      <c r="AB90" s="1"/>
      <c r="AC90" s="1"/>
      <c r="AD90" s="3" t="s">
        <v>62</v>
      </c>
      <c r="AE90" s="1" t="s">
        <v>83</v>
      </c>
      <c r="AF90" s="1"/>
      <c r="AG90" s="3" t="s">
        <v>331</v>
      </c>
      <c r="AH90" s="59">
        <v>100</v>
      </c>
      <c r="AI90" s="1"/>
      <c r="AJ90" s="59"/>
      <c r="AK90" s="1"/>
      <c r="AL90" s="60"/>
      <c r="AM90" s="1"/>
      <c r="AN90" s="60"/>
      <c r="AO90" s="1"/>
      <c r="AP90" s="60"/>
      <c r="AQ90" s="1"/>
      <c r="AR90" s="60"/>
      <c r="AS90" s="1"/>
      <c r="AT90" s="60"/>
      <c r="AU90" s="1"/>
      <c r="AV90" s="60"/>
      <c r="AW90" s="1"/>
      <c r="AX90" s="60"/>
      <c r="AY90" s="1"/>
      <c r="AZ90" s="5" t="s">
        <v>328</v>
      </c>
      <c r="BA90" s="5"/>
      <c r="BB90" s="1"/>
      <c r="BC90" s="1"/>
    </row>
    <row r="91" spans="1:55" s="78" customFormat="1" ht="15" customHeight="1" x14ac:dyDescent="0.25">
      <c r="A91" s="52" t="s">
        <v>4100</v>
      </c>
      <c r="B91" s="34" t="s">
        <v>59</v>
      </c>
      <c r="C91" s="53">
        <v>2026</v>
      </c>
      <c r="D91" s="53">
        <v>2026</v>
      </c>
      <c r="E91" s="54" t="s">
        <v>2941</v>
      </c>
      <c r="F91" s="55" t="s">
        <v>50</v>
      </c>
      <c r="G91" s="55" t="s">
        <v>50</v>
      </c>
      <c r="H91" s="45" t="s">
        <v>332</v>
      </c>
      <c r="I91" s="61" t="s">
        <v>52</v>
      </c>
      <c r="J91" s="56"/>
      <c r="K91" s="55" t="s">
        <v>71</v>
      </c>
      <c r="L91" s="55"/>
      <c r="M91" s="55"/>
      <c r="N91" s="55" t="s">
        <v>110</v>
      </c>
      <c r="O91" s="45" t="s">
        <v>296</v>
      </c>
      <c r="P91" s="55" t="s">
        <v>73</v>
      </c>
      <c r="Q91" s="55" t="s">
        <v>57</v>
      </c>
      <c r="R91" s="55"/>
      <c r="S91" s="56" t="s">
        <v>58</v>
      </c>
      <c r="T91" s="55" t="str">
        <f t="shared" si="2"/>
        <v>N</v>
      </c>
      <c r="U91" s="57">
        <v>-999</v>
      </c>
      <c r="V91" s="57" t="s">
        <v>59</v>
      </c>
      <c r="W91" s="55" t="s">
        <v>3798</v>
      </c>
      <c r="X91" s="54" t="s">
        <v>4100</v>
      </c>
      <c r="Y91" s="52"/>
      <c r="Z91" s="3" t="s">
        <v>61</v>
      </c>
      <c r="AA91" s="1" t="s">
        <v>330</v>
      </c>
      <c r="AB91" s="1"/>
      <c r="AC91" s="1"/>
      <c r="AD91" s="3" t="s">
        <v>62</v>
      </c>
      <c r="AE91" s="3" t="s">
        <v>83</v>
      </c>
      <c r="AF91" s="1"/>
      <c r="AG91" s="3" t="s">
        <v>331</v>
      </c>
      <c r="AH91" s="59">
        <v>100</v>
      </c>
      <c r="AI91" s="3"/>
      <c r="AJ91" s="59"/>
      <c r="AK91" s="3"/>
      <c r="AL91" s="53"/>
      <c r="AM91" s="3"/>
      <c r="AN91" s="53"/>
      <c r="AO91" s="3"/>
      <c r="AP91" s="53"/>
      <c r="AQ91" s="3"/>
      <c r="AR91" s="53"/>
      <c r="AS91" s="3"/>
      <c r="AT91" s="53"/>
      <c r="AU91" s="3"/>
      <c r="AV91" s="53"/>
      <c r="AW91" s="3"/>
      <c r="AX91" s="53"/>
      <c r="AY91" s="3"/>
      <c r="AZ91" s="4" t="s">
        <v>328</v>
      </c>
      <c r="BA91" s="5"/>
      <c r="BB91" s="1"/>
      <c r="BC91" s="1"/>
    </row>
    <row r="92" spans="1:55" s="78" customFormat="1" ht="15" customHeight="1" x14ac:dyDescent="0.25">
      <c r="A92" s="52" t="s">
        <v>4101</v>
      </c>
      <c r="B92" s="34" t="s">
        <v>59</v>
      </c>
      <c r="C92" s="53">
        <v>2026</v>
      </c>
      <c r="D92" s="53">
        <v>2026</v>
      </c>
      <c r="E92" s="54" t="s">
        <v>2941</v>
      </c>
      <c r="F92" s="55" t="s">
        <v>50</v>
      </c>
      <c r="G92" s="55" t="s">
        <v>50</v>
      </c>
      <c r="H92" s="45" t="s">
        <v>332</v>
      </c>
      <c r="I92" s="61" t="s">
        <v>52</v>
      </c>
      <c r="J92" s="56"/>
      <c r="K92" s="55" t="s">
        <v>74</v>
      </c>
      <c r="L92" s="55"/>
      <c r="M92" s="55"/>
      <c r="N92" s="55" t="s">
        <v>110</v>
      </c>
      <c r="O92" s="45" t="s">
        <v>296</v>
      </c>
      <c r="P92" s="55" t="s">
        <v>75</v>
      </c>
      <c r="Q92" s="55" t="s">
        <v>57</v>
      </c>
      <c r="R92" s="55"/>
      <c r="S92" s="56" t="s">
        <v>58</v>
      </c>
      <c r="T92" s="55" t="str">
        <f t="shared" si="2"/>
        <v>N</v>
      </c>
      <c r="U92" s="57">
        <v>-999</v>
      </c>
      <c r="V92" s="57" t="s">
        <v>59</v>
      </c>
      <c r="W92" s="55" t="s">
        <v>2797</v>
      </c>
      <c r="X92" s="54" t="s">
        <v>4101</v>
      </c>
      <c r="Y92" s="52"/>
      <c r="Z92" s="3" t="s">
        <v>61</v>
      </c>
      <c r="AA92" s="1" t="s">
        <v>330</v>
      </c>
      <c r="AB92" s="1"/>
      <c r="AC92" s="1"/>
      <c r="AD92" s="3" t="s">
        <v>62</v>
      </c>
      <c r="AE92" s="3" t="s">
        <v>83</v>
      </c>
      <c r="AF92" s="1"/>
      <c r="AG92" s="3" t="s">
        <v>331</v>
      </c>
      <c r="AH92" s="59">
        <v>100</v>
      </c>
      <c r="AI92" s="3"/>
      <c r="AJ92" s="59"/>
      <c r="AK92" s="3"/>
      <c r="AL92" s="53"/>
      <c r="AM92" s="3"/>
      <c r="AN92" s="53"/>
      <c r="AO92" s="3"/>
      <c r="AP92" s="53"/>
      <c r="AQ92" s="3"/>
      <c r="AR92" s="53"/>
      <c r="AS92" s="3"/>
      <c r="AT92" s="53"/>
      <c r="AU92" s="3"/>
      <c r="AV92" s="53"/>
      <c r="AW92" s="3"/>
      <c r="AX92" s="53"/>
      <c r="AY92" s="3"/>
      <c r="AZ92" s="4" t="s">
        <v>328</v>
      </c>
      <c r="BA92" s="5"/>
      <c r="BB92" s="1"/>
      <c r="BC92" s="1"/>
    </row>
    <row r="93" spans="1:55" s="78" customFormat="1" ht="15" customHeight="1" x14ac:dyDescent="0.25">
      <c r="A93" s="52" t="s">
        <v>4102</v>
      </c>
      <c r="B93" s="34" t="s">
        <v>59</v>
      </c>
      <c r="C93" s="53">
        <v>2026</v>
      </c>
      <c r="D93" s="53">
        <v>2026</v>
      </c>
      <c r="E93" s="54" t="s">
        <v>2942</v>
      </c>
      <c r="F93" s="55" t="s">
        <v>50</v>
      </c>
      <c r="G93" s="55" t="s">
        <v>50</v>
      </c>
      <c r="H93" s="45" t="s">
        <v>334</v>
      </c>
      <c r="I93" s="56" t="s">
        <v>78</v>
      </c>
      <c r="J93" s="56" t="s">
        <v>291</v>
      </c>
      <c r="K93" s="56" t="s">
        <v>292</v>
      </c>
      <c r="L93" s="55" t="s">
        <v>88</v>
      </c>
      <c r="M93" s="55"/>
      <c r="N93" s="56" t="s">
        <v>181</v>
      </c>
      <c r="O93" s="56"/>
      <c r="P93" s="56" t="s">
        <v>89</v>
      </c>
      <c r="Q93" s="55" t="s">
        <v>89</v>
      </c>
      <c r="R93" s="55"/>
      <c r="S93" s="56" t="s">
        <v>81</v>
      </c>
      <c r="T93" s="55" t="s">
        <v>81</v>
      </c>
      <c r="U93" s="72">
        <v>554390.67299999995</v>
      </c>
      <c r="V93" s="57" t="s">
        <v>101</v>
      </c>
      <c r="W93" s="55" t="s">
        <v>106</v>
      </c>
      <c r="X93" s="54" t="s">
        <v>4102</v>
      </c>
      <c r="Y93" s="52"/>
      <c r="Z93" s="2" t="s">
        <v>2005</v>
      </c>
      <c r="AA93" s="1" t="s">
        <v>335</v>
      </c>
      <c r="AB93" s="1"/>
      <c r="AC93" s="1"/>
      <c r="AD93" s="3" t="s">
        <v>62</v>
      </c>
      <c r="AE93" s="2" t="s">
        <v>336</v>
      </c>
      <c r="AF93" s="1" t="s">
        <v>337</v>
      </c>
      <c r="AG93" s="1" t="s">
        <v>338</v>
      </c>
      <c r="AH93" s="2">
        <v>100</v>
      </c>
      <c r="AI93" s="1"/>
      <c r="AJ93" s="1"/>
      <c r="AK93" s="1"/>
      <c r="AL93" s="1"/>
      <c r="AM93" s="1"/>
      <c r="AN93" s="1"/>
      <c r="AO93" s="1"/>
      <c r="AP93" s="1"/>
      <c r="AQ93" s="1"/>
      <c r="AR93" s="1"/>
      <c r="AS93" s="1"/>
      <c r="AT93" s="1"/>
      <c r="AU93" s="1"/>
      <c r="AV93" s="1"/>
      <c r="AW93" s="1"/>
      <c r="AX93" s="1"/>
      <c r="AY93" s="1"/>
      <c r="AZ93" s="4" t="s">
        <v>333</v>
      </c>
      <c r="BA93" s="4"/>
      <c r="BB93" s="1"/>
      <c r="BC93" s="1"/>
    </row>
    <row r="94" spans="1:55" s="78" customFormat="1" ht="15" customHeight="1" x14ac:dyDescent="0.25">
      <c r="A94" s="52" t="s">
        <v>4103</v>
      </c>
      <c r="B94" s="34" t="s">
        <v>59</v>
      </c>
      <c r="C94" s="53">
        <v>2026</v>
      </c>
      <c r="D94" s="53">
        <v>2026</v>
      </c>
      <c r="E94" s="54" t="s">
        <v>2943</v>
      </c>
      <c r="F94" s="55" t="s">
        <v>50</v>
      </c>
      <c r="G94" s="55" t="s">
        <v>50</v>
      </c>
      <c r="H94" s="45" t="s">
        <v>340</v>
      </c>
      <c r="I94" s="56" t="s">
        <v>52</v>
      </c>
      <c r="J94" s="56"/>
      <c r="K94" s="55" t="s">
        <v>135</v>
      </c>
      <c r="L94" s="55"/>
      <c r="M94" s="55"/>
      <c r="N94" s="55" t="s">
        <v>270</v>
      </c>
      <c r="O94" s="55"/>
      <c r="P94" s="55" t="s">
        <v>136</v>
      </c>
      <c r="Q94" s="55" t="s">
        <v>57</v>
      </c>
      <c r="R94" s="55"/>
      <c r="S94" s="56" t="s">
        <v>58</v>
      </c>
      <c r="T94" s="55" t="s">
        <v>81</v>
      </c>
      <c r="U94" s="57">
        <v>-999</v>
      </c>
      <c r="V94" s="57" t="s">
        <v>59</v>
      </c>
      <c r="W94" s="55" t="s">
        <v>2319</v>
      </c>
      <c r="X94" s="54" t="s">
        <v>4103</v>
      </c>
      <c r="Y94" s="52"/>
      <c r="Z94" s="3" t="s">
        <v>61</v>
      </c>
      <c r="AA94" s="3" t="s">
        <v>341</v>
      </c>
      <c r="AB94" s="3"/>
      <c r="AC94" s="3"/>
      <c r="AD94" s="3" t="s">
        <v>62</v>
      </c>
      <c r="AE94" s="1" t="s">
        <v>342</v>
      </c>
      <c r="AF94" s="1"/>
      <c r="AG94" s="1" t="s">
        <v>343</v>
      </c>
      <c r="AH94" s="2">
        <v>100</v>
      </c>
      <c r="AI94" s="3"/>
      <c r="AJ94" s="3"/>
      <c r="AK94" s="3"/>
      <c r="AL94" s="3"/>
      <c r="AM94" s="3"/>
      <c r="AN94" s="3"/>
      <c r="AO94" s="3"/>
      <c r="AP94" s="3"/>
      <c r="AQ94" s="3"/>
      <c r="AR94" s="3"/>
      <c r="AS94" s="3"/>
      <c r="AT94" s="3"/>
      <c r="AU94" s="3"/>
      <c r="AV94" s="3"/>
      <c r="AW94" s="3"/>
      <c r="AX94" s="3"/>
      <c r="AY94" s="3"/>
      <c r="AZ94" s="4" t="s">
        <v>339</v>
      </c>
      <c r="BA94" s="3"/>
      <c r="BB94" s="1"/>
      <c r="BC94" s="1"/>
    </row>
    <row r="95" spans="1:55" s="78" customFormat="1" ht="15" customHeight="1" x14ac:dyDescent="0.25">
      <c r="A95" s="52" t="s">
        <v>4104</v>
      </c>
      <c r="B95" s="34" t="s">
        <v>59</v>
      </c>
      <c r="C95" s="53">
        <v>2026</v>
      </c>
      <c r="D95" s="53">
        <v>2026</v>
      </c>
      <c r="E95" s="54" t="s">
        <v>2944</v>
      </c>
      <c r="F95" s="55" t="s">
        <v>50</v>
      </c>
      <c r="G95" s="55" t="s">
        <v>50</v>
      </c>
      <c r="H95" s="45" t="s">
        <v>345</v>
      </c>
      <c r="I95" s="63" t="s">
        <v>78</v>
      </c>
      <c r="J95" s="56"/>
      <c r="K95" s="63" t="s">
        <v>346</v>
      </c>
      <c r="L95" s="63" t="s">
        <v>88</v>
      </c>
      <c r="M95" s="55"/>
      <c r="N95" s="56" t="s">
        <v>181</v>
      </c>
      <c r="O95" s="56" t="s">
        <v>181</v>
      </c>
      <c r="P95" s="56" t="s">
        <v>89</v>
      </c>
      <c r="Q95" s="56" t="s">
        <v>89</v>
      </c>
      <c r="R95" s="55"/>
      <c r="S95" s="56" t="s">
        <v>81</v>
      </c>
      <c r="T95" s="55" t="s">
        <v>81</v>
      </c>
      <c r="U95" s="57">
        <v>1300000</v>
      </c>
      <c r="V95" s="57" t="s">
        <v>101</v>
      </c>
      <c r="W95" s="55" t="s">
        <v>2319</v>
      </c>
      <c r="X95" s="54" t="s">
        <v>4104</v>
      </c>
      <c r="Y95" s="52"/>
      <c r="Z95" s="3" t="s">
        <v>154</v>
      </c>
      <c r="AA95" s="3" t="s">
        <v>347</v>
      </c>
      <c r="AB95" s="3"/>
      <c r="AC95" s="3"/>
      <c r="AD95" s="3" t="s">
        <v>62</v>
      </c>
      <c r="AE95" s="1" t="s">
        <v>131</v>
      </c>
      <c r="AF95" s="11"/>
      <c r="AG95" s="11" t="s">
        <v>348</v>
      </c>
      <c r="AH95" s="58">
        <v>100</v>
      </c>
      <c r="AI95" s="3"/>
      <c r="AJ95" s="3"/>
      <c r="AK95" s="3"/>
      <c r="AL95" s="3"/>
      <c r="AM95" s="3"/>
      <c r="AN95" s="3"/>
      <c r="AO95" s="3"/>
      <c r="AP95" s="3"/>
      <c r="AQ95" s="3"/>
      <c r="AR95" s="3"/>
      <c r="AS95" s="3"/>
      <c r="AT95" s="3"/>
      <c r="AU95" s="3"/>
      <c r="AV95" s="3"/>
      <c r="AW95" s="3"/>
      <c r="AX95" s="3"/>
      <c r="AY95" s="3"/>
      <c r="AZ95" s="11" t="s">
        <v>344</v>
      </c>
      <c r="BA95" s="11"/>
      <c r="BB95" s="1"/>
      <c r="BC95" s="1"/>
    </row>
    <row r="96" spans="1:55" s="78" customFormat="1" ht="15" customHeight="1" x14ac:dyDescent="0.25">
      <c r="A96" s="52" t="s">
        <v>4105</v>
      </c>
      <c r="B96" s="34" t="s">
        <v>59</v>
      </c>
      <c r="C96" s="53">
        <v>2026</v>
      </c>
      <c r="D96" s="53">
        <v>2026</v>
      </c>
      <c r="E96" s="54" t="s">
        <v>2945</v>
      </c>
      <c r="F96" s="55" t="s">
        <v>50</v>
      </c>
      <c r="G96" s="55" t="s">
        <v>50</v>
      </c>
      <c r="H96" s="45" t="s">
        <v>350</v>
      </c>
      <c r="I96" s="56" t="s">
        <v>52</v>
      </c>
      <c r="J96" s="56"/>
      <c r="K96" s="55" t="s">
        <v>313</v>
      </c>
      <c r="L96" s="55"/>
      <c r="M96" s="55" t="s">
        <v>113</v>
      </c>
      <c r="N96" s="56" t="s">
        <v>358</v>
      </c>
      <c r="O96" s="56" t="s">
        <v>351</v>
      </c>
      <c r="P96" s="56" t="s">
        <v>314</v>
      </c>
      <c r="Q96" s="61" t="s">
        <v>57</v>
      </c>
      <c r="R96" s="55"/>
      <c r="S96" s="56" t="s">
        <v>81</v>
      </c>
      <c r="T96" s="55" t="s">
        <v>81</v>
      </c>
      <c r="U96" s="57">
        <v>100000</v>
      </c>
      <c r="V96" s="57" t="s">
        <v>101</v>
      </c>
      <c r="W96" s="55" t="s">
        <v>106</v>
      </c>
      <c r="X96" s="54" t="s">
        <v>4105</v>
      </c>
      <c r="Y96" s="52"/>
      <c r="Z96" s="2" t="s">
        <v>61</v>
      </c>
      <c r="AA96" s="1" t="s">
        <v>352</v>
      </c>
      <c r="AB96" s="1"/>
      <c r="AC96" s="1"/>
      <c r="AD96" s="3" t="s">
        <v>62</v>
      </c>
      <c r="AE96" s="2" t="s">
        <v>353</v>
      </c>
      <c r="AF96" s="1" t="s">
        <v>354</v>
      </c>
      <c r="AG96" s="1" t="s">
        <v>355</v>
      </c>
      <c r="AH96" s="2">
        <v>100</v>
      </c>
      <c r="AI96" s="1"/>
      <c r="AJ96" s="1"/>
      <c r="AK96" s="1"/>
      <c r="AL96" s="1"/>
      <c r="AM96" s="1"/>
      <c r="AN96" s="1"/>
      <c r="AO96" s="1"/>
      <c r="AP96" s="1"/>
      <c r="AQ96" s="1"/>
      <c r="AR96" s="1"/>
      <c r="AS96" s="1"/>
      <c r="AT96" s="1"/>
      <c r="AU96" s="1"/>
      <c r="AV96" s="1"/>
      <c r="AW96" s="1"/>
      <c r="AX96" s="1"/>
      <c r="AY96" s="1"/>
      <c r="AZ96" s="4" t="s">
        <v>349</v>
      </c>
      <c r="BA96" s="1"/>
      <c r="BB96" s="1"/>
      <c r="BC96" s="1"/>
    </row>
    <row r="97" spans="1:55" s="78" customFormat="1" ht="15" customHeight="1" x14ac:dyDescent="0.25">
      <c r="A97" s="52" t="s">
        <v>4106</v>
      </c>
      <c r="B97" s="34" t="s">
        <v>59</v>
      </c>
      <c r="C97" s="53">
        <v>2026</v>
      </c>
      <c r="D97" s="53">
        <v>2026</v>
      </c>
      <c r="E97" s="54" t="s">
        <v>2946</v>
      </c>
      <c r="F97" s="55" t="s">
        <v>50</v>
      </c>
      <c r="G97" s="55" t="s">
        <v>50</v>
      </c>
      <c r="H97" s="45" t="s">
        <v>357</v>
      </c>
      <c r="I97" s="45" t="s">
        <v>52</v>
      </c>
      <c r="J97" s="56" t="s">
        <v>291</v>
      </c>
      <c r="K97" s="55" t="s">
        <v>291</v>
      </c>
      <c r="L97" s="55"/>
      <c r="M97" s="55"/>
      <c r="N97" s="56" t="s">
        <v>300</v>
      </c>
      <c r="O97" s="55"/>
      <c r="P97" s="56" t="s">
        <v>293</v>
      </c>
      <c r="Q97" s="55" t="s">
        <v>57</v>
      </c>
      <c r="R97" s="55"/>
      <c r="S97" s="56" t="s">
        <v>58</v>
      </c>
      <c r="T97" s="55" t="str">
        <f>IF(ISNUMBER(SEARCH(",",N97)),"Y","N")</f>
        <v>N</v>
      </c>
      <c r="U97" s="57">
        <v>2000000</v>
      </c>
      <c r="V97" s="57" t="s">
        <v>101</v>
      </c>
      <c r="W97" s="55" t="s">
        <v>2319</v>
      </c>
      <c r="X97" s="54" t="s">
        <v>4106</v>
      </c>
      <c r="Y97" s="52"/>
      <c r="Z97" s="3" t="s">
        <v>61</v>
      </c>
      <c r="AA97" s="3" t="s">
        <v>359</v>
      </c>
      <c r="AB97" s="3"/>
      <c r="AC97" s="3"/>
      <c r="AD97" s="3" t="s">
        <v>62</v>
      </c>
      <c r="AE97" s="3" t="s">
        <v>360</v>
      </c>
      <c r="AF97" s="3"/>
      <c r="AG97" s="3" t="s">
        <v>361</v>
      </c>
      <c r="AH97" s="58">
        <v>100</v>
      </c>
      <c r="AI97" s="3"/>
      <c r="AJ97" s="3"/>
      <c r="AK97" s="3"/>
      <c r="AL97" s="3"/>
      <c r="AM97" s="3"/>
      <c r="AN97" s="3"/>
      <c r="AO97" s="3"/>
      <c r="AP97" s="3"/>
      <c r="AQ97" s="3"/>
      <c r="AR97" s="3"/>
      <c r="AS97" s="3"/>
      <c r="AT97" s="3"/>
      <c r="AU97" s="3"/>
      <c r="AV97" s="3"/>
      <c r="AW97" s="3"/>
      <c r="AX97" s="3"/>
      <c r="AY97" s="3"/>
      <c r="AZ97" s="4" t="s">
        <v>356</v>
      </c>
      <c r="BA97" s="3"/>
      <c r="BB97" s="1"/>
      <c r="BC97" s="1"/>
    </row>
    <row r="98" spans="1:55" s="78" customFormat="1" ht="15" customHeight="1" x14ac:dyDescent="0.25">
      <c r="A98" s="52" t="s">
        <v>4107</v>
      </c>
      <c r="B98" s="34" t="s">
        <v>59</v>
      </c>
      <c r="C98" s="53">
        <v>2026</v>
      </c>
      <c r="D98" s="53">
        <v>2026</v>
      </c>
      <c r="E98" s="54" t="s">
        <v>2946</v>
      </c>
      <c r="F98" s="55" t="s">
        <v>50</v>
      </c>
      <c r="G98" s="55" t="s">
        <v>50</v>
      </c>
      <c r="H98" s="45" t="s">
        <v>357</v>
      </c>
      <c r="I98" s="45" t="s">
        <v>52</v>
      </c>
      <c r="J98" s="56"/>
      <c r="K98" s="55" t="s">
        <v>210</v>
      </c>
      <c r="L98" s="55" t="s">
        <v>54</v>
      </c>
      <c r="M98" s="55"/>
      <c r="N98" s="55" t="s">
        <v>212</v>
      </c>
      <c r="O98" s="55"/>
      <c r="P98" s="55" t="s">
        <v>89</v>
      </c>
      <c r="Q98" s="55" t="s">
        <v>89</v>
      </c>
      <c r="R98" s="55"/>
      <c r="S98" s="56" t="s">
        <v>58</v>
      </c>
      <c r="T98" s="55" t="s">
        <v>81</v>
      </c>
      <c r="U98" s="57">
        <v>949000</v>
      </c>
      <c r="V98" s="57" t="s">
        <v>101</v>
      </c>
      <c r="W98" s="55" t="s">
        <v>2319</v>
      </c>
      <c r="X98" s="54" t="s">
        <v>4107</v>
      </c>
      <c r="Y98" s="52"/>
      <c r="Z98" s="3" t="s">
        <v>61</v>
      </c>
      <c r="AA98" s="1" t="s">
        <v>359</v>
      </c>
      <c r="AB98" s="1"/>
      <c r="AC98" s="1"/>
      <c r="AD98" s="3" t="s">
        <v>62</v>
      </c>
      <c r="AE98" s="3" t="s">
        <v>360</v>
      </c>
      <c r="AF98" s="3"/>
      <c r="AG98" s="3" t="s">
        <v>361</v>
      </c>
      <c r="AH98" s="2">
        <v>100</v>
      </c>
      <c r="AI98" s="1"/>
      <c r="AJ98" s="2"/>
      <c r="AK98" s="3"/>
      <c r="AL98" s="3"/>
      <c r="AM98" s="3"/>
      <c r="AN98" s="3"/>
      <c r="AO98" s="3"/>
      <c r="AP98" s="3"/>
      <c r="AQ98" s="3"/>
      <c r="AR98" s="3"/>
      <c r="AS98" s="3"/>
      <c r="AT98" s="3"/>
      <c r="AU98" s="3"/>
      <c r="AV98" s="3"/>
      <c r="AW98" s="3"/>
      <c r="AX98" s="3"/>
      <c r="AY98" s="3"/>
      <c r="AZ98" s="4" t="s">
        <v>362</v>
      </c>
      <c r="BA98" s="3"/>
      <c r="BB98" s="1"/>
      <c r="BC98" s="1"/>
    </row>
    <row r="99" spans="1:55" s="78" customFormat="1" ht="15" customHeight="1" x14ac:dyDescent="0.25">
      <c r="A99" s="52" t="s">
        <v>4108</v>
      </c>
      <c r="B99" s="34" t="s">
        <v>59</v>
      </c>
      <c r="C99" s="53">
        <v>2026</v>
      </c>
      <c r="D99" s="53">
        <v>2026</v>
      </c>
      <c r="E99" s="54" t="s">
        <v>2947</v>
      </c>
      <c r="F99" s="55" t="s">
        <v>50</v>
      </c>
      <c r="G99" s="55" t="s">
        <v>50</v>
      </c>
      <c r="H99" s="45" t="s">
        <v>364</v>
      </c>
      <c r="I99" s="56" t="s">
        <v>52</v>
      </c>
      <c r="J99" s="56"/>
      <c r="K99" s="56" t="s">
        <v>87</v>
      </c>
      <c r="L99" s="55" t="str">
        <f>IF(K99="Mine or Quarry","Mine","")</f>
        <v/>
      </c>
      <c r="M99" s="55"/>
      <c r="N99" s="56"/>
      <c r="O99" s="56" t="s">
        <v>2882</v>
      </c>
      <c r="P99" s="56" t="s">
        <v>89</v>
      </c>
      <c r="Q99" s="56" t="s">
        <v>89</v>
      </c>
      <c r="R99" s="55"/>
      <c r="S99" s="56" t="s">
        <v>81</v>
      </c>
      <c r="T99" s="55" t="s">
        <v>58</v>
      </c>
      <c r="U99" s="57">
        <v>630000</v>
      </c>
      <c r="V99" s="57" t="s">
        <v>101</v>
      </c>
      <c r="W99" s="55" t="s">
        <v>2319</v>
      </c>
      <c r="X99" s="54" t="s">
        <v>4108</v>
      </c>
      <c r="Y99" s="52"/>
      <c r="Z99" s="1" t="s">
        <v>61</v>
      </c>
      <c r="AA99" s="1" t="s">
        <v>365</v>
      </c>
      <c r="AB99" s="1"/>
      <c r="AC99" s="1"/>
      <c r="AD99" s="3" t="s">
        <v>62</v>
      </c>
      <c r="AE99" s="1" t="s">
        <v>366</v>
      </c>
      <c r="AF99" s="1" t="s">
        <v>367</v>
      </c>
      <c r="AG99" s="1" t="s">
        <v>368</v>
      </c>
      <c r="AH99" s="2">
        <v>100</v>
      </c>
      <c r="AI99" s="1"/>
      <c r="AJ99" s="1"/>
      <c r="AK99" s="1"/>
      <c r="AL99" s="1"/>
      <c r="AM99" s="1"/>
      <c r="AN99" s="1"/>
      <c r="AO99" s="1"/>
      <c r="AP99" s="1"/>
      <c r="AQ99" s="1"/>
      <c r="AR99" s="1"/>
      <c r="AS99" s="1"/>
      <c r="AT99" s="1"/>
      <c r="AU99" s="1"/>
      <c r="AV99" s="1"/>
      <c r="AW99" s="1"/>
      <c r="AX99" s="1"/>
      <c r="AY99" s="1"/>
      <c r="AZ99" s="5" t="s">
        <v>363</v>
      </c>
      <c r="BA99" s="5"/>
      <c r="BB99" s="1"/>
      <c r="BC99" s="1"/>
    </row>
    <row r="100" spans="1:55" s="78" customFormat="1" ht="15" customHeight="1" x14ac:dyDescent="0.25">
      <c r="A100" s="52" t="s">
        <v>4109</v>
      </c>
      <c r="B100" s="34" t="s">
        <v>59</v>
      </c>
      <c r="C100" s="53">
        <v>2026</v>
      </c>
      <c r="D100" s="53">
        <v>2026</v>
      </c>
      <c r="E100" s="54" t="s">
        <v>2948</v>
      </c>
      <c r="F100" s="55" t="s">
        <v>50</v>
      </c>
      <c r="G100" s="55" t="s">
        <v>50</v>
      </c>
      <c r="H100" s="45" t="s">
        <v>369</v>
      </c>
      <c r="I100" s="45" t="s">
        <v>78</v>
      </c>
      <c r="J100" s="56"/>
      <c r="K100" s="55" t="s">
        <v>87</v>
      </c>
      <c r="L100" s="55"/>
      <c r="M100" s="55"/>
      <c r="N100" s="55" t="s">
        <v>181</v>
      </c>
      <c r="O100" s="55" t="s">
        <v>370</v>
      </c>
      <c r="P100" s="56" t="s">
        <v>89</v>
      </c>
      <c r="Q100" s="55" t="s">
        <v>89</v>
      </c>
      <c r="R100" s="55"/>
      <c r="S100" s="56" t="s">
        <v>81</v>
      </c>
      <c r="T100" s="55" t="s">
        <v>81</v>
      </c>
      <c r="U100" s="57">
        <v>-999</v>
      </c>
      <c r="V100" s="57" t="s">
        <v>59</v>
      </c>
      <c r="W100" s="55" t="s">
        <v>2319</v>
      </c>
      <c r="X100" s="54" t="s">
        <v>4109</v>
      </c>
      <c r="Y100" s="52"/>
      <c r="Z100" s="3" t="s">
        <v>61</v>
      </c>
      <c r="AA100" s="1" t="s">
        <v>365</v>
      </c>
      <c r="AB100" s="1"/>
      <c r="AC100" s="1"/>
      <c r="AD100" s="3" t="s">
        <v>62</v>
      </c>
      <c r="AE100" s="3" t="s">
        <v>366</v>
      </c>
      <c r="AF100" s="1" t="s">
        <v>367</v>
      </c>
      <c r="AG100" s="1" t="s">
        <v>368</v>
      </c>
      <c r="AH100" s="2">
        <v>100</v>
      </c>
      <c r="AI100" s="3"/>
      <c r="AJ100" s="53"/>
      <c r="AK100" s="3"/>
      <c r="AL100" s="53"/>
      <c r="AM100" s="3"/>
      <c r="AN100" s="53"/>
      <c r="AO100" s="3"/>
      <c r="AP100" s="53"/>
      <c r="AQ100" s="3"/>
      <c r="AR100" s="53"/>
      <c r="AS100" s="3"/>
      <c r="AT100" s="53"/>
      <c r="AU100" s="3"/>
      <c r="AV100" s="53"/>
      <c r="AW100" s="3"/>
      <c r="AX100" s="53"/>
      <c r="AY100" s="3"/>
      <c r="AZ100" s="5" t="s">
        <v>363</v>
      </c>
      <c r="BA100" s="3"/>
      <c r="BB100" s="1"/>
      <c r="BC100" s="1"/>
    </row>
    <row r="101" spans="1:55" s="78" customFormat="1" ht="15" customHeight="1" x14ac:dyDescent="0.25">
      <c r="A101" s="52" t="s">
        <v>4110</v>
      </c>
      <c r="B101" s="34" t="s">
        <v>59</v>
      </c>
      <c r="C101" s="53">
        <v>2026</v>
      </c>
      <c r="D101" s="53">
        <v>2026</v>
      </c>
      <c r="E101" s="54" t="s">
        <v>2949</v>
      </c>
      <c r="F101" s="55" t="s">
        <v>50</v>
      </c>
      <c r="G101" s="55" t="s">
        <v>50</v>
      </c>
      <c r="H101" s="45" t="s">
        <v>372</v>
      </c>
      <c r="I101" s="45" t="s">
        <v>52</v>
      </c>
      <c r="J101" s="56"/>
      <c r="K101" s="55" t="s">
        <v>210</v>
      </c>
      <c r="L101" s="55" t="s">
        <v>54</v>
      </c>
      <c r="M101" s="55" t="s">
        <v>211</v>
      </c>
      <c r="N101" s="55" t="s">
        <v>212</v>
      </c>
      <c r="O101" s="55"/>
      <c r="P101" s="55" t="s">
        <v>89</v>
      </c>
      <c r="Q101" s="55" t="s">
        <v>89</v>
      </c>
      <c r="R101" s="55"/>
      <c r="S101" s="56" t="s">
        <v>81</v>
      </c>
      <c r="T101" s="55" t="s">
        <v>81</v>
      </c>
      <c r="U101" s="57">
        <v>1022000</v>
      </c>
      <c r="V101" s="57" t="s">
        <v>101</v>
      </c>
      <c r="W101" s="55" t="s">
        <v>2319</v>
      </c>
      <c r="X101" s="54" t="s">
        <v>4110</v>
      </c>
      <c r="Y101" s="52"/>
      <c r="Z101" s="3" t="s">
        <v>61</v>
      </c>
      <c r="AA101" s="1" t="s">
        <v>373</v>
      </c>
      <c r="AB101" s="1"/>
      <c r="AC101" s="1"/>
      <c r="AD101" s="3" t="s">
        <v>62</v>
      </c>
      <c r="AE101" s="3" t="s">
        <v>206</v>
      </c>
      <c r="AF101" s="3"/>
      <c r="AG101" s="1" t="s">
        <v>374</v>
      </c>
      <c r="AH101" s="2">
        <v>100</v>
      </c>
      <c r="AI101" s="1"/>
      <c r="AJ101" s="2"/>
      <c r="AK101" s="3"/>
      <c r="AL101" s="3"/>
      <c r="AM101" s="3"/>
      <c r="AN101" s="3"/>
      <c r="AO101" s="3"/>
      <c r="AP101" s="3"/>
      <c r="AQ101" s="3"/>
      <c r="AR101" s="3"/>
      <c r="AS101" s="3"/>
      <c r="AT101" s="3"/>
      <c r="AU101" s="3"/>
      <c r="AV101" s="3"/>
      <c r="AW101" s="3"/>
      <c r="AX101" s="3"/>
      <c r="AY101" s="3"/>
      <c r="AZ101" s="4" t="s">
        <v>371</v>
      </c>
      <c r="BA101" s="3"/>
      <c r="BB101" s="1"/>
      <c r="BC101" s="1"/>
    </row>
    <row r="102" spans="1:55" s="78" customFormat="1" ht="15" customHeight="1" x14ac:dyDescent="0.25">
      <c r="A102" s="52" t="s">
        <v>4111</v>
      </c>
      <c r="B102" s="34" t="s">
        <v>59</v>
      </c>
      <c r="C102" s="53">
        <v>2026</v>
      </c>
      <c r="D102" s="53">
        <v>2026</v>
      </c>
      <c r="E102" s="54" t="s">
        <v>2950</v>
      </c>
      <c r="F102" s="55" t="s">
        <v>50</v>
      </c>
      <c r="G102" s="55" t="s">
        <v>50</v>
      </c>
      <c r="H102" s="45" t="s">
        <v>375</v>
      </c>
      <c r="I102" s="56" t="s">
        <v>52</v>
      </c>
      <c r="J102" s="56"/>
      <c r="K102" s="56" t="s">
        <v>204</v>
      </c>
      <c r="L102" s="55"/>
      <c r="M102" s="55"/>
      <c r="N102" s="56"/>
      <c r="O102" s="56"/>
      <c r="P102" s="55" t="s">
        <v>89</v>
      </c>
      <c r="Q102" s="55" t="s">
        <v>89</v>
      </c>
      <c r="R102" s="55"/>
      <c r="S102" s="56" t="s">
        <v>81</v>
      </c>
      <c r="T102" s="55" t="s">
        <v>81</v>
      </c>
      <c r="U102" s="57">
        <v>280000</v>
      </c>
      <c r="V102" s="57" t="s">
        <v>101</v>
      </c>
      <c r="W102" s="55" t="s">
        <v>2319</v>
      </c>
      <c r="X102" s="54" t="s">
        <v>4111</v>
      </c>
      <c r="Y102" s="52"/>
      <c r="Z102" s="2" t="s">
        <v>61</v>
      </c>
      <c r="AA102" s="1" t="s">
        <v>376</v>
      </c>
      <c r="AB102" s="1"/>
      <c r="AC102" s="1"/>
      <c r="AD102" s="3" t="s">
        <v>62</v>
      </c>
      <c r="AE102" s="2" t="s">
        <v>83</v>
      </c>
      <c r="AF102" s="2"/>
      <c r="AG102" s="3" t="s">
        <v>207</v>
      </c>
      <c r="AH102" s="58"/>
      <c r="AI102" s="1"/>
      <c r="AJ102" s="1"/>
      <c r="AK102" s="1"/>
      <c r="AL102" s="1"/>
      <c r="AM102" s="1"/>
      <c r="AN102" s="1"/>
      <c r="AO102" s="1"/>
      <c r="AP102" s="1"/>
      <c r="AQ102" s="1"/>
      <c r="AR102" s="1"/>
      <c r="AS102" s="1"/>
      <c r="AT102" s="1"/>
      <c r="AU102" s="1"/>
      <c r="AV102" s="1"/>
      <c r="AW102" s="1"/>
      <c r="AX102" s="1"/>
      <c r="AY102" s="1"/>
      <c r="AZ102" s="4" t="s">
        <v>202</v>
      </c>
      <c r="BA102" s="1" t="s">
        <v>3822</v>
      </c>
      <c r="BB102" s="1"/>
      <c r="BC102" s="1"/>
    </row>
    <row r="103" spans="1:55" s="78" customFormat="1" ht="15" customHeight="1" x14ac:dyDescent="0.25">
      <c r="A103" s="52" t="s">
        <v>4112</v>
      </c>
      <c r="B103" s="34" t="s">
        <v>59</v>
      </c>
      <c r="C103" s="53">
        <v>2026</v>
      </c>
      <c r="D103" s="53">
        <v>2026</v>
      </c>
      <c r="E103" s="54" t="s">
        <v>2951</v>
      </c>
      <c r="F103" s="55" t="s">
        <v>50</v>
      </c>
      <c r="G103" s="55" t="s">
        <v>50</v>
      </c>
      <c r="H103" s="45" t="s">
        <v>378</v>
      </c>
      <c r="I103" s="45" t="s">
        <v>52</v>
      </c>
      <c r="J103" s="56"/>
      <c r="K103" s="55" t="s">
        <v>210</v>
      </c>
      <c r="L103" s="55" t="s">
        <v>54</v>
      </c>
      <c r="M103" s="55" t="s">
        <v>211</v>
      </c>
      <c r="N103" s="55" t="s">
        <v>212</v>
      </c>
      <c r="O103" s="55"/>
      <c r="P103" s="55" t="s">
        <v>89</v>
      </c>
      <c r="Q103" s="55" t="s">
        <v>89</v>
      </c>
      <c r="R103" s="55"/>
      <c r="S103" s="56" t="s">
        <v>81</v>
      </c>
      <c r="T103" s="55" t="s">
        <v>81</v>
      </c>
      <c r="U103" s="57">
        <v>292000</v>
      </c>
      <c r="V103" s="57" t="s">
        <v>101</v>
      </c>
      <c r="W103" s="55" t="s">
        <v>2319</v>
      </c>
      <c r="X103" s="54" t="s">
        <v>4112</v>
      </c>
      <c r="Y103" s="52"/>
      <c r="Z103" s="3" t="s">
        <v>61</v>
      </c>
      <c r="AA103" s="1" t="s">
        <v>379</v>
      </c>
      <c r="AB103" s="1"/>
      <c r="AC103" s="1"/>
      <c r="AD103" s="3" t="s">
        <v>62</v>
      </c>
      <c r="AE103" s="3" t="s">
        <v>184</v>
      </c>
      <c r="AF103" s="3"/>
      <c r="AG103" s="1" t="s">
        <v>374</v>
      </c>
      <c r="AH103" s="2">
        <v>100</v>
      </c>
      <c r="AI103" s="1"/>
      <c r="AJ103" s="2"/>
      <c r="AK103" s="3"/>
      <c r="AL103" s="3"/>
      <c r="AM103" s="3"/>
      <c r="AN103" s="3"/>
      <c r="AO103" s="3"/>
      <c r="AP103" s="3"/>
      <c r="AQ103" s="3"/>
      <c r="AR103" s="3"/>
      <c r="AS103" s="3"/>
      <c r="AT103" s="3"/>
      <c r="AU103" s="3"/>
      <c r="AV103" s="3"/>
      <c r="AW103" s="3"/>
      <c r="AX103" s="3"/>
      <c r="AY103" s="3"/>
      <c r="AZ103" s="4" t="s">
        <v>377</v>
      </c>
      <c r="BA103" s="3"/>
      <c r="BB103" s="1"/>
      <c r="BC103" s="1"/>
    </row>
    <row r="104" spans="1:55" s="78" customFormat="1" ht="15" customHeight="1" x14ac:dyDescent="0.25">
      <c r="A104" s="52" t="s">
        <v>4113</v>
      </c>
      <c r="B104" s="34" t="s">
        <v>59</v>
      </c>
      <c r="C104" s="53">
        <v>2026</v>
      </c>
      <c r="D104" s="53">
        <v>2026</v>
      </c>
      <c r="E104" s="54" t="s">
        <v>2952</v>
      </c>
      <c r="F104" s="55" t="s">
        <v>50</v>
      </c>
      <c r="G104" s="55" t="s">
        <v>50</v>
      </c>
      <c r="H104" s="45" t="s">
        <v>380</v>
      </c>
      <c r="I104" s="45" t="s">
        <v>52</v>
      </c>
      <c r="J104" s="56"/>
      <c r="K104" s="55" t="s">
        <v>210</v>
      </c>
      <c r="L104" s="55" t="s">
        <v>54</v>
      </c>
      <c r="M104" s="55" t="s">
        <v>211</v>
      </c>
      <c r="N104" s="55" t="s">
        <v>212</v>
      </c>
      <c r="O104" s="55"/>
      <c r="P104" s="55" t="s">
        <v>89</v>
      </c>
      <c r="Q104" s="55" t="s">
        <v>89</v>
      </c>
      <c r="R104" s="55"/>
      <c r="S104" s="56" t="s">
        <v>81</v>
      </c>
      <c r="T104" s="55" t="s">
        <v>81</v>
      </c>
      <c r="U104" s="57">
        <v>292000</v>
      </c>
      <c r="V104" s="57" t="s">
        <v>101</v>
      </c>
      <c r="W104" s="55" t="s">
        <v>2319</v>
      </c>
      <c r="X104" s="54" t="s">
        <v>4113</v>
      </c>
      <c r="Y104" s="52"/>
      <c r="Z104" s="3" t="s">
        <v>61</v>
      </c>
      <c r="AA104" s="1" t="s">
        <v>381</v>
      </c>
      <c r="AB104" s="1"/>
      <c r="AC104" s="1"/>
      <c r="AD104" s="3" t="s">
        <v>62</v>
      </c>
      <c r="AE104" s="3" t="s">
        <v>184</v>
      </c>
      <c r="AF104" s="3"/>
      <c r="AG104" s="1" t="s">
        <v>374</v>
      </c>
      <c r="AH104" s="2">
        <v>100</v>
      </c>
      <c r="AI104" s="1"/>
      <c r="AJ104" s="2"/>
      <c r="AK104" s="3"/>
      <c r="AL104" s="3"/>
      <c r="AM104" s="3"/>
      <c r="AN104" s="3"/>
      <c r="AO104" s="3"/>
      <c r="AP104" s="3"/>
      <c r="AQ104" s="3"/>
      <c r="AR104" s="3"/>
      <c r="AS104" s="3"/>
      <c r="AT104" s="3"/>
      <c r="AU104" s="3"/>
      <c r="AV104" s="3"/>
      <c r="AW104" s="3"/>
      <c r="AX104" s="3"/>
      <c r="AY104" s="3"/>
      <c r="AZ104" s="4" t="s">
        <v>377</v>
      </c>
      <c r="BA104" s="3"/>
      <c r="BB104" s="1"/>
      <c r="BC104" s="1"/>
    </row>
    <row r="105" spans="1:55" s="78" customFormat="1" ht="15" customHeight="1" x14ac:dyDescent="0.25">
      <c r="A105" s="52" t="s">
        <v>4114</v>
      </c>
      <c r="B105" s="34" t="s">
        <v>59</v>
      </c>
      <c r="C105" s="53">
        <v>2026</v>
      </c>
      <c r="D105" s="53">
        <v>2026</v>
      </c>
      <c r="E105" s="54" t="s">
        <v>2953</v>
      </c>
      <c r="F105" s="55" t="s">
        <v>50</v>
      </c>
      <c r="G105" s="55" t="s">
        <v>50</v>
      </c>
      <c r="H105" s="45" t="s">
        <v>383</v>
      </c>
      <c r="I105" s="56" t="s">
        <v>78</v>
      </c>
      <c r="J105" s="55" t="s">
        <v>384</v>
      </c>
      <c r="K105" s="55" t="s">
        <v>384</v>
      </c>
      <c r="L105" s="55" t="s">
        <v>88</v>
      </c>
      <c r="M105" s="55"/>
      <c r="N105" s="55" t="s">
        <v>110</v>
      </c>
      <c r="O105" s="55"/>
      <c r="P105" s="55" t="s">
        <v>385</v>
      </c>
      <c r="Q105" s="55" t="s">
        <v>5353</v>
      </c>
      <c r="R105" s="55"/>
      <c r="S105" s="56" t="s">
        <v>81</v>
      </c>
      <c r="T105" s="55" t="str">
        <f>IF(ISNUMBER(SEARCH(",",N105)),"Y","N")</f>
        <v>N</v>
      </c>
      <c r="U105" s="57">
        <v>-999</v>
      </c>
      <c r="V105" s="57" t="s">
        <v>59</v>
      </c>
      <c r="W105" s="55" t="s">
        <v>2319</v>
      </c>
      <c r="X105" s="54" t="s">
        <v>4114</v>
      </c>
      <c r="Y105" s="52"/>
      <c r="Z105" s="3" t="s">
        <v>154</v>
      </c>
      <c r="AA105" s="3" t="s">
        <v>386</v>
      </c>
      <c r="AB105" s="3"/>
      <c r="AC105" s="3"/>
      <c r="AD105" s="3" t="s">
        <v>62</v>
      </c>
      <c r="AE105" s="3" t="s">
        <v>387</v>
      </c>
      <c r="AF105" s="3" t="s">
        <v>388</v>
      </c>
      <c r="AG105" s="3" t="s">
        <v>389</v>
      </c>
      <c r="AH105" s="58">
        <v>100</v>
      </c>
      <c r="AI105" s="3"/>
      <c r="AJ105" s="3"/>
      <c r="AK105" s="3"/>
      <c r="AL105" s="3"/>
      <c r="AM105" s="3"/>
      <c r="AN105" s="3"/>
      <c r="AO105" s="3"/>
      <c r="AP105" s="3"/>
      <c r="AQ105" s="3"/>
      <c r="AR105" s="3"/>
      <c r="AS105" s="3"/>
      <c r="AT105" s="3"/>
      <c r="AU105" s="3"/>
      <c r="AV105" s="3"/>
      <c r="AW105" s="3"/>
      <c r="AX105" s="3"/>
      <c r="AY105" s="3"/>
      <c r="AZ105" s="4" t="s">
        <v>382</v>
      </c>
      <c r="BA105" s="3"/>
      <c r="BB105" s="1"/>
      <c r="BC105" s="1"/>
    </row>
    <row r="106" spans="1:55" s="78" customFormat="1" ht="15" customHeight="1" x14ac:dyDescent="0.25">
      <c r="A106" s="52" t="s">
        <v>4115</v>
      </c>
      <c r="B106" s="34" t="s">
        <v>59</v>
      </c>
      <c r="C106" s="53">
        <v>2026</v>
      </c>
      <c r="D106" s="53">
        <v>2026</v>
      </c>
      <c r="E106" s="54" t="s">
        <v>2954</v>
      </c>
      <c r="F106" s="55" t="s">
        <v>50</v>
      </c>
      <c r="G106" s="55" t="s">
        <v>50</v>
      </c>
      <c r="H106" s="45" t="s">
        <v>391</v>
      </c>
      <c r="I106" s="45" t="s">
        <v>52</v>
      </c>
      <c r="J106" s="56"/>
      <c r="K106" s="45" t="s">
        <v>392</v>
      </c>
      <c r="L106" s="55"/>
      <c r="M106" s="55"/>
      <c r="N106" s="56" t="s">
        <v>358</v>
      </c>
      <c r="O106" s="45" t="s">
        <v>393</v>
      </c>
      <c r="P106" s="55" t="s">
        <v>394</v>
      </c>
      <c r="Q106" s="55" t="s">
        <v>57</v>
      </c>
      <c r="R106" s="55"/>
      <c r="S106" s="56" t="s">
        <v>81</v>
      </c>
      <c r="T106" s="55" t="s">
        <v>58</v>
      </c>
      <c r="U106" s="72">
        <v>220.16900000000001</v>
      </c>
      <c r="V106" s="57" t="s">
        <v>101</v>
      </c>
      <c r="W106" s="55" t="s">
        <v>106</v>
      </c>
      <c r="X106" s="54" t="s">
        <v>4115</v>
      </c>
      <c r="Y106" s="52"/>
      <c r="Z106" s="1" t="s">
        <v>61</v>
      </c>
      <c r="AA106" s="2" t="s">
        <v>395</v>
      </c>
      <c r="AB106" s="2"/>
      <c r="AC106" s="2"/>
      <c r="AD106" s="3" t="s">
        <v>62</v>
      </c>
      <c r="AE106" s="1" t="s">
        <v>396</v>
      </c>
      <c r="AF106" s="2"/>
      <c r="AG106" s="1" t="s">
        <v>397</v>
      </c>
      <c r="AH106" s="2">
        <v>100</v>
      </c>
      <c r="AI106" s="2"/>
      <c r="AJ106" s="2"/>
      <c r="AK106" s="2"/>
      <c r="AL106" s="2"/>
      <c r="AM106" s="2"/>
      <c r="AN106" s="2"/>
      <c r="AO106" s="2"/>
      <c r="AP106" s="2"/>
      <c r="AQ106" s="2"/>
      <c r="AR106" s="2"/>
      <c r="AS106" s="2"/>
      <c r="AT106" s="2"/>
      <c r="AU106" s="2"/>
      <c r="AV106" s="2"/>
      <c r="AW106" s="2"/>
      <c r="AX106" s="2"/>
      <c r="AY106" s="2"/>
      <c r="AZ106" s="4" t="s">
        <v>390</v>
      </c>
      <c r="BA106" s="2"/>
      <c r="BB106" s="1"/>
      <c r="BC106" s="1"/>
    </row>
    <row r="107" spans="1:55" s="78" customFormat="1" ht="15" customHeight="1" x14ac:dyDescent="0.25">
      <c r="A107" s="52" t="s">
        <v>4116</v>
      </c>
      <c r="B107" s="34" t="s">
        <v>59</v>
      </c>
      <c r="C107" s="53">
        <v>2026</v>
      </c>
      <c r="D107" s="53">
        <v>2026</v>
      </c>
      <c r="E107" s="54" t="s">
        <v>2955</v>
      </c>
      <c r="F107" s="55" t="s">
        <v>50</v>
      </c>
      <c r="G107" s="55" t="s">
        <v>50</v>
      </c>
      <c r="H107" s="45" t="s">
        <v>399</v>
      </c>
      <c r="I107" s="56" t="s">
        <v>52</v>
      </c>
      <c r="J107" s="55" t="s">
        <v>384</v>
      </c>
      <c r="K107" s="55" t="s">
        <v>384</v>
      </c>
      <c r="L107" s="55" t="s">
        <v>54</v>
      </c>
      <c r="M107" s="55" t="s">
        <v>113</v>
      </c>
      <c r="N107" s="56" t="s">
        <v>400</v>
      </c>
      <c r="O107" s="56" t="s">
        <v>401</v>
      </c>
      <c r="P107" s="56" t="s">
        <v>385</v>
      </c>
      <c r="Q107" s="55" t="s">
        <v>5353</v>
      </c>
      <c r="R107" s="56" t="s">
        <v>401</v>
      </c>
      <c r="S107" s="56" t="s">
        <v>81</v>
      </c>
      <c r="T107" s="55" t="s">
        <v>58</v>
      </c>
      <c r="U107" s="57">
        <v>20</v>
      </c>
      <c r="V107" s="57" t="s">
        <v>101</v>
      </c>
      <c r="W107" s="55" t="s">
        <v>2319</v>
      </c>
      <c r="X107" s="54" t="s">
        <v>4116</v>
      </c>
      <c r="Y107" s="52"/>
      <c r="Z107" s="2" t="s">
        <v>61</v>
      </c>
      <c r="AA107" s="1" t="s">
        <v>402</v>
      </c>
      <c r="AB107" s="1"/>
      <c r="AC107" s="1"/>
      <c r="AD107" s="3" t="s">
        <v>62</v>
      </c>
      <c r="AE107" s="2" t="s">
        <v>403</v>
      </c>
      <c r="AF107" s="2"/>
      <c r="AG107" s="1" t="s">
        <v>404</v>
      </c>
      <c r="AH107" s="2">
        <v>100</v>
      </c>
      <c r="AI107" s="1"/>
      <c r="AJ107" s="1"/>
      <c r="AK107" s="1"/>
      <c r="AL107" s="1"/>
      <c r="AM107" s="1"/>
      <c r="AN107" s="1"/>
      <c r="AO107" s="1"/>
      <c r="AP107" s="1"/>
      <c r="AQ107" s="1"/>
      <c r="AR107" s="1"/>
      <c r="AS107" s="1"/>
      <c r="AT107" s="1"/>
      <c r="AU107" s="1"/>
      <c r="AV107" s="1"/>
      <c r="AW107" s="1"/>
      <c r="AX107" s="1"/>
      <c r="AY107" s="1"/>
      <c r="AZ107" s="4" t="s">
        <v>398</v>
      </c>
      <c r="BA107" s="1"/>
      <c r="BB107" s="1"/>
      <c r="BC107" s="1"/>
    </row>
    <row r="108" spans="1:55" s="78" customFormat="1" ht="15" customHeight="1" x14ac:dyDescent="0.25">
      <c r="A108" s="52" t="s">
        <v>4117</v>
      </c>
      <c r="B108" s="34" t="s">
        <v>59</v>
      </c>
      <c r="C108" s="53">
        <v>2026</v>
      </c>
      <c r="D108" s="53">
        <v>2026</v>
      </c>
      <c r="E108" s="54" t="s">
        <v>2956</v>
      </c>
      <c r="F108" s="55" t="s">
        <v>50</v>
      </c>
      <c r="G108" s="55" t="s">
        <v>50</v>
      </c>
      <c r="H108" s="45" t="s">
        <v>406</v>
      </c>
      <c r="I108" s="45" t="s">
        <v>52</v>
      </c>
      <c r="J108" s="56"/>
      <c r="K108" s="55" t="s">
        <v>210</v>
      </c>
      <c r="L108" s="55" t="s">
        <v>54</v>
      </c>
      <c r="M108" s="55" t="s">
        <v>211</v>
      </c>
      <c r="N108" s="55" t="s">
        <v>212</v>
      </c>
      <c r="O108" s="55"/>
      <c r="P108" s="55" t="s">
        <v>89</v>
      </c>
      <c r="Q108" s="55" t="s">
        <v>89</v>
      </c>
      <c r="R108" s="55"/>
      <c r="S108" s="56" t="s">
        <v>81</v>
      </c>
      <c r="T108" s="55" t="s">
        <v>81</v>
      </c>
      <c r="U108" s="57">
        <v>301000</v>
      </c>
      <c r="V108" s="57" t="s">
        <v>101</v>
      </c>
      <c r="W108" s="55" t="s">
        <v>2319</v>
      </c>
      <c r="X108" s="54" t="s">
        <v>4117</v>
      </c>
      <c r="Y108" s="52"/>
      <c r="Z108" s="3" t="s">
        <v>61</v>
      </c>
      <c r="AA108" s="1" t="s">
        <v>407</v>
      </c>
      <c r="AB108" s="1"/>
      <c r="AC108" s="1"/>
      <c r="AD108" s="3" t="s">
        <v>62</v>
      </c>
      <c r="AE108" s="3" t="s">
        <v>184</v>
      </c>
      <c r="AF108" s="3"/>
      <c r="AG108" s="1" t="s">
        <v>215</v>
      </c>
      <c r="AH108" s="2">
        <v>100</v>
      </c>
      <c r="AI108" s="1"/>
      <c r="AJ108" s="2"/>
      <c r="AK108" s="3"/>
      <c r="AL108" s="3"/>
      <c r="AM108" s="3"/>
      <c r="AN108" s="3"/>
      <c r="AO108" s="3"/>
      <c r="AP108" s="3"/>
      <c r="AQ108" s="3"/>
      <c r="AR108" s="3"/>
      <c r="AS108" s="3"/>
      <c r="AT108" s="3"/>
      <c r="AU108" s="3"/>
      <c r="AV108" s="3"/>
      <c r="AW108" s="3"/>
      <c r="AX108" s="3"/>
      <c r="AY108" s="3"/>
      <c r="AZ108" s="4" t="s">
        <v>405</v>
      </c>
      <c r="BA108" s="3"/>
      <c r="BB108" s="1"/>
      <c r="BC108" s="1"/>
    </row>
    <row r="109" spans="1:55" s="78" customFormat="1" ht="15" customHeight="1" x14ac:dyDescent="0.25">
      <c r="A109" s="52" t="s">
        <v>4118</v>
      </c>
      <c r="B109" s="34" t="s">
        <v>59</v>
      </c>
      <c r="C109" s="53">
        <v>2026</v>
      </c>
      <c r="D109" s="53">
        <v>2026</v>
      </c>
      <c r="E109" s="54" t="s">
        <v>2957</v>
      </c>
      <c r="F109" s="55" t="s">
        <v>50</v>
      </c>
      <c r="G109" s="55" t="s">
        <v>50</v>
      </c>
      <c r="H109" s="45" t="s">
        <v>408</v>
      </c>
      <c r="I109" s="45" t="s">
        <v>52</v>
      </c>
      <c r="J109" s="56"/>
      <c r="K109" s="55" t="s">
        <v>210</v>
      </c>
      <c r="L109" s="55" t="s">
        <v>54</v>
      </c>
      <c r="M109" s="55" t="s">
        <v>211</v>
      </c>
      <c r="N109" s="55" t="s">
        <v>212</v>
      </c>
      <c r="O109" s="55"/>
      <c r="P109" s="55" t="s">
        <v>89</v>
      </c>
      <c r="Q109" s="55" t="s">
        <v>89</v>
      </c>
      <c r="R109" s="55"/>
      <c r="S109" s="56" t="s">
        <v>81</v>
      </c>
      <c r="T109" s="55" t="s">
        <v>81</v>
      </c>
      <c r="U109" s="57">
        <v>228000</v>
      </c>
      <c r="V109" s="57" t="s">
        <v>101</v>
      </c>
      <c r="W109" s="55" t="s">
        <v>2319</v>
      </c>
      <c r="X109" s="54" t="s">
        <v>4118</v>
      </c>
      <c r="Y109" s="52"/>
      <c r="Z109" s="3" t="s">
        <v>61</v>
      </c>
      <c r="AA109" s="1" t="s">
        <v>409</v>
      </c>
      <c r="AB109" s="1"/>
      <c r="AC109" s="1"/>
      <c r="AD109" s="3" t="s">
        <v>62</v>
      </c>
      <c r="AE109" s="3" t="s">
        <v>184</v>
      </c>
      <c r="AF109" s="3"/>
      <c r="AG109" s="1" t="s">
        <v>410</v>
      </c>
      <c r="AH109" s="2">
        <v>100</v>
      </c>
      <c r="AI109" s="1"/>
      <c r="AJ109" s="2"/>
      <c r="AK109" s="3"/>
      <c r="AL109" s="3"/>
      <c r="AM109" s="3"/>
      <c r="AN109" s="3"/>
      <c r="AO109" s="3"/>
      <c r="AP109" s="3"/>
      <c r="AQ109" s="3"/>
      <c r="AR109" s="3"/>
      <c r="AS109" s="3"/>
      <c r="AT109" s="3"/>
      <c r="AU109" s="3"/>
      <c r="AV109" s="3"/>
      <c r="AW109" s="3"/>
      <c r="AX109" s="3"/>
      <c r="AY109" s="3"/>
      <c r="AZ109" s="4" t="s">
        <v>3823</v>
      </c>
      <c r="BA109" s="3" t="s">
        <v>3824</v>
      </c>
      <c r="BB109" s="1"/>
      <c r="BC109" s="1"/>
    </row>
    <row r="110" spans="1:55" s="78" customFormat="1" ht="15" customHeight="1" x14ac:dyDescent="0.25">
      <c r="A110" s="52" t="s">
        <v>4119</v>
      </c>
      <c r="B110" s="34" t="s">
        <v>59</v>
      </c>
      <c r="C110" s="53">
        <v>2026</v>
      </c>
      <c r="D110" s="53">
        <v>2026</v>
      </c>
      <c r="E110" s="54" t="s">
        <v>2958</v>
      </c>
      <c r="F110" s="55" t="s">
        <v>50</v>
      </c>
      <c r="G110" s="55" t="s">
        <v>50</v>
      </c>
      <c r="H110" s="45" t="s">
        <v>412</v>
      </c>
      <c r="I110" s="45" t="s">
        <v>52</v>
      </c>
      <c r="J110" s="56"/>
      <c r="K110" s="55" t="s">
        <v>218</v>
      </c>
      <c r="L110" s="55"/>
      <c r="M110" s="55" t="s">
        <v>113</v>
      </c>
      <c r="N110" s="55" t="s">
        <v>55</v>
      </c>
      <c r="O110" s="55" t="s">
        <v>141</v>
      </c>
      <c r="P110" s="55" t="s">
        <v>219</v>
      </c>
      <c r="Q110" s="55" t="s">
        <v>57</v>
      </c>
      <c r="R110" s="55"/>
      <c r="S110" s="56" t="s">
        <v>81</v>
      </c>
      <c r="T110" s="55" t="s">
        <v>81</v>
      </c>
      <c r="U110" s="57">
        <v>-999</v>
      </c>
      <c r="V110" s="57" t="s">
        <v>59</v>
      </c>
      <c r="W110" s="55" t="s">
        <v>2319</v>
      </c>
      <c r="X110" s="54" t="s">
        <v>4119</v>
      </c>
      <c r="Y110" s="52"/>
      <c r="Z110" s="3" t="s">
        <v>61</v>
      </c>
      <c r="AA110" s="3" t="s">
        <v>413</v>
      </c>
      <c r="AB110" s="3"/>
      <c r="AC110" s="3"/>
      <c r="AD110" s="3" t="s">
        <v>62</v>
      </c>
      <c r="AE110" s="3" t="s">
        <v>115</v>
      </c>
      <c r="AF110" s="3"/>
      <c r="AG110" s="3" t="s">
        <v>414</v>
      </c>
      <c r="AH110" s="58">
        <v>100</v>
      </c>
      <c r="AI110" s="3"/>
      <c r="AJ110" s="3"/>
      <c r="AK110" s="3"/>
      <c r="AL110" s="3"/>
      <c r="AM110" s="3"/>
      <c r="AN110" s="3"/>
      <c r="AO110" s="3"/>
      <c r="AP110" s="3"/>
      <c r="AQ110" s="3"/>
      <c r="AR110" s="3"/>
      <c r="AS110" s="3"/>
      <c r="AT110" s="3"/>
      <c r="AU110" s="3"/>
      <c r="AV110" s="3"/>
      <c r="AW110" s="3"/>
      <c r="AX110" s="3"/>
      <c r="AY110" s="3"/>
      <c r="AZ110" s="4" t="s">
        <v>411</v>
      </c>
      <c r="BA110" s="3"/>
      <c r="BB110" s="1"/>
      <c r="BC110" s="1"/>
    </row>
    <row r="111" spans="1:55" s="78" customFormat="1" ht="15" customHeight="1" x14ac:dyDescent="0.25">
      <c r="A111" s="52" t="s">
        <v>4120</v>
      </c>
      <c r="B111" s="34" t="s">
        <v>59</v>
      </c>
      <c r="C111" s="53">
        <v>2026</v>
      </c>
      <c r="D111" s="53">
        <v>2026</v>
      </c>
      <c r="E111" s="54" t="s">
        <v>2959</v>
      </c>
      <c r="F111" s="55" t="s">
        <v>50</v>
      </c>
      <c r="G111" s="55" t="s">
        <v>50</v>
      </c>
      <c r="H111" s="45" t="s">
        <v>416</v>
      </c>
      <c r="I111" s="45" t="s">
        <v>78</v>
      </c>
      <c r="J111" s="56"/>
      <c r="K111" s="56" t="s">
        <v>417</v>
      </c>
      <c r="L111" s="55" t="s">
        <v>88</v>
      </c>
      <c r="M111" s="55"/>
      <c r="N111" s="55" t="s">
        <v>418</v>
      </c>
      <c r="O111" s="55"/>
      <c r="P111" s="55" t="s">
        <v>89</v>
      </c>
      <c r="Q111" s="55" t="s">
        <v>89</v>
      </c>
      <c r="R111" s="55"/>
      <c r="S111" s="56" t="s">
        <v>81</v>
      </c>
      <c r="T111" s="55" t="s">
        <v>81</v>
      </c>
      <c r="U111" s="57">
        <v>800000</v>
      </c>
      <c r="V111" s="57" t="s">
        <v>101</v>
      </c>
      <c r="W111" s="55" t="s">
        <v>2319</v>
      </c>
      <c r="X111" s="54" t="s">
        <v>4120</v>
      </c>
      <c r="Y111" s="52"/>
      <c r="Z111" s="3" t="s">
        <v>61</v>
      </c>
      <c r="AA111" s="3" t="s">
        <v>419</v>
      </c>
      <c r="AB111" s="3"/>
      <c r="AC111" s="3"/>
      <c r="AD111" s="3" t="s">
        <v>62</v>
      </c>
      <c r="AE111" s="3" t="s">
        <v>175</v>
      </c>
      <c r="AF111" s="3"/>
      <c r="AG111" s="3" t="s">
        <v>420</v>
      </c>
      <c r="AH111" s="58">
        <v>100</v>
      </c>
      <c r="AI111" s="3"/>
      <c r="AJ111" s="3"/>
      <c r="AK111" s="3"/>
      <c r="AL111" s="3"/>
      <c r="AM111" s="3"/>
      <c r="AN111" s="3"/>
      <c r="AO111" s="3"/>
      <c r="AP111" s="3"/>
      <c r="AQ111" s="3"/>
      <c r="AR111" s="3"/>
      <c r="AS111" s="3"/>
      <c r="AT111" s="3"/>
      <c r="AU111" s="3"/>
      <c r="AV111" s="3"/>
      <c r="AW111" s="3"/>
      <c r="AX111" s="3"/>
      <c r="AY111" s="3"/>
      <c r="AZ111" s="4" t="s">
        <v>415</v>
      </c>
      <c r="BA111" s="3"/>
      <c r="BB111" s="1"/>
      <c r="BC111" s="1"/>
    </row>
    <row r="112" spans="1:55" s="78" customFormat="1" ht="15" customHeight="1" x14ac:dyDescent="0.25">
      <c r="A112" s="52" t="s">
        <v>4121</v>
      </c>
      <c r="B112" s="34" t="s">
        <v>59</v>
      </c>
      <c r="C112" s="53">
        <v>2026</v>
      </c>
      <c r="D112" s="53">
        <v>2026</v>
      </c>
      <c r="E112" s="54" t="s">
        <v>2960</v>
      </c>
      <c r="F112" s="55" t="s">
        <v>50</v>
      </c>
      <c r="G112" s="55" t="s">
        <v>50</v>
      </c>
      <c r="H112" s="45" t="s">
        <v>422</v>
      </c>
      <c r="I112" s="56" t="s">
        <v>52</v>
      </c>
      <c r="J112" s="56"/>
      <c r="K112" s="55" t="s">
        <v>133</v>
      </c>
      <c r="L112" s="55" t="s">
        <v>54</v>
      </c>
      <c r="M112" s="55"/>
      <c r="N112" s="55" t="s">
        <v>423</v>
      </c>
      <c r="O112" s="55"/>
      <c r="P112" s="55" t="s">
        <v>134</v>
      </c>
      <c r="Q112" s="55" t="s">
        <v>57</v>
      </c>
      <c r="R112" s="55"/>
      <c r="S112" s="56" t="s">
        <v>81</v>
      </c>
      <c r="T112" s="55" t="str">
        <f>IF(ISNUMBER(SEARCH(",",N112)),"Y","N")</f>
        <v>N</v>
      </c>
      <c r="U112" s="72">
        <v>2254.3679999999999</v>
      </c>
      <c r="V112" s="57" t="s">
        <v>101</v>
      </c>
      <c r="W112" s="55" t="s">
        <v>2319</v>
      </c>
      <c r="X112" s="54" t="s">
        <v>4121</v>
      </c>
      <c r="Y112" s="52"/>
      <c r="Z112" s="3" t="s">
        <v>61</v>
      </c>
      <c r="AA112" s="3" t="s">
        <v>424</v>
      </c>
      <c r="AB112" s="3"/>
      <c r="AC112" s="3"/>
      <c r="AD112" s="3" t="s">
        <v>62</v>
      </c>
      <c r="AE112" s="3" t="s">
        <v>288</v>
      </c>
      <c r="AF112" s="3"/>
      <c r="AG112" s="3" t="s">
        <v>425</v>
      </c>
      <c r="AH112" s="58">
        <v>100</v>
      </c>
      <c r="AI112" s="3"/>
      <c r="AJ112" s="3"/>
      <c r="AK112" s="3"/>
      <c r="AL112" s="3"/>
      <c r="AM112" s="3"/>
      <c r="AN112" s="3"/>
      <c r="AO112" s="3"/>
      <c r="AP112" s="3"/>
      <c r="AQ112" s="3"/>
      <c r="AR112" s="3"/>
      <c r="AS112" s="3"/>
      <c r="AT112" s="3"/>
      <c r="AU112" s="3"/>
      <c r="AV112" s="3"/>
      <c r="AW112" s="3"/>
      <c r="AX112" s="3"/>
      <c r="AY112" s="3"/>
      <c r="AZ112" s="4" t="s">
        <v>421</v>
      </c>
      <c r="BA112" s="3"/>
      <c r="BB112" s="1"/>
      <c r="BC112" s="1"/>
    </row>
    <row r="113" spans="1:55" s="78" customFormat="1" ht="15" customHeight="1" x14ac:dyDescent="0.25">
      <c r="A113" s="52" t="s">
        <v>4122</v>
      </c>
      <c r="B113" s="34" t="s">
        <v>59</v>
      </c>
      <c r="C113" s="53">
        <v>2026</v>
      </c>
      <c r="D113" s="53">
        <v>2026</v>
      </c>
      <c r="E113" s="54" t="s">
        <v>2961</v>
      </c>
      <c r="F113" s="55" t="s">
        <v>50</v>
      </c>
      <c r="G113" s="55" t="s">
        <v>50</v>
      </c>
      <c r="H113" s="45" t="s">
        <v>426</v>
      </c>
      <c r="I113" s="56" t="s">
        <v>52</v>
      </c>
      <c r="J113" s="56"/>
      <c r="K113" s="56" t="s">
        <v>79</v>
      </c>
      <c r="L113" s="55"/>
      <c r="M113" s="55"/>
      <c r="N113" s="56" t="s">
        <v>80</v>
      </c>
      <c r="O113" s="56" t="s">
        <v>427</v>
      </c>
      <c r="P113" s="55" t="s">
        <v>89</v>
      </c>
      <c r="Q113" s="55" t="s">
        <v>89</v>
      </c>
      <c r="R113" s="55"/>
      <c r="S113" s="56" t="s">
        <v>81</v>
      </c>
      <c r="T113" s="55" t="s">
        <v>81</v>
      </c>
      <c r="U113" s="57">
        <v>-999</v>
      </c>
      <c r="V113" s="57" t="s">
        <v>59</v>
      </c>
      <c r="W113" s="55" t="s">
        <v>2319</v>
      </c>
      <c r="X113" s="54" t="s">
        <v>4122</v>
      </c>
      <c r="Y113" s="52"/>
      <c r="Z113" s="1" t="s">
        <v>61</v>
      </c>
      <c r="AA113" s="1" t="s">
        <v>428</v>
      </c>
      <c r="AB113" s="1"/>
      <c r="AC113" s="1"/>
      <c r="AD113" s="3" t="s">
        <v>62</v>
      </c>
      <c r="AE113" s="1" t="s">
        <v>192</v>
      </c>
      <c r="AF113" s="1" t="s">
        <v>84</v>
      </c>
      <c r="AG113" s="1" t="s">
        <v>84</v>
      </c>
      <c r="AH113" s="2">
        <v>100</v>
      </c>
      <c r="AI113" s="1"/>
      <c r="AJ113" s="1"/>
      <c r="AK113" s="1"/>
      <c r="AL113" s="1"/>
      <c r="AM113" s="1"/>
      <c r="AN113" s="1"/>
      <c r="AO113" s="1"/>
      <c r="AP113" s="1"/>
      <c r="AQ113" s="1"/>
      <c r="AR113" s="1"/>
      <c r="AS113" s="1"/>
      <c r="AT113" s="1"/>
      <c r="AU113" s="1"/>
      <c r="AV113" s="1"/>
      <c r="AW113" s="1"/>
      <c r="AX113" s="1"/>
      <c r="AY113" s="1"/>
      <c r="AZ113" s="4" t="s">
        <v>189</v>
      </c>
      <c r="BA113" s="5"/>
      <c r="BB113" s="1"/>
      <c r="BC113" s="1"/>
    </row>
    <row r="114" spans="1:55" s="78" customFormat="1" ht="15" customHeight="1" x14ac:dyDescent="0.25">
      <c r="A114" s="52" t="s">
        <v>4123</v>
      </c>
      <c r="B114" s="34" t="s">
        <v>59</v>
      </c>
      <c r="C114" s="53">
        <v>2026</v>
      </c>
      <c r="D114" s="53">
        <v>2026</v>
      </c>
      <c r="E114" s="54" t="s">
        <v>2962</v>
      </c>
      <c r="F114" s="55" t="s">
        <v>50</v>
      </c>
      <c r="G114" s="55" t="s">
        <v>50</v>
      </c>
      <c r="H114" s="45" t="s">
        <v>429</v>
      </c>
      <c r="I114" s="56" t="s">
        <v>78</v>
      </c>
      <c r="J114" s="56"/>
      <c r="K114" s="56" t="s">
        <v>71</v>
      </c>
      <c r="L114" s="55" t="s">
        <v>88</v>
      </c>
      <c r="M114" s="55"/>
      <c r="N114" s="55" t="s">
        <v>181</v>
      </c>
      <c r="O114" s="55"/>
      <c r="P114" s="55" t="s">
        <v>73</v>
      </c>
      <c r="Q114" s="55" t="s">
        <v>57</v>
      </c>
      <c r="R114" s="55"/>
      <c r="S114" s="56" t="s">
        <v>58</v>
      </c>
      <c r="T114" s="55" t="str">
        <f>IF(ISNUMBER(SEARCH(",",N114)),"Y","N")</f>
        <v>N</v>
      </c>
      <c r="U114" s="72">
        <v>21.9</v>
      </c>
      <c r="V114" s="57" t="s">
        <v>101</v>
      </c>
      <c r="W114" s="55"/>
      <c r="X114" s="54" t="s">
        <v>4123</v>
      </c>
      <c r="Y114" s="52"/>
      <c r="Z114" s="1" t="s">
        <v>61</v>
      </c>
      <c r="AA114" s="3" t="s">
        <v>430</v>
      </c>
      <c r="AB114" s="3"/>
      <c r="AC114" s="3"/>
      <c r="AD114" s="3" t="s">
        <v>62</v>
      </c>
      <c r="AE114" s="1" t="s">
        <v>83</v>
      </c>
      <c r="AF114" s="1" t="s">
        <v>431</v>
      </c>
      <c r="AG114" s="1" t="s">
        <v>432</v>
      </c>
      <c r="AH114" s="53">
        <v>61.5</v>
      </c>
      <c r="AI114" s="1" t="s">
        <v>433</v>
      </c>
      <c r="AJ114" s="59">
        <v>38.5</v>
      </c>
      <c r="AK114" s="3"/>
      <c r="AL114" s="53"/>
      <c r="AM114" s="3"/>
      <c r="AN114" s="53"/>
      <c r="AO114" s="3"/>
      <c r="AP114" s="53"/>
      <c r="AQ114" s="3"/>
      <c r="AR114" s="53"/>
      <c r="AS114" s="3"/>
      <c r="AT114" s="53"/>
      <c r="AU114" s="3"/>
      <c r="AV114" s="53"/>
      <c r="AW114" s="3"/>
      <c r="AX114" s="53"/>
      <c r="AY114" s="3"/>
      <c r="AZ114" s="4" t="s">
        <v>3825</v>
      </c>
      <c r="BA114" s="3" t="s">
        <v>3826</v>
      </c>
      <c r="BB114" s="1"/>
      <c r="BC114" s="1"/>
    </row>
    <row r="115" spans="1:55" s="78" customFormat="1" ht="15" customHeight="1" x14ac:dyDescent="0.25">
      <c r="A115" s="52" t="s">
        <v>4124</v>
      </c>
      <c r="B115" s="34" t="s">
        <v>59</v>
      </c>
      <c r="C115" s="53">
        <v>2026</v>
      </c>
      <c r="D115" s="53">
        <v>2026</v>
      </c>
      <c r="E115" s="54" t="s">
        <v>2962</v>
      </c>
      <c r="F115" s="55" t="s">
        <v>50</v>
      </c>
      <c r="G115" s="55" t="s">
        <v>50</v>
      </c>
      <c r="H115" s="45" t="s">
        <v>429</v>
      </c>
      <c r="I115" s="56" t="s">
        <v>78</v>
      </c>
      <c r="J115" s="56"/>
      <c r="K115" s="56" t="s">
        <v>74</v>
      </c>
      <c r="L115" s="55" t="s">
        <v>88</v>
      </c>
      <c r="M115" s="55"/>
      <c r="N115" s="55" t="s">
        <v>181</v>
      </c>
      <c r="O115" s="55"/>
      <c r="P115" s="55" t="s">
        <v>75</v>
      </c>
      <c r="Q115" s="55" t="s">
        <v>57</v>
      </c>
      <c r="R115" s="55"/>
      <c r="S115" s="56" t="s">
        <v>58</v>
      </c>
      <c r="T115" s="55" t="s">
        <v>81</v>
      </c>
      <c r="U115" s="57">
        <v>0.46100000000000002</v>
      </c>
      <c r="V115" s="57" t="s">
        <v>101</v>
      </c>
      <c r="W115" s="55"/>
      <c r="X115" s="54" t="s">
        <v>4124</v>
      </c>
      <c r="Y115" s="52"/>
      <c r="Z115" s="1" t="s">
        <v>61</v>
      </c>
      <c r="AA115" s="3" t="s">
        <v>430</v>
      </c>
      <c r="AB115" s="3"/>
      <c r="AC115" s="3"/>
      <c r="AD115" s="3" t="s">
        <v>62</v>
      </c>
      <c r="AE115" s="1" t="s">
        <v>83</v>
      </c>
      <c r="AF115" s="1" t="s">
        <v>431</v>
      </c>
      <c r="AG115" s="1" t="s">
        <v>432</v>
      </c>
      <c r="AH115" s="53">
        <v>61.5</v>
      </c>
      <c r="AI115" s="1" t="s">
        <v>433</v>
      </c>
      <c r="AJ115" s="59">
        <v>38.5</v>
      </c>
      <c r="AK115" s="3"/>
      <c r="AL115" s="53"/>
      <c r="AM115" s="3"/>
      <c r="AN115" s="53"/>
      <c r="AO115" s="3"/>
      <c r="AP115" s="53"/>
      <c r="AQ115" s="3"/>
      <c r="AR115" s="53"/>
      <c r="AS115" s="3"/>
      <c r="AT115" s="53"/>
      <c r="AU115" s="3"/>
      <c r="AV115" s="53"/>
      <c r="AW115" s="3"/>
      <c r="AX115" s="53"/>
      <c r="AY115" s="3"/>
      <c r="AZ115" s="4" t="s">
        <v>434</v>
      </c>
      <c r="BA115" s="4" t="s">
        <v>3926</v>
      </c>
      <c r="BB115" s="1"/>
      <c r="BC115" s="1"/>
    </row>
    <row r="116" spans="1:55" s="78" customFormat="1" ht="15" customHeight="1" x14ac:dyDescent="0.25">
      <c r="A116" s="52" t="s">
        <v>4125</v>
      </c>
      <c r="B116" s="34" t="s">
        <v>59</v>
      </c>
      <c r="C116" s="53">
        <v>2026</v>
      </c>
      <c r="D116" s="53">
        <v>2026</v>
      </c>
      <c r="E116" s="54" t="s">
        <v>2963</v>
      </c>
      <c r="F116" s="55" t="s">
        <v>50</v>
      </c>
      <c r="G116" s="55" t="s">
        <v>50</v>
      </c>
      <c r="H116" s="45" t="s">
        <v>436</v>
      </c>
      <c r="I116" s="61" t="s">
        <v>52</v>
      </c>
      <c r="J116" s="56"/>
      <c r="K116" s="55" t="s">
        <v>126</v>
      </c>
      <c r="L116" s="55" t="s">
        <v>54</v>
      </c>
      <c r="M116" s="55"/>
      <c r="N116" s="55"/>
      <c r="O116" s="55"/>
      <c r="P116" s="55" t="s">
        <v>129</v>
      </c>
      <c r="Q116" s="56" t="s">
        <v>57</v>
      </c>
      <c r="R116" s="55"/>
      <c r="S116" s="56" t="s">
        <v>58</v>
      </c>
      <c r="T116" s="55" t="s">
        <v>81</v>
      </c>
      <c r="U116" s="57">
        <v>-999</v>
      </c>
      <c r="V116" s="57" t="s">
        <v>59</v>
      </c>
      <c r="W116" s="55" t="s">
        <v>2319</v>
      </c>
      <c r="X116" s="54" t="s">
        <v>4125</v>
      </c>
      <c r="Y116" s="52"/>
      <c r="Z116" s="3" t="s">
        <v>154</v>
      </c>
      <c r="AA116" s="2" t="s">
        <v>437</v>
      </c>
      <c r="AB116" s="2"/>
      <c r="AC116" s="2"/>
      <c r="AD116" s="3" t="s">
        <v>62</v>
      </c>
      <c r="AE116" s="3" t="s">
        <v>438</v>
      </c>
      <c r="AF116" s="3"/>
      <c r="AG116" s="1" t="s">
        <v>439</v>
      </c>
      <c r="AH116" s="2">
        <v>100</v>
      </c>
      <c r="AI116" s="2"/>
      <c r="AJ116" s="2"/>
      <c r="AK116" s="3"/>
      <c r="AL116" s="3"/>
      <c r="AM116" s="3"/>
      <c r="AN116" s="3"/>
      <c r="AO116" s="3"/>
      <c r="AP116" s="3"/>
      <c r="AQ116" s="3"/>
      <c r="AR116" s="3"/>
      <c r="AS116" s="3"/>
      <c r="AT116" s="3"/>
      <c r="AU116" s="3"/>
      <c r="AV116" s="3"/>
      <c r="AW116" s="3"/>
      <c r="AX116" s="3"/>
      <c r="AY116" s="3"/>
      <c r="AZ116" s="4" t="s">
        <v>435</v>
      </c>
      <c r="BA116" s="3"/>
      <c r="BB116" s="1"/>
      <c r="BC116" s="1"/>
    </row>
    <row r="117" spans="1:55" s="78" customFormat="1" ht="15" customHeight="1" x14ac:dyDescent="0.25">
      <c r="A117" s="52" t="s">
        <v>4126</v>
      </c>
      <c r="B117" s="34" t="s">
        <v>59</v>
      </c>
      <c r="C117" s="53">
        <v>2026</v>
      </c>
      <c r="D117" s="53">
        <v>2026</v>
      </c>
      <c r="E117" s="54" t="s">
        <v>2963</v>
      </c>
      <c r="F117" s="55" t="s">
        <v>50</v>
      </c>
      <c r="G117" s="55" t="s">
        <v>50</v>
      </c>
      <c r="H117" s="45" t="s">
        <v>436</v>
      </c>
      <c r="I117" s="61" t="s">
        <v>52</v>
      </c>
      <c r="J117" s="56"/>
      <c r="K117" s="55" t="s">
        <v>53</v>
      </c>
      <c r="L117" s="55" t="s">
        <v>54</v>
      </c>
      <c r="M117" s="55"/>
      <c r="N117" s="55"/>
      <c r="O117" s="55"/>
      <c r="P117" s="55" t="s">
        <v>56</v>
      </c>
      <c r="Q117" s="55" t="s">
        <v>57</v>
      </c>
      <c r="R117" s="55"/>
      <c r="S117" s="56" t="s">
        <v>58</v>
      </c>
      <c r="T117" s="55" t="s">
        <v>81</v>
      </c>
      <c r="U117" s="57">
        <v>-999</v>
      </c>
      <c r="V117" s="57" t="s">
        <v>59</v>
      </c>
      <c r="W117" s="55" t="s">
        <v>2319</v>
      </c>
      <c r="X117" s="54" t="s">
        <v>4126</v>
      </c>
      <c r="Y117" s="52"/>
      <c r="Z117" s="3" t="s">
        <v>154</v>
      </c>
      <c r="AA117" s="2" t="s">
        <v>437</v>
      </c>
      <c r="AB117" s="2"/>
      <c r="AC117" s="2"/>
      <c r="AD117" s="3" t="s">
        <v>62</v>
      </c>
      <c r="AE117" s="3" t="s">
        <v>438</v>
      </c>
      <c r="AF117" s="3"/>
      <c r="AG117" s="1" t="s">
        <v>439</v>
      </c>
      <c r="AH117" s="2">
        <v>100</v>
      </c>
      <c r="AI117" s="2"/>
      <c r="AJ117" s="2"/>
      <c r="AK117" s="3"/>
      <c r="AL117" s="3"/>
      <c r="AM117" s="3"/>
      <c r="AN117" s="3"/>
      <c r="AO117" s="3"/>
      <c r="AP117" s="3"/>
      <c r="AQ117" s="3"/>
      <c r="AR117" s="3"/>
      <c r="AS117" s="3"/>
      <c r="AT117" s="3"/>
      <c r="AU117" s="3"/>
      <c r="AV117" s="3"/>
      <c r="AW117" s="3"/>
      <c r="AX117" s="3"/>
      <c r="AY117" s="3"/>
      <c r="AZ117" s="4" t="s">
        <v>435</v>
      </c>
      <c r="BA117" s="3"/>
      <c r="BB117" s="1"/>
      <c r="BC117" s="1"/>
    </row>
    <row r="118" spans="1:55" s="78" customFormat="1" ht="15" customHeight="1" x14ac:dyDescent="0.25">
      <c r="A118" s="52" t="s">
        <v>4127</v>
      </c>
      <c r="B118" s="34" t="s">
        <v>59</v>
      </c>
      <c r="C118" s="53">
        <v>2026</v>
      </c>
      <c r="D118" s="53">
        <v>2026</v>
      </c>
      <c r="E118" s="54" t="s">
        <v>2963</v>
      </c>
      <c r="F118" s="55" t="s">
        <v>50</v>
      </c>
      <c r="G118" s="55" t="s">
        <v>50</v>
      </c>
      <c r="H118" s="45" t="s">
        <v>436</v>
      </c>
      <c r="I118" s="61" t="s">
        <v>52</v>
      </c>
      <c r="J118" s="56"/>
      <c r="K118" s="55" t="s">
        <v>137</v>
      </c>
      <c r="L118" s="55" t="s">
        <v>54</v>
      </c>
      <c r="M118" s="55"/>
      <c r="N118" s="55"/>
      <c r="O118" s="55"/>
      <c r="P118" s="55" t="s">
        <v>138</v>
      </c>
      <c r="Q118" s="55" t="s">
        <v>57</v>
      </c>
      <c r="R118" s="55"/>
      <c r="S118" s="56" t="s">
        <v>58</v>
      </c>
      <c r="T118" s="55" t="s">
        <v>81</v>
      </c>
      <c r="U118" s="57">
        <v>-999</v>
      </c>
      <c r="V118" s="57" t="s">
        <v>59</v>
      </c>
      <c r="W118" s="55" t="s">
        <v>2319</v>
      </c>
      <c r="X118" s="54" t="s">
        <v>4127</v>
      </c>
      <c r="Y118" s="52"/>
      <c r="Z118" s="3" t="s">
        <v>154</v>
      </c>
      <c r="AA118" s="2" t="s">
        <v>437</v>
      </c>
      <c r="AB118" s="2"/>
      <c r="AC118" s="2"/>
      <c r="AD118" s="3" t="s">
        <v>62</v>
      </c>
      <c r="AE118" s="3" t="s">
        <v>438</v>
      </c>
      <c r="AF118" s="3"/>
      <c r="AG118" s="1" t="s">
        <v>439</v>
      </c>
      <c r="AH118" s="2">
        <v>100</v>
      </c>
      <c r="AI118" s="2"/>
      <c r="AJ118" s="2"/>
      <c r="AK118" s="3"/>
      <c r="AL118" s="3"/>
      <c r="AM118" s="3"/>
      <c r="AN118" s="3"/>
      <c r="AO118" s="3"/>
      <c r="AP118" s="3"/>
      <c r="AQ118" s="3"/>
      <c r="AR118" s="3"/>
      <c r="AS118" s="3"/>
      <c r="AT118" s="3"/>
      <c r="AU118" s="3"/>
      <c r="AV118" s="3"/>
      <c r="AW118" s="3"/>
      <c r="AX118" s="3"/>
      <c r="AY118" s="3"/>
      <c r="AZ118" s="4" t="s">
        <v>435</v>
      </c>
      <c r="BA118" s="3"/>
      <c r="BB118" s="1"/>
      <c r="BC118" s="1"/>
    </row>
    <row r="119" spans="1:55" s="78" customFormat="1" ht="15" customHeight="1" x14ac:dyDescent="0.25">
      <c r="A119" s="52" t="s">
        <v>4128</v>
      </c>
      <c r="B119" s="34" t="s">
        <v>59</v>
      </c>
      <c r="C119" s="53">
        <v>2026</v>
      </c>
      <c r="D119" s="53">
        <v>2026</v>
      </c>
      <c r="E119" s="54" t="s">
        <v>2964</v>
      </c>
      <c r="F119" s="55" t="s">
        <v>50</v>
      </c>
      <c r="G119" s="55" t="s">
        <v>50</v>
      </c>
      <c r="H119" s="45" t="s">
        <v>441</v>
      </c>
      <c r="I119" s="45" t="s">
        <v>52</v>
      </c>
      <c r="J119" s="56"/>
      <c r="K119" s="55" t="s">
        <v>442</v>
      </c>
      <c r="L119" s="55"/>
      <c r="M119" s="55"/>
      <c r="N119" s="55" t="s">
        <v>443</v>
      </c>
      <c r="O119" s="55"/>
      <c r="P119" s="55" t="s">
        <v>444</v>
      </c>
      <c r="Q119" s="55" t="s">
        <v>57</v>
      </c>
      <c r="R119" s="55"/>
      <c r="S119" s="56" t="s">
        <v>58</v>
      </c>
      <c r="T119" s="55" t="s">
        <v>81</v>
      </c>
      <c r="U119" s="57">
        <v>-999</v>
      </c>
      <c r="V119" s="57" t="s">
        <v>59</v>
      </c>
      <c r="W119" s="55" t="s">
        <v>2319</v>
      </c>
      <c r="X119" s="54" t="s">
        <v>4128</v>
      </c>
      <c r="Y119" s="52"/>
      <c r="Z119" s="3" t="s">
        <v>61</v>
      </c>
      <c r="AA119" s="3" t="s">
        <v>445</v>
      </c>
      <c r="AB119" s="3"/>
      <c r="AC119" s="3"/>
      <c r="AD119" s="3" t="s">
        <v>62</v>
      </c>
      <c r="AE119" s="3" t="s">
        <v>115</v>
      </c>
      <c r="AF119" s="3"/>
      <c r="AG119" s="3" t="s">
        <v>177</v>
      </c>
      <c r="AH119" s="58">
        <v>100</v>
      </c>
      <c r="AI119" s="3"/>
      <c r="AJ119" s="3"/>
      <c r="AK119" s="3"/>
      <c r="AL119" s="3"/>
      <c r="AM119" s="3"/>
      <c r="AN119" s="3"/>
      <c r="AO119" s="3"/>
      <c r="AP119" s="3"/>
      <c r="AQ119" s="3"/>
      <c r="AR119" s="3"/>
      <c r="AS119" s="3"/>
      <c r="AT119" s="3"/>
      <c r="AU119" s="3"/>
      <c r="AV119" s="3"/>
      <c r="AW119" s="3"/>
      <c r="AX119" s="3"/>
      <c r="AY119" s="3"/>
      <c r="AZ119" s="4" t="s">
        <v>440</v>
      </c>
      <c r="BA119" s="3"/>
      <c r="BB119" s="1"/>
      <c r="BC119" s="1"/>
    </row>
    <row r="120" spans="1:55" s="78" customFormat="1" ht="15" customHeight="1" x14ac:dyDescent="0.25">
      <c r="A120" s="52" t="s">
        <v>4129</v>
      </c>
      <c r="B120" s="34" t="s">
        <v>59</v>
      </c>
      <c r="C120" s="53">
        <v>2026</v>
      </c>
      <c r="D120" s="53">
        <v>2026</v>
      </c>
      <c r="E120" s="54" t="s">
        <v>2964</v>
      </c>
      <c r="F120" s="55" t="s">
        <v>50</v>
      </c>
      <c r="G120" s="55" t="s">
        <v>50</v>
      </c>
      <c r="H120" s="45" t="s">
        <v>441</v>
      </c>
      <c r="I120" s="56" t="s">
        <v>52</v>
      </c>
      <c r="J120" s="56"/>
      <c r="K120" s="56" t="s">
        <v>173</v>
      </c>
      <c r="L120" s="55"/>
      <c r="M120" s="55"/>
      <c r="N120" s="56" t="s">
        <v>55</v>
      </c>
      <c r="O120" s="56"/>
      <c r="P120" s="55" t="s">
        <v>444</v>
      </c>
      <c r="Q120" s="55" t="s">
        <v>57</v>
      </c>
      <c r="R120" s="55"/>
      <c r="S120" s="56" t="s">
        <v>58</v>
      </c>
      <c r="T120" s="55" t="s">
        <v>81</v>
      </c>
      <c r="U120" s="57">
        <v>-999</v>
      </c>
      <c r="V120" s="57" t="s">
        <v>59</v>
      </c>
      <c r="W120" s="55" t="s">
        <v>2319</v>
      </c>
      <c r="X120" s="54" t="s">
        <v>4129</v>
      </c>
      <c r="Y120" s="52"/>
      <c r="Z120" s="1" t="s">
        <v>61</v>
      </c>
      <c r="AA120" s="3" t="s">
        <v>445</v>
      </c>
      <c r="AB120" s="3"/>
      <c r="AC120" s="3"/>
      <c r="AD120" s="3" t="s">
        <v>62</v>
      </c>
      <c r="AE120" s="1" t="s">
        <v>115</v>
      </c>
      <c r="AF120" s="1"/>
      <c r="AG120" s="3" t="s">
        <v>177</v>
      </c>
      <c r="AH120" s="2">
        <v>100</v>
      </c>
      <c r="AI120" s="1"/>
      <c r="AJ120" s="1"/>
      <c r="AK120" s="1"/>
      <c r="AL120" s="1"/>
      <c r="AM120" s="1"/>
      <c r="AN120" s="1"/>
      <c r="AO120" s="1"/>
      <c r="AP120" s="1"/>
      <c r="AQ120" s="1"/>
      <c r="AR120" s="1"/>
      <c r="AS120" s="1"/>
      <c r="AT120" s="1"/>
      <c r="AU120" s="1"/>
      <c r="AV120" s="1"/>
      <c r="AW120" s="1"/>
      <c r="AX120" s="1"/>
      <c r="AY120" s="1"/>
      <c r="AZ120" s="4" t="s">
        <v>446</v>
      </c>
      <c r="BA120" s="1"/>
      <c r="BB120" s="1"/>
      <c r="BC120" s="1"/>
    </row>
    <row r="121" spans="1:55" s="78" customFormat="1" ht="15" customHeight="1" x14ac:dyDescent="0.25">
      <c r="A121" s="52" t="s">
        <v>4130</v>
      </c>
      <c r="B121" s="34" t="s">
        <v>59</v>
      </c>
      <c r="C121" s="53">
        <v>2026</v>
      </c>
      <c r="D121" s="53">
        <v>2026</v>
      </c>
      <c r="E121" s="54" t="s">
        <v>2965</v>
      </c>
      <c r="F121" s="55" t="s">
        <v>50</v>
      </c>
      <c r="G121" s="55" t="s">
        <v>50</v>
      </c>
      <c r="H121" s="45" t="s">
        <v>448</v>
      </c>
      <c r="I121" s="61" t="s">
        <v>78</v>
      </c>
      <c r="J121" s="56"/>
      <c r="K121" s="45" t="s">
        <v>180</v>
      </c>
      <c r="L121" s="55"/>
      <c r="M121" s="55"/>
      <c r="N121" s="55" t="s">
        <v>181</v>
      </c>
      <c r="O121" s="55"/>
      <c r="P121" s="55" t="s">
        <v>182</v>
      </c>
      <c r="Q121" s="55" t="s">
        <v>5353</v>
      </c>
      <c r="R121" s="55"/>
      <c r="S121" s="56" t="s">
        <v>81</v>
      </c>
      <c r="T121" s="55" t="str">
        <f>IF(ISNUMBER(SEARCH(",",N121)),"Y","N")</f>
        <v>N</v>
      </c>
      <c r="U121" s="57">
        <v>-999</v>
      </c>
      <c r="V121" s="57" t="s">
        <v>59</v>
      </c>
      <c r="W121" s="55"/>
      <c r="X121" s="54" t="s">
        <v>4130</v>
      </c>
      <c r="Y121" s="53"/>
      <c r="Z121" s="3" t="s">
        <v>154</v>
      </c>
      <c r="AA121" s="3" t="s">
        <v>449</v>
      </c>
      <c r="AB121" s="3"/>
      <c r="AC121" s="3"/>
      <c r="AD121" s="3" t="s">
        <v>62</v>
      </c>
      <c r="AE121" s="3" t="s">
        <v>387</v>
      </c>
      <c r="AF121" s="3"/>
      <c r="AG121" s="3" t="s">
        <v>450</v>
      </c>
      <c r="AH121" s="58">
        <v>100</v>
      </c>
      <c r="AI121" s="3"/>
      <c r="AJ121" s="53"/>
      <c r="AK121" s="3"/>
      <c r="AL121" s="3"/>
      <c r="AM121" s="3"/>
      <c r="AN121" s="3"/>
      <c r="AO121" s="3"/>
      <c r="AP121" s="3"/>
      <c r="AQ121" s="3"/>
      <c r="AR121" s="3"/>
      <c r="AS121" s="3"/>
      <c r="AT121" s="3"/>
      <c r="AU121" s="3"/>
      <c r="AV121" s="3"/>
      <c r="AW121" s="3"/>
      <c r="AX121" s="3"/>
      <c r="AY121" s="3"/>
      <c r="AZ121" s="4" t="s">
        <v>447</v>
      </c>
      <c r="BA121" s="3"/>
      <c r="BB121" s="1"/>
      <c r="BC121" s="1"/>
    </row>
    <row r="122" spans="1:55" s="78" customFormat="1" ht="15" customHeight="1" x14ac:dyDescent="0.25">
      <c r="A122" s="52" t="s">
        <v>4131</v>
      </c>
      <c r="B122" s="34" t="s">
        <v>59</v>
      </c>
      <c r="C122" s="53">
        <v>2026</v>
      </c>
      <c r="D122" s="53">
        <v>2026</v>
      </c>
      <c r="E122" s="54" t="s">
        <v>2966</v>
      </c>
      <c r="F122" s="55" t="s">
        <v>50</v>
      </c>
      <c r="G122" s="55" t="s">
        <v>50</v>
      </c>
      <c r="H122" s="45" t="s">
        <v>451</v>
      </c>
      <c r="I122" s="56" t="s">
        <v>78</v>
      </c>
      <c r="J122" s="56"/>
      <c r="K122" s="56" t="s">
        <v>204</v>
      </c>
      <c r="L122" s="55"/>
      <c r="M122" s="55"/>
      <c r="N122" s="56"/>
      <c r="O122" s="56"/>
      <c r="P122" s="55" t="s">
        <v>89</v>
      </c>
      <c r="Q122" s="55" t="s">
        <v>89</v>
      </c>
      <c r="R122" s="55"/>
      <c r="S122" s="56" t="s">
        <v>81</v>
      </c>
      <c r="T122" s="55" t="s">
        <v>81</v>
      </c>
      <c r="U122" s="57">
        <v>55000</v>
      </c>
      <c r="V122" s="57" t="s">
        <v>101</v>
      </c>
      <c r="W122" s="55" t="s">
        <v>2319</v>
      </c>
      <c r="X122" s="54" t="s">
        <v>4131</v>
      </c>
      <c r="Y122" s="52"/>
      <c r="Z122" s="2" t="s">
        <v>61</v>
      </c>
      <c r="AA122" s="1" t="s">
        <v>452</v>
      </c>
      <c r="AB122" s="1"/>
      <c r="AC122" s="1"/>
      <c r="AD122" s="3" t="s">
        <v>62</v>
      </c>
      <c r="AE122" s="2" t="s">
        <v>83</v>
      </c>
      <c r="AF122" s="2"/>
      <c r="AG122" s="3" t="s">
        <v>453</v>
      </c>
      <c r="AH122" s="58"/>
      <c r="AI122" s="1"/>
      <c r="AJ122" s="1"/>
      <c r="AK122" s="1"/>
      <c r="AL122" s="1"/>
      <c r="AM122" s="1"/>
      <c r="AN122" s="1"/>
      <c r="AO122" s="1"/>
      <c r="AP122" s="1"/>
      <c r="AQ122" s="1"/>
      <c r="AR122" s="1"/>
      <c r="AS122" s="1"/>
      <c r="AT122" s="1"/>
      <c r="AU122" s="1"/>
      <c r="AV122" s="1"/>
      <c r="AW122" s="1"/>
      <c r="AX122" s="1"/>
      <c r="AY122" s="1"/>
      <c r="AZ122" s="4" t="s">
        <v>202</v>
      </c>
      <c r="BA122" s="1" t="s">
        <v>3822</v>
      </c>
      <c r="BB122" s="1"/>
      <c r="BC122" s="1"/>
    </row>
    <row r="123" spans="1:55" s="78" customFormat="1" ht="15" customHeight="1" x14ac:dyDescent="0.25">
      <c r="A123" s="52" t="s">
        <v>4132</v>
      </c>
      <c r="B123" s="34" t="s">
        <v>59</v>
      </c>
      <c r="C123" s="53">
        <v>2026</v>
      </c>
      <c r="D123" s="53">
        <v>2026</v>
      </c>
      <c r="E123" s="54" t="s">
        <v>2967</v>
      </c>
      <c r="F123" s="55" t="s">
        <v>50</v>
      </c>
      <c r="G123" s="55" t="s">
        <v>50</v>
      </c>
      <c r="H123" s="45" t="s">
        <v>455</v>
      </c>
      <c r="I123" s="56" t="s">
        <v>78</v>
      </c>
      <c r="J123" s="56"/>
      <c r="K123" s="56" t="s">
        <v>71</v>
      </c>
      <c r="L123" s="55"/>
      <c r="M123" s="55"/>
      <c r="N123" s="56" t="s">
        <v>110</v>
      </c>
      <c r="O123" s="56"/>
      <c r="P123" s="55" t="s">
        <v>73</v>
      </c>
      <c r="Q123" s="55" t="s">
        <v>57</v>
      </c>
      <c r="R123" s="55"/>
      <c r="S123" s="56" t="s">
        <v>58</v>
      </c>
      <c r="T123" s="55" t="str">
        <f>IF(ISNUMBER(SEARCH(",",N123)),"Y","N")</f>
        <v>N</v>
      </c>
      <c r="U123" s="57">
        <v>-999</v>
      </c>
      <c r="V123" s="57" t="s">
        <v>59</v>
      </c>
      <c r="W123" s="55"/>
      <c r="X123" s="54" t="s">
        <v>4132</v>
      </c>
      <c r="Y123" s="52"/>
      <c r="Z123" s="1" t="s">
        <v>61</v>
      </c>
      <c r="AA123" s="1" t="s">
        <v>457</v>
      </c>
      <c r="AB123" s="1"/>
      <c r="AC123" s="1"/>
      <c r="AD123" s="3" t="s">
        <v>62</v>
      </c>
      <c r="AE123" s="1" t="s">
        <v>251</v>
      </c>
      <c r="AF123" s="2" t="s">
        <v>458</v>
      </c>
      <c r="AG123" s="2" t="s">
        <v>425</v>
      </c>
      <c r="AH123" s="2">
        <v>100</v>
      </c>
      <c r="AI123" s="1"/>
      <c r="AJ123" s="1"/>
      <c r="AK123" s="1"/>
      <c r="AL123" s="1"/>
      <c r="AM123" s="1"/>
      <c r="AN123" s="1"/>
      <c r="AO123" s="1"/>
      <c r="AP123" s="1"/>
      <c r="AQ123" s="1"/>
      <c r="AR123" s="1"/>
      <c r="AS123" s="1"/>
      <c r="AT123" s="1"/>
      <c r="AU123" s="1"/>
      <c r="AV123" s="1"/>
      <c r="AW123" s="1"/>
      <c r="AX123" s="1"/>
      <c r="AY123" s="1"/>
      <c r="AZ123" s="4" t="s">
        <v>454</v>
      </c>
      <c r="BA123" s="5"/>
      <c r="BB123" s="1"/>
      <c r="BC123" s="1"/>
    </row>
    <row r="124" spans="1:55" s="78" customFormat="1" ht="15" customHeight="1" x14ac:dyDescent="0.25">
      <c r="A124" s="52" t="s">
        <v>4133</v>
      </c>
      <c r="B124" s="34" t="s">
        <v>59</v>
      </c>
      <c r="C124" s="53">
        <v>2026</v>
      </c>
      <c r="D124" s="53">
        <v>2026</v>
      </c>
      <c r="E124" s="54" t="s">
        <v>2967</v>
      </c>
      <c r="F124" s="55" t="s">
        <v>50</v>
      </c>
      <c r="G124" s="55" t="s">
        <v>50</v>
      </c>
      <c r="H124" s="45" t="s">
        <v>455</v>
      </c>
      <c r="I124" s="56" t="s">
        <v>78</v>
      </c>
      <c r="J124" s="56"/>
      <c r="K124" s="56" t="s">
        <v>194</v>
      </c>
      <c r="L124" s="55" t="s">
        <v>88</v>
      </c>
      <c r="M124" s="55"/>
      <c r="N124" s="56" t="s">
        <v>110</v>
      </c>
      <c r="O124" s="56"/>
      <c r="P124" s="56" t="s">
        <v>195</v>
      </c>
      <c r="Q124" s="55" t="s">
        <v>57</v>
      </c>
      <c r="R124" s="55"/>
      <c r="S124" s="56" t="s">
        <v>58</v>
      </c>
      <c r="T124" s="55" t="str">
        <f>IF(ISNUMBER(SEARCH(",",N124)),"Y","N")</f>
        <v>N</v>
      </c>
      <c r="U124" s="57">
        <v>-999</v>
      </c>
      <c r="V124" s="57" t="s">
        <v>59</v>
      </c>
      <c r="W124" s="55"/>
      <c r="X124" s="54" t="s">
        <v>4133</v>
      </c>
      <c r="Y124" s="52"/>
      <c r="Z124" s="1" t="s">
        <v>61</v>
      </c>
      <c r="AA124" s="1" t="s">
        <v>457</v>
      </c>
      <c r="AB124" s="1"/>
      <c r="AC124" s="1"/>
      <c r="AD124" s="3" t="s">
        <v>62</v>
      </c>
      <c r="AE124" s="1" t="s">
        <v>251</v>
      </c>
      <c r="AF124" s="1"/>
      <c r="AG124" s="1" t="s">
        <v>425</v>
      </c>
      <c r="AH124" s="2">
        <v>100</v>
      </c>
      <c r="AI124" s="1"/>
      <c r="AJ124" s="1"/>
      <c r="AK124" s="1"/>
      <c r="AL124" s="1"/>
      <c r="AM124" s="1"/>
      <c r="AN124" s="1"/>
      <c r="AO124" s="1"/>
      <c r="AP124" s="1"/>
      <c r="AQ124" s="1"/>
      <c r="AR124" s="1"/>
      <c r="AS124" s="1"/>
      <c r="AT124" s="1"/>
      <c r="AU124" s="1"/>
      <c r="AV124" s="1"/>
      <c r="AW124" s="1"/>
      <c r="AX124" s="1"/>
      <c r="AY124" s="1"/>
      <c r="AZ124" s="4" t="s">
        <v>460</v>
      </c>
      <c r="BA124" s="1"/>
      <c r="BB124" s="1"/>
      <c r="BC124" s="1"/>
    </row>
    <row r="125" spans="1:55" s="78" customFormat="1" ht="15" customHeight="1" x14ac:dyDescent="0.25">
      <c r="A125" s="52" t="s">
        <v>4134</v>
      </c>
      <c r="B125" s="34" t="s">
        <v>59</v>
      </c>
      <c r="C125" s="53">
        <v>2026</v>
      </c>
      <c r="D125" s="53">
        <v>2026</v>
      </c>
      <c r="E125" s="54" t="s">
        <v>2967</v>
      </c>
      <c r="F125" s="55" t="s">
        <v>50</v>
      </c>
      <c r="G125" s="55" t="s">
        <v>50</v>
      </c>
      <c r="H125" s="45" t="s">
        <v>455</v>
      </c>
      <c r="I125" s="56" t="s">
        <v>78</v>
      </c>
      <c r="J125" s="56"/>
      <c r="K125" s="55" t="s">
        <v>198</v>
      </c>
      <c r="L125" s="55" t="s">
        <v>88</v>
      </c>
      <c r="M125" s="55"/>
      <c r="N125" s="56" t="s">
        <v>110</v>
      </c>
      <c r="O125" s="56"/>
      <c r="P125" s="56" t="s">
        <v>199</v>
      </c>
      <c r="Q125" s="55" t="s">
        <v>57</v>
      </c>
      <c r="R125" s="55"/>
      <c r="S125" s="56" t="s">
        <v>58</v>
      </c>
      <c r="T125" s="55" t="s">
        <v>81</v>
      </c>
      <c r="U125" s="57">
        <v>20</v>
      </c>
      <c r="V125" s="57" t="s">
        <v>101</v>
      </c>
      <c r="W125" s="55"/>
      <c r="X125" s="54" t="s">
        <v>4134</v>
      </c>
      <c r="Y125" s="52"/>
      <c r="Z125" s="1" t="s">
        <v>61</v>
      </c>
      <c r="AA125" s="1" t="s">
        <v>457</v>
      </c>
      <c r="AB125" s="1"/>
      <c r="AC125" s="1"/>
      <c r="AD125" s="3" t="s">
        <v>62</v>
      </c>
      <c r="AE125" s="1" t="s">
        <v>251</v>
      </c>
      <c r="AF125" s="1"/>
      <c r="AG125" s="1" t="s">
        <v>425</v>
      </c>
      <c r="AH125" s="2">
        <v>100</v>
      </c>
      <c r="AI125" s="1"/>
      <c r="AJ125" s="1"/>
      <c r="AK125" s="1"/>
      <c r="AL125" s="1"/>
      <c r="AM125" s="1"/>
      <c r="AN125" s="1"/>
      <c r="AO125" s="1"/>
      <c r="AP125" s="1"/>
      <c r="AQ125" s="1"/>
      <c r="AR125" s="1"/>
      <c r="AS125" s="1"/>
      <c r="AT125" s="1"/>
      <c r="AU125" s="1"/>
      <c r="AV125" s="1"/>
      <c r="AW125" s="1"/>
      <c r="AX125" s="1"/>
      <c r="AY125" s="1"/>
      <c r="AZ125" s="4" t="s">
        <v>461</v>
      </c>
      <c r="BA125" s="5"/>
      <c r="BB125" s="1"/>
      <c r="BC125" s="1"/>
    </row>
    <row r="126" spans="1:55" s="78" customFormat="1" ht="15" customHeight="1" x14ac:dyDescent="0.25">
      <c r="A126" s="52" t="s">
        <v>4135</v>
      </c>
      <c r="B126" s="34" t="s">
        <v>59</v>
      </c>
      <c r="C126" s="53">
        <v>2026</v>
      </c>
      <c r="D126" s="53">
        <v>2026</v>
      </c>
      <c r="E126" s="54" t="s">
        <v>2967</v>
      </c>
      <c r="F126" s="55" t="s">
        <v>50</v>
      </c>
      <c r="G126" s="55" t="s">
        <v>50</v>
      </c>
      <c r="H126" s="45" t="s">
        <v>455</v>
      </c>
      <c r="I126" s="56" t="s">
        <v>78</v>
      </c>
      <c r="J126" s="56"/>
      <c r="K126" s="56" t="s">
        <v>53</v>
      </c>
      <c r="L126" s="55" t="s">
        <v>88</v>
      </c>
      <c r="M126" s="55"/>
      <c r="N126" s="55" t="s">
        <v>110</v>
      </c>
      <c r="O126" s="55"/>
      <c r="P126" s="55" t="s">
        <v>56</v>
      </c>
      <c r="Q126" s="55" t="s">
        <v>57</v>
      </c>
      <c r="R126" s="55"/>
      <c r="S126" s="56" t="s">
        <v>58</v>
      </c>
      <c r="T126" s="55" t="str">
        <f>IF(ISNUMBER(SEARCH(",",N126)),"Y","N")</f>
        <v>N</v>
      </c>
      <c r="U126" s="57">
        <v>200000</v>
      </c>
      <c r="V126" s="57" t="s">
        <v>101</v>
      </c>
      <c r="W126" s="55"/>
      <c r="X126" s="54" t="s">
        <v>4135</v>
      </c>
      <c r="Y126" s="52"/>
      <c r="Z126" s="1" t="s">
        <v>61</v>
      </c>
      <c r="AA126" s="1" t="s">
        <v>457</v>
      </c>
      <c r="AB126" s="1"/>
      <c r="AC126" s="1"/>
      <c r="AD126" s="3" t="s">
        <v>62</v>
      </c>
      <c r="AE126" s="1" t="s">
        <v>251</v>
      </c>
      <c r="AF126" s="1"/>
      <c r="AG126" s="3" t="s">
        <v>425</v>
      </c>
      <c r="AH126" s="2">
        <v>100</v>
      </c>
      <c r="AI126" s="3"/>
      <c r="AJ126" s="3"/>
      <c r="AK126" s="3"/>
      <c r="AL126" s="3"/>
      <c r="AM126" s="3"/>
      <c r="AN126" s="3"/>
      <c r="AO126" s="3"/>
      <c r="AP126" s="3"/>
      <c r="AQ126" s="3"/>
      <c r="AR126" s="3"/>
      <c r="AS126" s="3"/>
      <c r="AT126" s="3"/>
      <c r="AU126" s="3"/>
      <c r="AV126" s="3"/>
      <c r="AW126" s="3"/>
      <c r="AX126" s="3"/>
      <c r="AY126" s="3"/>
      <c r="AZ126" s="4" t="s">
        <v>460</v>
      </c>
      <c r="BA126" s="3"/>
      <c r="BB126" s="1"/>
      <c r="BC126" s="1"/>
    </row>
    <row r="127" spans="1:55" s="78" customFormat="1" ht="15" customHeight="1" x14ac:dyDescent="0.25">
      <c r="A127" s="52" t="s">
        <v>4136</v>
      </c>
      <c r="B127" s="34" t="s">
        <v>59</v>
      </c>
      <c r="C127" s="53">
        <v>2026</v>
      </c>
      <c r="D127" s="53">
        <v>2026</v>
      </c>
      <c r="E127" s="54" t="s">
        <v>2967</v>
      </c>
      <c r="F127" s="55" t="s">
        <v>50</v>
      </c>
      <c r="G127" s="55" t="s">
        <v>50</v>
      </c>
      <c r="H127" s="45" t="s">
        <v>455</v>
      </c>
      <c r="I127" s="56" t="s">
        <v>78</v>
      </c>
      <c r="J127" s="56"/>
      <c r="K127" s="56" t="s">
        <v>264</v>
      </c>
      <c r="L127" s="55" t="s">
        <v>88</v>
      </c>
      <c r="M127" s="55"/>
      <c r="N127" s="56" t="s">
        <v>110</v>
      </c>
      <c r="O127" s="56"/>
      <c r="P127" s="55" t="s">
        <v>265</v>
      </c>
      <c r="Q127" s="55" t="s">
        <v>57</v>
      </c>
      <c r="R127" s="55"/>
      <c r="S127" s="56" t="s">
        <v>58</v>
      </c>
      <c r="T127" s="55" t="str">
        <f>IF(ISNUMBER(SEARCH(",",N127)),"Y","N")</f>
        <v>N</v>
      </c>
      <c r="U127" s="57">
        <v>11000</v>
      </c>
      <c r="V127" s="57" t="s">
        <v>101</v>
      </c>
      <c r="W127" s="55"/>
      <c r="X127" s="54" t="s">
        <v>4136</v>
      </c>
      <c r="Y127" s="52"/>
      <c r="Z127" s="1" t="s">
        <v>61</v>
      </c>
      <c r="AA127" s="1" t="s">
        <v>457</v>
      </c>
      <c r="AB127" s="1"/>
      <c r="AC127" s="1"/>
      <c r="AD127" s="3" t="s">
        <v>62</v>
      </c>
      <c r="AE127" s="1" t="s">
        <v>251</v>
      </c>
      <c r="AF127" s="2" t="s">
        <v>458</v>
      </c>
      <c r="AG127" s="1" t="s">
        <v>425</v>
      </c>
      <c r="AH127" s="2">
        <v>100</v>
      </c>
      <c r="AI127" s="1"/>
      <c r="AJ127" s="1"/>
      <c r="AK127" s="1"/>
      <c r="AL127" s="1"/>
      <c r="AM127" s="1"/>
      <c r="AN127" s="1"/>
      <c r="AO127" s="1"/>
      <c r="AP127" s="1"/>
      <c r="AQ127" s="1"/>
      <c r="AR127" s="1"/>
      <c r="AS127" s="1"/>
      <c r="AT127" s="1"/>
      <c r="AU127" s="1"/>
      <c r="AV127" s="1"/>
      <c r="AW127" s="1"/>
      <c r="AX127" s="1"/>
      <c r="AY127" s="1"/>
      <c r="AZ127" s="4" t="s">
        <v>460</v>
      </c>
      <c r="BA127" s="1"/>
      <c r="BB127" s="1"/>
      <c r="BC127" s="1"/>
    </row>
    <row r="128" spans="1:55" s="78" customFormat="1" ht="15" customHeight="1" x14ac:dyDescent="0.25">
      <c r="A128" s="52" t="s">
        <v>4137</v>
      </c>
      <c r="B128" s="34" t="s">
        <v>59</v>
      </c>
      <c r="C128" s="53">
        <v>2026</v>
      </c>
      <c r="D128" s="53">
        <v>2026</v>
      </c>
      <c r="E128" s="54" t="s">
        <v>2968</v>
      </c>
      <c r="F128" s="55" t="s">
        <v>50</v>
      </c>
      <c r="G128" s="55" t="s">
        <v>50</v>
      </c>
      <c r="H128" s="45" t="s">
        <v>462</v>
      </c>
      <c r="I128" s="45" t="s">
        <v>52</v>
      </c>
      <c r="J128" s="56"/>
      <c r="K128" s="55" t="s">
        <v>71</v>
      </c>
      <c r="L128" s="55"/>
      <c r="M128" s="55"/>
      <c r="N128" s="55" t="s">
        <v>110</v>
      </c>
      <c r="O128" s="55"/>
      <c r="P128" s="55" t="s">
        <v>73</v>
      </c>
      <c r="Q128" s="55" t="s">
        <v>57</v>
      </c>
      <c r="R128" s="55"/>
      <c r="S128" s="56" t="s">
        <v>81</v>
      </c>
      <c r="T128" s="55" t="str">
        <f>IF(ISNUMBER(SEARCH(",",N128)),"Y","N")</f>
        <v>N</v>
      </c>
      <c r="U128" s="57">
        <v>-999</v>
      </c>
      <c r="V128" s="57" t="s">
        <v>59</v>
      </c>
      <c r="W128" s="55" t="s">
        <v>2319</v>
      </c>
      <c r="X128" s="54" t="s">
        <v>4137</v>
      </c>
      <c r="Y128" s="52"/>
      <c r="Z128" s="3" t="s">
        <v>154</v>
      </c>
      <c r="AA128" s="3" t="s">
        <v>463</v>
      </c>
      <c r="AB128" s="3"/>
      <c r="AC128" s="3"/>
      <c r="AD128" s="3" t="s">
        <v>62</v>
      </c>
      <c r="AE128" s="3" t="s">
        <v>464</v>
      </c>
      <c r="AF128" s="3" t="s">
        <v>465</v>
      </c>
      <c r="AG128" s="3" t="s">
        <v>465</v>
      </c>
      <c r="AH128" s="53">
        <v>70</v>
      </c>
      <c r="AI128" s="3" t="s">
        <v>466</v>
      </c>
      <c r="AJ128" s="53">
        <v>30</v>
      </c>
      <c r="AK128" s="3"/>
      <c r="AL128" s="53"/>
      <c r="AM128" s="3"/>
      <c r="AN128" s="53"/>
      <c r="AO128" s="3"/>
      <c r="AP128" s="53"/>
      <c r="AQ128" s="3"/>
      <c r="AR128" s="53"/>
      <c r="AS128" s="3"/>
      <c r="AT128" s="53"/>
      <c r="AU128" s="3"/>
      <c r="AV128" s="53"/>
      <c r="AW128" s="3"/>
      <c r="AX128" s="53"/>
      <c r="AY128" s="3"/>
      <c r="AZ128" s="4" t="s">
        <v>3827</v>
      </c>
      <c r="BA128" s="3" t="s">
        <v>3828</v>
      </c>
      <c r="BB128" s="1"/>
      <c r="BC128" s="1"/>
    </row>
    <row r="129" spans="1:55" s="78" customFormat="1" ht="15" customHeight="1" x14ac:dyDescent="0.25">
      <c r="A129" s="52" t="s">
        <v>4138</v>
      </c>
      <c r="B129" s="34" t="s">
        <v>59</v>
      </c>
      <c r="C129" s="53">
        <v>2026</v>
      </c>
      <c r="D129" s="53">
        <v>2026</v>
      </c>
      <c r="E129" s="54" t="s">
        <v>2969</v>
      </c>
      <c r="F129" s="55" t="s">
        <v>50</v>
      </c>
      <c r="G129" s="55" t="s">
        <v>50</v>
      </c>
      <c r="H129" s="45" t="s">
        <v>468</v>
      </c>
      <c r="I129" s="56" t="s">
        <v>78</v>
      </c>
      <c r="J129" s="56"/>
      <c r="K129" s="56" t="s">
        <v>53</v>
      </c>
      <c r="L129" s="55"/>
      <c r="M129" s="55"/>
      <c r="N129" s="56" t="s">
        <v>110</v>
      </c>
      <c r="O129" s="56"/>
      <c r="P129" s="55" t="s">
        <v>56</v>
      </c>
      <c r="Q129" s="55" t="s">
        <v>57</v>
      </c>
      <c r="R129" s="55"/>
      <c r="S129" s="56" t="s">
        <v>81</v>
      </c>
      <c r="T129" s="55" t="str">
        <f>IF(ISNUMBER(SEARCH(",",N129)),"Y","N")</f>
        <v>N</v>
      </c>
      <c r="U129" s="57">
        <v>29000</v>
      </c>
      <c r="V129" s="57" t="s">
        <v>101</v>
      </c>
      <c r="W129" s="55" t="s">
        <v>2319</v>
      </c>
      <c r="X129" s="54" t="s">
        <v>4138</v>
      </c>
      <c r="Y129" s="52"/>
      <c r="Z129" s="1" t="s">
        <v>154</v>
      </c>
      <c r="AA129" s="1" t="s">
        <v>469</v>
      </c>
      <c r="AB129" s="1"/>
      <c r="AC129" s="1"/>
      <c r="AD129" s="3" t="s">
        <v>62</v>
      </c>
      <c r="AE129" s="1" t="s">
        <v>155</v>
      </c>
      <c r="AF129" s="1"/>
      <c r="AG129" s="1" t="s">
        <v>470</v>
      </c>
      <c r="AH129" s="2">
        <v>100</v>
      </c>
      <c r="AI129" s="1"/>
      <c r="AJ129" s="1"/>
      <c r="AK129" s="1"/>
      <c r="AL129" s="1"/>
      <c r="AM129" s="1"/>
      <c r="AN129" s="1"/>
      <c r="AO129" s="1"/>
      <c r="AP129" s="1"/>
      <c r="AQ129" s="1"/>
      <c r="AR129" s="1"/>
      <c r="AS129" s="1"/>
      <c r="AT129" s="1"/>
      <c r="AU129" s="1"/>
      <c r="AV129" s="1"/>
      <c r="AW129" s="1"/>
      <c r="AX129" s="1"/>
      <c r="AY129" s="1"/>
      <c r="AZ129" s="4" t="s">
        <v>467</v>
      </c>
      <c r="BA129" s="1"/>
      <c r="BB129" s="1"/>
      <c r="BC129" s="1"/>
    </row>
    <row r="130" spans="1:55" s="78" customFormat="1" ht="15" customHeight="1" x14ac:dyDescent="0.25">
      <c r="A130" s="52" t="s">
        <v>4139</v>
      </c>
      <c r="B130" s="34" t="s">
        <v>59</v>
      </c>
      <c r="C130" s="53">
        <v>2026</v>
      </c>
      <c r="D130" s="53">
        <v>2026</v>
      </c>
      <c r="E130" s="54" t="s">
        <v>2970</v>
      </c>
      <c r="F130" s="55" t="s">
        <v>50</v>
      </c>
      <c r="G130" s="55" t="s">
        <v>50</v>
      </c>
      <c r="H130" s="45" t="s">
        <v>472</v>
      </c>
      <c r="I130" s="56" t="s">
        <v>78</v>
      </c>
      <c r="J130" s="56"/>
      <c r="K130" s="56" t="s">
        <v>79</v>
      </c>
      <c r="L130" s="55" t="str">
        <f>IF(K130="Mine or Quarry","Mine","")</f>
        <v/>
      </c>
      <c r="M130" s="55"/>
      <c r="N130" s="56" t="s">
        <v>80</v>
      </c>
      <c r="O130" s="56"/>
      <c r="P130" s="55" t="s">
        <v>89</v>
      </c>
      <c r="Q130" s="55" t="s">
        <v>89</v>
      </c>
      <c r="R130" s="55"/>
      <c r="S130" s="56" t="s">
        <v>81</v>
      </c>
      <c r="T130" s="55" t="str">
        <f>IF(ISNUMBER(SEARCH(",",N130)),"Y","N")</f>
        <v>N</v>
      </c>
      <c r="U130" s="57">
        <v>-999</v>
      </c>
      <c r="V130" s="57" t="s">
        <v>59</v>
      </c>
      <c r="W130" s="55" t="s">
        <v>2319</v>
      </c>
      <c r="X130" s="54" t="s">
        <v>4139</v>
      </c>
      <c r="Y130" s="52"/>
      <c r="Z130" s="1" t="s">
        <v>514</v>
      </c>
      <c r="AA130" s="1" t="s">
        <v>473</v>
      </c>
      <c r="AB130" s="1"/>
      <c r="AC130" s="1"/>
      <c r="AD130" s="3" t="s">
        <v>62</v>
      </c>
      <c r="AE130" s="1" t="s">
        <v>474</v>
      </c>
      <c r="AF130" s="1" t="s">
        <v>475</v>
      </c>
      <c r="AG130" s="1" t="s">
        <v>475</v>
      </c>
      <c r="AH130" s="2"/>
      <c r="AI130" s="1"/>
      <c r="AJ130" s="1"/>
      <c r="AK130" s="1"/>
      <c r="AL130" s="1"/>
      <c r="AM130" s="1"/>
      <c r="AN130" s="1"/>
      <c r="AO130" s="1"/>
      <c r="AP130" s="1"/>
      <c r="AQ130" s="1"/>
      <c r="AR130" s="1"/>
      <c r="AS130" s="1"/>
      <c r="AT130" s="1"/>
      <c r="AU130" s="1"/>
      <c r="AV130" s="1"/>
      <c r="AW130" s="1"/>
      <c r="AX130" s="1"/>
      <c r="AY130" s="1"/>
      <c r="AZ130" s="4" t="s">
        <v>471</v>
      </c>
      <c r="BA130" s="5"/>
      <c r="BB130" s="1"/>
      <c r="BC130" s="1"/>
    </row>
    <row r="131" spans="1:55" s="78" customFormat="1" ht="15" customHeight="1" x14ac:dyDescent="0.25">
      <c r="A131" s="52" t="s">
        <v>4140</v>
      </c>
      <c r="B131" s="34" t="s">
        <v>59</v>
      </c>
      <c r="C131" s="53">
        <v>2026</v>
      </c>
      <c r="D131" s="53">
        <v>2026</v>
      </c>
      <c r="E131" s="54" t="s">
        <v>2971</v>
      </c>
      <c r="F131" s="55" t="s">
        <v>50</v>
      </c>
      <c r="G131" s="55" t="s">
        <v>50</v>
      </c>
      <c r="H131" s="45" t="s">
        <v>477</v>
      </c>
      <c r="I131" s="56" t="s">
        <v>52</v>
      </c>
      <c r="J131" s="56"/>
      <c r="K131" s="56" t="s">
        <v>87</v>
      </c>
      <c r="L131" s="55" t="str">
        <f>IF(K131="Mine or Quarry","Mine","")</f>
        <v/>
      </c>
      <c r="M131" s="55"/>
      <c r="N131" s="56"/>
      <c r="O131" s="55" t="s">
        <v>478</v>
      </c>
      <c r="P131" s="56" t="s">
        <v>89</v>
      </c>
      <c r="Q131" s="56" t="s">
        <v>89</v>
      </c>
      <c r="R131" s="55"/>
      <c r="S131" s="56" t="s">
        <v>81</v>
      </c>
      <c r="T131" s="55" t="s">
        <v>58</v>
      </c>
      <c r="U131" s="57">
        <v>-999</v>
      </c>
      <c r="V131" s="57" t="s">
        <v>59</v>
      </c>
      <c r="W131" s="55" t="s">
        <v>2319</v>
      </c>
      <c r="X131" s="54" t="s">
        <v>4140</v>
      </c>
      <c r="Y131" s="52"/>
      <c r="Z131" s="1" t="s">
        <v>61</v>
      </c>
      <c r="AA131" s="1" t="s">
        <v>479</v>
      </c>
      <c r="AB131" s="1"/>
      <c r="AC131" s="1"/>
      <c r="AD131" s="3" t="s">
        <v>62</v>
      </c>
      <c r="AE131" s="1" t="s">
        <v>257</v>
      </c>
      <c r="AF131" s="1" t="s">
        <v>227</v>
      </c>
      <c r="AG131" s="1" t="s">
        <v>228</v>
      </c>
      <c r="AH131" s="2">
        <v>100</v>
      </c>
      <c r="AI131" s="1"/>
      <c r="AJ131" s="1"/>
      <c r="AK131" s="1"/>
      <c r="AL131" s="1"/>
      <c r="AM131" s="1"/>
      <c r="AN131" s="1"/>
      <c r="AO131" s="1"/>
      <c r="AP131" s="1"/>
      <c r="AQ131" s="1"/>
      <c r="AR131" s="1"/>
      <c r="AS131" s="1"/>
      <c r="AT131" s="1"/>
      <c r="AU131" s="1"/>
      <c r="AV131" s="1"/>
      <c r="AW131" s="1"/>
      <c r="AX131" s="1"/>
      <c r="AY131" s="1"/>
      <c r="AZ131" s="5" t="s">
        <v>476</v>
      </c>
      <c r="BA131" s="5"/>
      <c r="BB131" s="1"/>
      <c r="BC131" s="1"/>
    </row>
    <row r="132" spans="1:55" s="78" customFormat="1" ht="15" customHeight="1" x14ac:dyDescent="0.25">
      <c r="A132" s="52" t="s">
        <v>4141</v>
      </c>
      <c r="B132" s="34" t="s">
        <v>59</v>
      </c>
      <c r="C132" s="53">
        <v>2026</v>
      </c>
      <c r="D132" s="53">
        <v>2026</v>
      </c>
      <c r="E132" s="54" t="s">
        <v>2972</v>
      </c>
      <c r="F132" s="55" t="s">
        <v>50</v>
      </c>
      <c r="G132" s="55" t="s">
        <v>50</v>
      </c>
      <c r="H132" s="45" t="s">
        <v>481</v>
      </c>
      <c r="I132" s="56" t="s">
        <v>78</v>
      </c>
      <c r="J132" s="56"/>
      <c r="K132" s="56" t="s">
        <v>79</v>
      </c>
      <c r="L132" s="55" t="str">
        <f>IF(K132="Mine or Quarry","Mine","")</f>
        <v/>
      </c>
      <c r="M132" s="55"/>
      <c r="N132" s="56" t="s">
        <v>80</v>
      </c>
      <c r="O132" s="56"/>
      <c r="P132" s="55" t="s">
        <v>89</v>
      </c>
      <c r="Q132" s="55" t="s">
        <v>89</v>
      </c>
      <c r="R132" s="55"/>
      <c r="S132" s="56" t="s">
        <v>81</v>
      </c>
      <c r="T132" s="55" t="str">
        <f>IF(ISNUMBER(SEARCH(",",N132)),"Y","N")</f>
        <v>N</v>
      </c>
      <c r="U132" s="57">
        <v>-999</v>
      </c>
      <c r="V132" s="57" t="s">
        <v>59</v>
      </c>
      <c r="W132" s="55" t="s">
        <v>2319</v>
      </c>
      <c r="X132" s="54" t="s">
        <v>4141</v>
      </c>
      <c r="Y132" s="52"/>
      <c r="Z132" s="1" t="s">
        <v>61</v>
      </c>
      <c r="AA132" s="1" t="s">
        <v>482</v>
      </c>
      <c r="AB132" s="1"/>
      <c r="AC132" s="1"/>
      <c r="AD132" s="3" t="s">
        <v>62</v>
      </c>
      <c r="AE132" s="1" t="s">
        <v>108</v>
      </c>
      <c r="AF132" s="1" t="s">
        <v>483</v>
      </c>
      <c r="AG132" s="1" t="s">
        <v>484</v>
      </c>
      <c r="AH132" s="2">
        <v>100</v>
      </c>
      <c r="AI132" s="1"/>
      <c r="AJ132" s="1"/>
      <c r="AK132" s="1"/>
      <c r="AL132" s="1"/>
      <c r="AM132" s="1"/>
      <c r="AN132" s="1"/>
      <c r="AO132" s="1"/>
      <c r="AP132" s="1"/>
      <c r="AQ132" s="1"/>
      <c r="AR132" s="1"/>
      <c r="AS132" s="1"/>
      <c r="AT132" s="1"/>
      <c r="AU132" s="1"/>
      <c r="AV132" s="1"/>
      <c r="AW132" s="1"/>
      <c r="AX132" s="1"/>
      <c r="AY132" s="1"/>
      <c r="AZ132" s="5" t="s">
        <v>480</v>
      </c>
      <c r="BA132" s="5"/>
      <c r="BB132" s="1"/>
      <c r="BC132" s="1"/>
    </row>
    <row r="133" spans="1:55" s="78" customFormat="1" ht="15" customHeight="1" x14ac:dyDescent="0.25">
      <c r="A133" s="52" t="s">
        <v>4142</v>
      </c>
      <c r="B133" s="34" t="s">
        <v>59</v>
      </c>
      <c r="C133" s="53">
        <v>2026</v>
      </c>
      <c r="D133" s="53">
        <v>2026</v>
      </c>
      <c r="E133" s="54" t="s">
        <v>2973</v>
      </c>
      <c r="F133" s="55" t="s">
        <v>50</v>
      </c>
      <c r="G133" s="55" t="s">
        <v>50</v>
      </c>
      <c r="H133" s="45" t="s">
        <v>486</v>
      </c>
      <c r="I133" s="56" t="s">
        <v>78</v>
      </c>
      <c r="J133" s="56" t="s">
        <v>291</v>
      </c>
      <c r="K133" s="56" t="s">
        <v>292</v>
      </c>
      <c r="L133" s="55" t="str">
        <f>IF(K133="Mine or Quarry","Mine","")</f>
        <v/>
      </c>
      <c r="M133" s="55"/>
      <c r="N133" s="56" t="s">
        <v>181</v>
      </c>
      <c r="O133" s="56"/>
      <c r="P133" s="56" t="s">
        <v>293</v>
      </c>
      <c r="Q133" s="55" t="s">
        <v>57</v>
      </c>
      <c r="R133" s="55"/>
      <c r="S133" s="56" t="s">
        <v>81</v>
      </c>
      <c r="T133" s="55" t="str">
        <f>IF(ISNUMBER(SEARCH(",",N133)),"Y","N")</f>
        <v>N</v>
      </c>
      <c r="U133" s="57">
        <v>-999</v>
      </c>
      <c r="V133" s="57" t="s">
        <v>59</v>
      </c>
      <c r="W133" s="55" t="s">
        <v>2319</v>
      </c>
      <c r="X133" s="54" t="s">
        <v>4142</v>
      </c>
      <c r="Y133" s="52"/>
      <c r="Z133" s="1" t="s">
        <v>61</v>
      </c>
      <c r="AA133" s="1" t="s">
        <v>335</v>
      </c>
      <c r="AB133" s="1"/>
      <c r="AC133" s="1"/>
      <c r="AD133" s="3" t="s">
        <v>62</v>
      </c>
      <c r="AE133" s="1" t="s">
        <v>336</v>
      </c>
      <c r="AF133" s="1" t="s">
        <v>487</v>
      </c>
      <c r="AG133" s="1" t="s">
        <v>338</v>
      </c>
      <c r="AH133" s="2">
        <v>100</v>
      </c>
      <c r="AI133" s="1"/>
      <c r="AJ133" s="1"/>
      <c r="AK133" s="1"/>
      <c r="AL133" s="1"/>
      <c r="AM133" s="1"/>
      <c r="AN133" s="1"/>
      <c r="AO133" s="1"/>
      <c r="AP133" s="1"/>
      <c r="AQ133" s="1"/>
      <c r="AR133" s="1"/>
      <c r="AS133" s="1"/>
      <c r="AT133" s="1"/>
      <c r="AU133" s="1"/>
      <c r="AV133" s="1"/>
      <c r="AW133" s="1"/>
      <c r="AX133" s="1"/>
      <c r="AY133" s="1"/>
      <c r="AZ133" s="4" t="s">
        <v>485</v>
      </c>
      <c r="BA133" s="1"/>
      <c r="BB133" s="1"/>
      <c r="BC133" s="1"/>
    </row>
    <row r="134" spans="1:55" s="78" customFormat="1" ht="15" customHeight="1" x14ac:dyDescent="0.25">
      <c r="A134" s="52" t="s">
        <v>4143</v>
      </c>
      <c r="B134" s="34" t="s">
        <v>59</v>
      </c>
      <c r="C134" s="53">
        <v>2026</v>
      </c>
      <c r="D134" s="53">
        <v>2026</v>
      </c>
      <c r="E134" s="54" t="s">
        <v>2974</v>
      </c>
      <c r="F134" s="55" t="s">
        <v>50</v>
      </c>
      <c r="G134" s="55" t="s">
        <v>50</v>
      </c>
      <c r="H134" s="45" t="s">
        <v>489</v>
      </c>
      <c r="I134" s="45" t="s">
        <v>52</v>
      </c>
      <c r="J134" s="56"/>
      <c r="K134" s="55" t="s">
        <v>490</v>
      </c>
      <c r="L134" s="55" t="s">
        <v>54</v>
      </c>
      <c r="M134" s="55" t="s">
        <v>491</v>
      </c>
      <c r="N134" s="55"/>
      <c r="O134" s="55"/>
      <c r="P134" s="55" t="s">
        <v>492</v>
      </c>
      <c r="Q134" s="55" t="s">
        <v>57</v>
      </c>
      <c r="R134" s="55"/>
      <c r="S134" s="56" t="s">
        <v>81</v>
      </c>
      <c r="T134" s="55" t="s">
        <v>58</v>
      </c>
      <c r="U134" s="57">
        <v>50</v>
      </c>
      <c r="V134" s="57" t="s">
        <v>101</v>
      </c>
      <c r="W134" s="55" t="s">
        <v>2319</v>
      </c>
      <c r="X134" s="54" t="s">
        <v>4143</v>
      </c>
      <c r="Y134" s="52"/>
      <c r="Z134" s="3" t="s">
        <v>514</v>
      </c>
      <c r="AA134" s="3" t="s">
        <v>493</v>
      </c>
      <c r="AB134" s="3"/>
      <c r="AC134" s="3"/>
      <c r="AD134" s="3" t="s">
        <v>62</v>
      </c>
      <c r="AE134" s="3" t="s">
        <v>251</v>
      </c>
      <c r="AF134" s="3"/>
      <c r="AG134" s="3" t="s">
        <v>494</v>
      </c>
      <c r="AH134" s="58"/>
      <c r="AI134" s="3"/>
      <c r="AJ134" s="3"/>
      <c r="AK134" s="3"/>
      <c r="AL134" s="3"/>
      <c r="AM134" s="3"/>
      <c r="AN134" s="3"/>
      <c r="AO134" s="3"/>
      <c r="AP134" s="3"/>
      <c r="AQ134" s="3"/>
      <c r="AR134" s="3"/>
      <c r="AS134" s="3"/>
      <c r="AT134" s="3"/>
      <c r="AU134" s="3"/>
      <c r="AV134" s="3"/>
      <c r="AW134" s="3"/>
      <c r="AX134" s="3"/>
      <c r="AY134" s="3"/>
      <c r="AZ134" s="4" t="s">
        <v>488</v>
      </c>
      <c r="BA134" s="3"/>
      <c r="BB134" s="1"/>
      <c r="BC134" s="1"/>
    </row>
    <row r="135" spans="1:55" s="78" customFormat="1" ht="15" customHeight="1" x14ac:dyDescent="0.25">
      <c r="A135" s="52" t="s">
        <v>4144</v>
      </c>
      <c r="B135" s="34" t="s">
        <v>59</v>
      </c>
      <c r="C135" s="53">
        <v>2026</v>
      </c>
      <c r="D135" s="53">
        <v>2026</v>
      </c>
      <c r="E135" s="54" t="s">
        <v>2975</v>
      </c>
      <c r="F135" s="55" t="s">
        <v>50</v>
      </c>
      <c r="G135" s="55" t="s">
        <v>50</v>
      </c>
      <c r="H135" s="45" t="s">
        <v>496</v>
      </c>
      <c r="I135" s="45" t="s">
        <v>78</v>
      </c>
      <c r="J135" s="56"/>
      <c r="K135" s="56" t="s">
        <v>417</v>
      </c>
      <c r="L135" s="55" t="s">
        <v>88</v>
      </c>
      <c r="M135" s="55"/>
      <c r="N135" s="55" t="s">
        <v>418</v>
      </c>
      <c r="O135" s="55"/>
      <c r="P135" s="55" t="s">
        <v>89</v>
      </c>
      <c r="Q135" s="55" t="s">
        <v>89</v>
      </c>
      <c r="R135" s="55"/>
      <c r="S135" s="56" t="s">
        <v>81</v>
      </c>
      <c r="T135" s="55" t="s">
        <v>81</v>
      </c>
      <c r="U135" s="57">
        <v>2720000</v>
      </c>
      <c r="V135" s="57" t="s">
        <v>101</v>
      </c>
      <c r="W135" s="55" t="s">
        <v>2319</v>
      </c>
      <c r="X135" s="54" t="s">
        <v>4144</v>
      </c>
      <c r="Y135" s="52"/>
      <c r="Z135" s="3" t="s">
        <v>61</v>
      </c>
      <c r="AA135" s="3" t="s">
        <v>497</v>
      </c>
      <c r="AB135" s="3"/>
      <c r="AC135" s="3"/>
      <c r="AD135" s="3" t="s">
        <v>62</v>
      </c>
      <c r="AE135" s="3" t="s">
        <v>131</v>
      </c>
      <c r="AF135" s="3"/>
      <c r="AG135" s="3" t="s">
        <v>498</v>
      </c>
      <c r="AH135" s="58">
        <v>100</v>
      </c>
      <c r="AI135" s="3"/>
      <c r="AJ135" s="3"/>
      <c r="AK135" s="3"/>
      <c r="AL135" s="3"/>
      <c r="AM135" s="3"/>
      <c r="AN135" s="3"/>
      <c r="AO135" s="3"/>
      <c r="AP135" s="3"/>
      <c r="AQ135" s="3"/>
      <c r="AR135" s="3"/>
      <c r="AS135" s="3"/>
      <c r="AT135" s="3"/>
      <c r="AU135" s="3"/>
      <c r="AV135" s="3"/>
      <c r="AW135" s="3"/>
      <c r="AX135" s="3"/>
      <c r="AY135" s="3"/>
      <c r="AZ135" s="4" t="s">
        <v>495</v>
      </c>
      <c r="BA135" s="4"/>
      <c r="BB135" s="1"/>
      <c r="BC135" s="1"/>
    </row>
    <row r="136" spans="1:55" s="78" customFormat="1" ht="15" customHeight="1" x14ac:dyDescent="0.25">
      <c r="A136" s="52" t="s">
        <v>4145</v>
      </c>
      <c r="B136" s="34" t="s">
        <v>59</v>
      </c>
      <c r="C136" s="53">
        <v>2026</v>
      </c>
      <c r="D136" s="53">
        <v>2026</v>
      </c>
      <c r="E136" s="54" t="s">
        <v>2976</v>
      </c>
      <c r="F136" s="55" t="s">
        <v>50</v>
      </c>
      <c r="G136" s="55" t="s">
        <v>50</v>
      </c>
      <c r="H136" s="45" t="s">
        <v>500</v>
      </c>
      <c r="I136" s="56" t="s">
        <v>78</v>
      </c>
      <c r="J136" s="56"/>
      <c r="K136" s="55" t="s">
        <v>53</v>
      </c>
      <c r="L136" s="55"/>
      <c r="M136" s="55"/>
      <c r="N136" s="56" t="s">
        <v>110</v>
      </c>
      <c r="O136" s="56"/>
      <c r="P136" s="55" t="s">
        <v>56</v>
      </c>
      <c r="Q136" s="55" t="s">
        <v>57</v>
      </c>
      <c r="R136" s="55"/>
      <c r="S136" s="56" t="s">
        <v>58</v>
      </c>
      <c r="T136" s="55" t="s">
        <v>81</v>
      </c>
      <c r="U136" s="57">
        <v>3000</v>
      </c>
      <c r="V136" s="57" t="s">
        <v>101</v>
      </c>
      <c r="W136" s="55" t="s">
        <v>2319</v>
      </c>
      <c r="X136" s="54" t="s">
        <v>4145</v>
      </c>
      <c r="Y136" s="52"/>
      <c r="Z136" s="2" t="s">
        <v>154</v>
      </c>
      <c r="AA136" s="1" t="s">
        <v>501</v>
      </c>
      <c r="AB136" s="1"/>
      <c r="AC136" s="1"/>
      <c r="AD136" s="3" t="s">
        <v>62</v>
      </c>
      <c r="AE136" s="2" t="s">
        <v>464</v>
      </c>
      <c r="AF136" s="2"/>
      <c r="AG136" s="1" t="s">
        <v>502</v>
      </c>
      <c r="AH136" s="2">
        <v>100</v>
      </c>
      <c r="AI136" s="1"/>
      <c r="AJ136" s="1"/>
      <c r="AK136" s="1"/>
      <c r="AL136" s="1"/>
      <c r="AM136" s="1"/>
      <c r="AN136" s="1"/>
      <c r="AO136" s="1"/>
      <c r="AP136" s="1"/>
      <c r="AQ136" s="1"/>
      <c r="AR136" s="1"/>
      <c r="AS136" s="1"/>
      <c r="AT136" s="1"/>
      <c r="AU136" s="1"/>
      <c r="AV136" s="1"/>
      <c r="AW136" s="1"/>
      <c r="AX136" s="1"/>
      <c r="AY136" s="1"/>
      <c r="AZ136" s="4" t="s">
        <v>499</v>
      </c>
      <c r="BA136" s="1"/>
      <c r="BB136" s="1"/>
      <c r="BC136" s="1"/>
    </row>
    <row r="137" spans="1:55" s="78" customFormat="1" ht="15" customHeight="1" x14ac:dyDescent="0.25">
      <c r="A137" s="52" t="s">
        <v>4146</v>
      </c>
      <c r="B137" s="34" t="s">
        <v>59</v>
      </c>
      <c r="C137" s="53">
        <v>2026</v>
      </c>
      <c r="D137" s="53">
        <v>2026</v>
      </c>
      <c r="E137" s="54" t="s">
        <v>2976</v>
      </c>
      <c r="F137" s="55" t="s">
        <v>50</v>
      </c>
      <c r="G137" s="55" t="s">
        <v>50</v>
      </c>
      <c r="H137" s="45" t="s">
        <v>500</v>
      </c>
      <c r="I137" s="56" t="s">
        <v>78</v>
      </c>
      <c r="J137" s="56"/>
      <c r="K137" s="55" t="s">
        <v>313</v>
      </c>
      <c r="L137" s="56" t="s">
        <v>88</v>
      </c>
      <c r="M137" s="55"/>
      <c r="N137" s="56" t="s">
        <v>110</v>
      </c>
      <c r="O137" s="56"/>
      <c r="P137" s="56" t="s">
        <v>314</v>
      </c>
      <c r="Q137" s="61" t="s">
        <v>57</v>
      </c>
      <c r="R137" s="55"/>
      <c r="S137" s="56" t="s">
        <v>58</v>
      </c>
      <c r="T137" s="55" t="s">
        <v>81</v>
      </c>
      <c r="U137" s="57">
        <v>28000</v>
      </c>
      <c r="V137" s="57" t="s">
        <v>101</v>
      </c>
      <c r="W137" s="55" t="s">
        <v>2319</v>
      </c>
      <c r="X137" s="54" t="s">
        <v>4146</v>
      </c>
      <c r="Y137" s="52"/>
      <c r="Z137" s="2" t="s">
        <v>154</v>
      </c>
      <c r="AA137" s="1" t="s">
        <v>501</v>
      </c>
      <c r="AB137" s="1"/>
      <c r="AC137" s="1"/>
      <c r="AD137" s="3" t="s">
        <v>62</v>
      </c>
      <c r="AE137" s="2" t="s">
        <v>464</v>
      </c>
      <c r="AF137" s="2"/>
      <c r="AG137" s="1" t="s">
        <v>502</v>
      </c>
      <c r="AH137" s="2">
        <v>100</v>
      </c>
      <c r="AI137" s="1"/>
      <c r="AJ137" s="1"/>
      <c r="AK137" s="1"/>
      <c r="AL137" s="1"/>
      <c r="AM137" s="1"/>
      <c r="AN137" s="1"/>
      <c r="AO137" s="1"/>
      <c r="AP137" s="1"/>
      <c r="AQ137" s="1"/>
      <c r="AR137" s="1"/>
      <c r="AS137" s="1"/>
      <c r="AT137" s="1"/>
      <c r="AU137" s="1"/>
      <c r="AV137" s="1"/>
      <c r="AW137" s="1"/>
      <c r="AX137" s="1"/>
      <c r="AY137" s="1"/>
      <c r="AZ137" s="4" t="s">
        <v>499</v>
      </c>
      <c r="BA137" s="1"/>
      <c r="BB137" s="1"/>
      <c r="BC137" s="1"/>
    </row>
    <row r="138" spans="1:55" s="78" customFormat="1" ht="15" customHeight="1" x14ac:dyDescent="0.25">
      <c r="A138" s="52" t="s">
        <v>4147</v>
      </c>
      <c r="B138" s="34" t="s">
        <v>59</v>
      </c>
      <c r="C138" s="53">
        <v>2026</v>
      </c>
      <c r="D138" s="53">
        <v>2026</v>
      </c>
      <c r="E138" s="54" t="s">
        <v>2976</v>
      </c>
      <c r="F138" s="55" t="s">
        <v>50</v>
      </c>
      <c r="G138" s="55" t="s">
        <v>50</v>
      </c>
      <c r="H138" s="45" t="s">
        <v>500</v>
      </c>
      <c r="I138" s="56" t="s">
        <v>78</v>
      </c>
      <c r="J138" s="56"/>
      <c r="K138" s="55" t="s">
        <v>71</v>
      </c>
      <c r="L138" s="55"/>
      <c r="M138" s="55"/>
      <c r="N138" s="56" t="s">
        <v>110</v>
      </c>
      <c r="O138" s="56"/>
      <c r="P138" s="55" t="s">
        <v>73</v>
      </c>
      <c r="Q138" s="55" t="s">
        <v>57</v>
      </c>
      <c r="R138" s="55"/>
      <c r="S138" s="56" t="s">
        <v>58</v>
      </c>
      <c r="T138" s="55" t="s">
        <v>81</v>
      </c>
      <c r="U138" s="57">
        <v>0.64100000000000001</v>
      </c>
      <c r="V138" s="57" t="s">
        <v>101</v>
      </c>
      <c r="W138" s="55" t="s">
        <v>2319</v>
      </c>
      <c r="X138" s="54" t="s">
        <v>4147</v>
      </c>
      <c r="Y138" s="52"/>
      <c r="Z138" s="2" t="s">
        <v>154</v>
      </c>
      <c r="AA138" s="1" t="s">
        <v>501</v>
      </c>
      <c r="AB138" s="1"/>
      <c r="AC138" s="1"/>
      <c r="AD138" s="3" t="s">
        <v>62</v>
      </c>
      <c r="AE138" s="2" t="s">
        <v>464</v>
      </c>
      <c r="AF138" s="2"/>
      <c r="AG138" s="1" t="s">
        <v>502</v>
      </c>
      <c r="AH138" s="2">
        <v>100</v>
      </c>
      <c r="AI138" s="1"/>
      <c r="AJ138" s="1"/>
      <c r="AK138" s="1"/>
      <c r="AL138" s="1"/>
      <c r="AM138" s="1"/>
      <c r="AN138" s="1"/>
      <c r="AO138" s="1"/>
      <c r="AP138" s="1"/>
      <c r="AQ138" s="1"/>
      <c r="AR138" s="1"/>
      <c r="AS138" s="1"/>
      <c r="AT138" s="1"/>
      <c r="AU138" s="1"/>
      <c r="AV138" s="1"/>
      <c r="AW138" s="1"/>
      <c r="AX138" s="1"/>
      <c r="AY138" s="1"/>
      <c r="AZ138" s="4" t="s">
        <v>499</v>
      </c>
      <c r="BA138" s="1"/>
      <c r="BB138" s="1"/>
      <c r="BC138" s="1"/>
    </row>
    <row r="139" spans="1:55" s="78" customFormat="1" ht="15" customHeight="1" x14ac:dyDescent="0.25">
      <c r="A139" s="52" t="s">
        <v>4148</v>
      </c>
      <c r="B139" s="34" t="s">
        <v>59</v>
      </c>
      <c r="C139" s="53">
        <v>2026</v>
      </c>
      <c r="D139" s="53">
        <v>2026</v>
      </c>
      <c r="E139" s="54" t="s">
        <v>2976</v>
      </c>
      <c r="F139" s="55" t="s">
        <v>50</v>
      </c>
      <c r="G139" s="55" t="s">
        <v>50</v>
      </c>
      <c r="H139" s="45" t="s">
        <v>500</v>
      </c>
      <c r="I139" s="56" t="s">
        <v>78</v>
      </c>
      <c r="J139" s="56"/>
      <c r="K139" s="55" t="s">
        <v>74</v>
      </c>
      <c r="L139" s="55"/>
      <c r="M139" s="55"/>
      <c r="N139" s="56" t="s">
        <v>110</v>
      </c>
      <c r="O139" s="56"/>
      <c r="P139" s="56" t="s">
        <v>75</v>
      </c>
      <c r="Q139" s="56" t="s">
        <v>57</v>
      </c>
      <c r="R139" s="55"/>
      <c r="S139" s="56" t="s">
        <v>58</v>
      </c>
      <c r="T139" s="55" t="s">
        <v>81</v>
      </c>
      <c r="U139" s="57">
        <v>19.329000000000001</v>
      </c>
      <c r="V139" s="57" t="s">
        <v>101</v>
      </c>
      <c r="W139" s="55" t="s">
        <v>2319</v>
      </c>
      <c r="X139" s="54" t="s">
        <v>4148</v>
      </c>
      <c r="Y139" s="52"/>
      <c r="Z139" s="2" t="s">
        <v>154</v>
      </c>
      <c r="AA139" s="1" t="s">
        <v>501</v>
      </c>
      <c r="AB139" s="1"/>
      <c r="AC139" s="1"/>
      <c r="AD139" s="3" t="s">
        <v>62</v>
      </c>
      <c r="AE139" s="2" t="s">
        <v>464</v>
      </c>
      <c r="AF139" s="2"/>
      <c r="AG139" s="1" t="s">
        <v>502</v>
      </c>
      <c r="AH139" s="2">
        <v>100</v>
      </c>
      <c r="AI139" s="1"/>
      <c r="AJ139" s="1"/>
      <c r="AK139" s="1"/>
      <c r="AL139" s="1"/>
      <c r="AM139" s="1"/>
      <c r="AN139" s="1"/>
      <c r="AO139" s="1"/>
      <c r="AP139" s="1"/>
      <c r="AQ139" s="1"/>
      <c r="AR139" s="1"/>
      <c r="AS139" s="1"/>
      <c r="AT139" s="1"/>
      <c r="AU139" s="1"/>
      <c r="AV139" s="1"/>
      <c r="AW139" s="1"/>
      <c r="AX139" s="1"/>
      <c r="AY139" s="1"/>
      <c r="AZ139" s="4" t="s">
        <v>499</v>
      </c>
      <c r="BA139" s="1"/>
      <c r="BB139" s="1"/>
      <c r="BC139" s="1"/>
    </row>
    <row r="140" spans="1:55" s="78" customFormat="1" ht="15" customHeight="1" x14ac:dyDescent="0.25">
      <c r="A140" s="52" t="s">
        <v>4149</v>
      </c>
      <c r="B140" s="34" t="s">
        <v>59</v>
      </c>
      <c r="C140" s="53">
        <v>2026</v>
      </c>
      <c r="D140" s="53">
        <v>2026</v>
      </c>
      <c r="E140" s="54" t="s">
        <v>2977</v>
      </c>
      <c r="F140" s="55" t="s">
        <v>50</v>
      </c>
      <c r="G140" s="55" t="s">
        <v>50</v>
      </c>
      <c r="H140" s="45" t="s">
        <v>504</v>
      </c>
      <c r="I140" s="56" t="s">
        <v>52</v>
      </c>
      <c r="J140" s="56"/>
      <c r="K140" s="56" t="s">
        <v>79</v>
      </c>
      <c r="L140" s="55" t="str">
        <f>IF(K140="Mine or Quarry","Mine","")</f>
        <v/>
      </c>
      <c r="M140" s="55"/>
      <c r="N140" s="56" t="s">
        <v>80</v>
      </c>
      <c r="O140" s="56"/>
      <c r="P140" s="56" t="s">
        <v>89</v>
      </c>
      <c r="Q140" s="56" t="s">
        <v>89</v>
      </c>
      <c r="R140" s="55"/>
      <c r="S140" s="56" t="s">
        <v>81</v>
      </c>
      <c r="T140" s="55" t="str">
        <f>IF(ISNUMBER(SEARCH(",",N140)),"Y","N")</f>
        <v>N</v>
      </c>
      <c r="U140" s="57">
        <v>-999</v>
      </c>
      <c r="V140" s="57" t="s">
        <v>59</v>
      </c>
      <c r="W140" s="55" t="s">
        <v>2319</v>
      </c>
      <c r="X140" s="54" t="s">
        <v>4149</v>
      </c>
      <c r="Y140" s="52"/>
      <c r="Z140" s="1" t="s">
        <v>61</v>
      </c>
      <c r="AA140" s="1" t="s">
        <v>505</v>
      </c>
      <c r="AB140" s="1"/>
      <c r="AC140" s="1"/>
      <c r="AD140" s="3" t="s">
        <v>62</v>
      </c>
      <c r="AE140" s="1" t="s">
        <v>506</v>
      </c>
      <c r="AF140" s="1" t="s">
        <v>507</v>
      </c>
      <c r="AG140" s="1" t="s">
        <v>507</v>
      </c>
      <c r="AH140" s="2">
        <v>100</v>
      </c>
      <c r="AI140" s="1"/>
      <c r="AJ140" s="1"/>
      <c r="AK140" s="1"/>
      <c r="AL140" s="1"/>
      <c r="AM140" s="1"/>
      <c r="AN140" s="1"/>
      <c r="AO140" s="1"/>
      <c r="AP140" s="1"/>
      <c r="AQ140" s="1"/>
      <c r="AR140" s="1"/>
      <c r="AS140" s="1"/>
      <c r="AT140" s="1"/>
      <c r="AU140" s="1"/>
      <c r="AV140" s="1"/>
      <c r="AW140" s="1"/>
      <c r="AX140" s="1"/>
      <c r="AY140" s="1"/>
      <c r="AZ140" s="5" t="s">
        <v>503</v>
      </c>
      <c r="BA140" s="5"/>
      <c r="BB140" s="1"/>
      <c r="BC140" s="1"/>
    </row>
    <row r="141" spans="1:55" s="78" customFormat="1" ht="15" customHeight="1" x14ac:dyDescent="0.25">
      <c r="A141" s="52" t="s">
        <v>4150</v>
      </c>
      <c r="B141" s="34" t="s">
        <v>59</v>
      </c>
      <c r="C141" s="53">
        <v>2026</v>
      </c>
      <c r="D141" s="53">
        <v>2026</v>
      </c>
      <c r="E141" s="54" t="s">
        <v>2978</v>
      </c>
      <c r="F141" s="55" t="s">
        <v>50</v>
      </c>
      <c r="G141" s="55" t="s">
        <v>50</v>
      </c>
      <c r="H141" s="45" t="s">
        <v>508</v>
      </c>
      <c r="I141" s="56" t="s">
        <v>78</v>
      </c>
      <c r="J141" s="56"/>
      <c r="K141" s="56" t="s">
        <v>87</v>
      </c>
      <c r="L141" s="55" t="str">
        <f>IF(K141="Mine or Quarry","Mine","")</f>
        <v/>
      </c>
      <c r="M141" s="55"/>
      <c r="N141" s="56" t="s">
        <v>181</v>
      </c>
      <c r="O141" s="56" t="s">
        <v>370</v>
      </c>
      <c r="P141" s="56" t="s">
        <v>89</v>
      </c>
      <c r="Q141" s="56" t="s">
        <v>89</v>
      </c>
      <c r="R141" s="55"/>
      <c r="S141" s="56" t="s">
        <v>81</v>
      </c>
      <c r="T141" s="55" t="s">
        <v>81</v>
      </c>
      <c r="U141" s="57">
        <v>-999</v>
      </c>
      <c r="V141" s="57" t="s">
        <v>59</v>
      </c>
      <c r="W141" s="55" t="s">
        <v>2319</v>
      </c>
      <c r="X141" s="54" t="s">
        <v>4150</v>
      </c>
      <c r="Y141" s="52"/>
      <c r="Z141" s="1" t="s">
        <v>61</v>
      </c>
      <c r="AA141" s="1" t="s">
        <v>505</v>
      </c>
      <c r="AB141" s="1"/>
      <c r="AC141" s="1"/>
      <c r="AD141" s="3" t="s">
        <v>62</v>
      </c>
      <c r="AE141" s="1" t="s">
        <v>506</v>
      </c>
      <c r="AF141" s="1" t="s">
        <v>507</v>
      </c>
      <c r="AG141" s="1" t="s">
        <v>507</v>
      </c>
      <c r="AH141" s="2">
        <v>100</v>
      </c>
      <c r="AI141" s="1"/>
      <c r="AJ141" s="1"/>
      <c r="AK141" s="1"/>
      <c r="AL141" s="1"/>
      <c r="AM141" s="1"/>
      <c r="AN141" s="1"/>
      <c r="AO141" s="1"/>
      <c r="AP141" s="1"/>
      <c r="AQ141" s="1"/>
      <c r="AR141" s="1"/>
      <c r="AS141" s="1"/>
      <c r="AT141" s="1"/>
      <c r="AU141" s="1"/>
      <c r="AV141" s="1"/>
      <c r="AW141" s="1"/>
      <c r="AX141" s="1"/>
      <c r="AY141" s="1"/>
      <c r="AZ141" s="5" t="s">
        <v>503</v>
      </c>
      <c r="BA141" s="5"/>
      <c r="BB141" s="1"/>
      <c r="BC141" s="1"/>
    </row>
    <row r="142" spans="1:55" s="78" customFormat="1" ht="15" customHeight="1" x14ac:dyDescent="0.25">
      <c r="A142" s="52" t="s">
        <v>4151</v>
      </c>
      <c r="B142" s="34" t="s">
        <v>59</v>
      </c>
      <c r="C142" s="53">
        <v>2026</v>
      </c>
      <c r="D142" s="53">
        <v>2026</v>
      </c>
      <c r="E142" s="54" t="s">
        <v>2979</v>
      </c>
      <c r="F142" s="55" t="s">
        <v>50</v>
      </c>
      <c r="G142" s="55" t="s">
        <v>50</v>
      </c>
      <c r="H142" s="45" t="s">
        <v>510</v>
      </c>
      <c r="I142" s="56" t="s">
        <v>78</v>
      </c>
      <c r="J142" s="56"/>
      <c r="K142" s="56" t="s">
        <v>511</v>
      </c>
      <c r="L142" s="56" t="s">
        <v>88</v>
      </c>
      <c r="M142" s="56"/>
      <c r="N142" s="55" t="s">
        <v>110</v>
      </c>
      <c r="O142" s="56"/>
      <c r="P142" s="56" t="s">
        <v>512</v>
      </c>
      <c r="Q142" s="55" t="s">
        <v>57</v>
      </c>
      <c r="R142" s="56"/>
      <c r="S142" s="56" t="s">
        <v>58</v>
      </c>
      <c r="T142" s="56" t="s">
        <v>81</v>
      </c>
      <c r="U142" s="72">
        <v>111.22</v>
      </c>
      <c r="V142" s="57" t="s">
        <v>101</v>
      </c>
      <c r="W142" s="55" t="s">
        <v>2319</v>
      </c>
      <c r="X142" s="54" t="s">
        <v>4151</v>
      </c>
      <c r="Y142" s="52"/>
      <c r="Z142" s="3" t="s">
        <v>514</v>
      </c>
      <c r="AA142" s="1" t="s">
        <v>513</v>
      </c>
      <c r="AB142" s="1"/>
      <c r="AC142" s="1"/>
      <c r="AD142" s="3" t="s">
        <v>62</v>
      </c>
      <c r="AE142" s="3" t="s">
        <v>336</v>
      </c>
      <c r="AF142" s="2" t="s">
        <v>515</v>
      </c>
      <c r="AG142" s="2" t="s">
        <v>515</v>
      </c>
      <c r="AH142" s="58">
        <v>100</v>
      </c>
      <c r="AI142" s="1"/>
      <c r="AJ142" s="60"/>
      <c r="AK142" s="1"/>
      <c r="AL142" s="1"/>
      <c r="AM142" s="1"/>
      <c r="AN142" s="1"/>
      <c r="AO142" s="1"/>
      <c r="AP142" s="1"/>
      <c r="AQ142" s="1"/>
      <c r="AR142" s="1"/>
      <c r="AS142" s="1"/>
      <c r="AT142" s="1"/>
      <c r="AU142" s="1"/>
      <c r="AV142" s="1"/>
      <c r="AW142" s="1"/>
      <c r="AX142" s="1"/>
      <c r="AY142" s="1"/>
      <c r="AZ142" s="5" t="s">
        <v>509</v>
      </c>
      <c r="BA142" s="5"/>
      <c r="BB142" s="1"/>
      <c r="BC142" s="1"/>
    </row>
    <row r="143" spans="1:55" s="78" customFormat="1" ht="15" customHeight="1" x14ac:dyDescent="0.25">
      <c r="A143" s="52" t="s">
        <v>4152</v>
      </c>
      <c r="B143" s="34" t="s">
        <v>59</v>
      </c>
      <c r="C143" s="53">
        <v>2026</v>
      </c>
      <c r="D143" s="53">
        <v>2026</v>
      </c>
      <c r="E143" s="54" t="s">
        <v>2980</v>
      </c>
      <c r="F143" s="55" t="s">
        <v>50</v>
      </c>
      <c r="G143" s="55" t="s">
        <v>50</v>
      </c>
      <c r="H143" s="45" t="s">
        <v>517</v>
      </c>
      <c r="I143" s="56" t="s">
        <v>78</v>
      </c>
      <c r="J143" s="55" t="s">
        <v>384</v>
      </c>
      <c r="K143" s="55" t="s">
        <v>384</v>
      </c>
      <c r="L143" s="55" t="s">
        <v>88</v>
      </c>
      <c r="M143" s="55"/>
      <c r="N143" s="55"/>
      <c r="O143" s="55"/>
      <c r="P143" s="55" t="s">
        <v>385</v>
      </c>
      <c r="Q143" s="55" t="s">
        <v>5353</v>
      </c>
      <c r="R143" s="55"/>
      <c r="S143" s="56" t="s">
        <v>81</v>
      </c>
      <c r="T143" s="55" t="str">
        <f>IF(ISNUMBER(SEARCH(",",N143)),"Y","N")</f>
        <v>N</v>
      </c>
      <c r="U143" s="57">
        <v>-999</v>
      </c>
      <c r="V143" s="57" t="s">
        <v>59</v>
      </c>
      <c r="W143" s="55" t="s">
        <v>2319</v>
      </c>
      <c r="X143" s="54" t="s">
        <v>4152</v>
      </c>
      <c r="Y143" s="52"/>
      <c r="Z143" s="3" t="s">
        <v>154</v>
      </c>
      <c r="AA143" s="3" t="s">
        <v>518</v>
      </c>
      <c r="AB143" s="3"/>
      <c r="AC143" s="3"/>
      <c r="AD143" s="3" t="s">
        <v>62</v>
      </c>
      <c r="AE143" s="3" t="s">
        <v>519</v>
      </c>
      <c r="AF143" s="3"/>
      <c r="AG143" s="3" t="s">
        <v>520</v>
      </c>
      <c r="AH143" s="58">
        <v>100</v>
      </c>
      <c r="AI143" s="3"/>
      <c r="AJ143" s="3"/>
      <c r="AK143" s="3"/>
      <c r="AL143" s="3"/>
      <c r="AM143" s="3"/>
      <c r="AN143" s="3"/>
      <c r="AO143" s="3"/>
      <c r="AP143" s="3"/>
      <c r="AQ143" s="3"/>
      <c r="AR143" s="3"/>
      <c r="AS143" s="3"/>
      <c r="AT143" s="3"/>
      <c r="AU143" s="3"/>
      <c r="AV143" s="3"/>
      <c r="AW143" s="3"/>
      <c r="AX143" s="3"/>
      <c r="AY143" s="3"/>
      <c r="AZ143" s="4" t="s">
        <v>516</v>
      </c>
      <c r="BA143" s="32"/>
      <c r="BB143" s="1"/>
      <c r="BC143" s="1"/>
    </row>
    <row r="144" spans="1:55" s="78" customFormat="1" ht="15" customHeight="1" x14ac:dyDescent="0.25">
      <c r="A144" s="52" t="s">
        <v>4153</v>
      </c>
      <c r="B144" s="34" t="s">
        <v>59</v>
      </c>
      <c r="C144" s="53">
        <v>2026</v>
      </c>
      <c r="D144" s="53">
        <v>2026</v>
      </c>
      <c r="E144" s="54" t="s">
        <v>2981</v>
      </c>
      <c r="F144" s="55" t="s">
        <v>50</v>
      </c>
      <c r="G144" s="55" t="s">
        <v>50</v>
      </c>
      <c r="H144" s="45" t="s">
        <v>522</v>
      </c>
      <c r="I144" s="56" t="s">
        <v>52</v>
      </c>
      <c r="J144" s="56"/>
      <c r="K144" s="56" t="s">
        <v>87</v>
      </c>
      <c r="L144" s="55"/>
      <c r="M144" s="55"/>
      <c r="N144" s="56"/>
      <c r="O144" s="56" t="s">
        <v>2891</v>
      </c>
      <c r="P144" s="56" t="s">
        <v>89</v>
      </c>
      <c r="Q144" s="56" t="s">
        <v>89</v>
      </c>
      <c r="R144" s="55"/>
      <c r="S144" s="56" t="s">
        <v>81</v>
      </c>
      <c r="T144" s="55" t="s">
        <v>81</v>
      </c>
      <c r="U144" s="57">
        <v>-999</v>
      </c>
      <c r="V144" s="57" t="s">
        <v>59</v>
      </c>
      <c r="W144" s="55" t="s">
        <v>2319</v>
      </c>
      <c r="X144" s="54" t="s">
        <v>4153</v>
      </c>
      <c r="Y144" s="52"/>
      <c r="Z144" s="1" t="s">
        <v>61</v>
      </c>
      <c r="AA144" s="1" t="s">
        <v>523</v>
      </c>
      <c r="AB144" s="1"/>
      <c r="AC144" s="1"/>
      <c r="AD144" s="3" t="s">
        <v>62</v>
      </c>
      <c r="AE144" s="1" t="s">
        <v>524</v>
      </c>
      <c r="AF144" s="1" t="s">
        <v>525</v>
      </c>
      <c r="AG144" s="1" t="s">
        <v>526</v>
      </c>
      <c r="AH144" s="2">
        <v>100</v>
      </c>
      <c r="AI144" s="1"/>
      <c r="AJ144" s="1"/>
      <c r="AK144" s="1"/>
      <c r="AL144" s="1"/>
      <c r="AM144" s="1"/>
      <c r="AN144" s="1"/>
      <c r="AO144" s="1"/>
      <c r="AP144" s="1"/>
      <c r="AQ144" s="1"/>
      <c r="AR144" s="1"/>
      <c r="AS144" s="1"/>
      <c r="AT144" s="1"/>
      <c r="AU144" s="1"/>
      <c r="AV144" s="1"/>
      <c r="AW144" s="1"/>
      <c r="AX144" s="1"/>
      <c r="AY144" s="1"/>
      <c r="AZ144" s="5" t="s">
        <v>521</v>
      </c>
      <c r="BA144" s="5"/>
      <c r="BB144" s="1"/>
      <c r="BC144" s="1"/>
    </row>
    <row r="145" spans="1:55" s="78" customFormat="1" ht="15" customHeight="1" x14ac:dyDescent="0.25">
      <c r="A145" s="52" t="s">
        <v>4154</v>
      </c>
      <c r="B145" s="34" t="s">
        <v>59</v>
      </c>
      <c r="C145" s="53">
        <v>2026</v>
      </c>
      <c r="D145" s="53">
        <v>2026</v>
      </c>
      <c r="E145" s="54" t="s">
        <v>3021</v>
      </c>
      <c r="F145" s="55" t="s">
        <v>50</v>
      </c>
      <c r="G145" s="55" t="s">
        <v>50</v>
      </c>
      <c r="H145" s="45" t="s">
        <v>527</v>
      </c>
      <c r="I145" s="56" t="s">
        <v>78</v>
      </c>
      <c r="J145" s="56"/>
      <c r="K145" s="56" t="s">
        <v>87</v>
      </c>
      <c r="L145" s="55" t="str">
        <f>IF(K145="Mine or Quarry","Mine","")</f>
        <v/>
      </c>
      <c r="M145" s="55"/>
      <c r="N145" s="56"/>
      <c r="O145" s="56"/>
      <c r="P145" s="56" t="s">
        <v>89</v>
      </c>
      <c r="Q145" s="56" t="s">
        <v>89</v>
      </c>
      <c r="R145" s="55"/>
      <c r="S145" s="56" t="s">
        <v>81</v>
      </c>
      <c r="T145" s="55" t="str">
        <f>IF(ISNUMBER(SEARCH(",",N145)),"Y","N")</f>
        <v>N</v>
      </c>
      <c r="U145" s="57">
        <v>-999</v>
      </c>
      <c r="V145" s="57" t="s">
        <v>59</v>
      </c>
      <c r="W145" s="55" t="s">
        <v>2319</v>
      </c>
      <c r="X145" s="54" t="s">
        <v>4154</v>
      </c>
      <c r="Y145" s="52"/>
      <c r="Z145" s="1" t="s">
        <v>61</v>
      </c>
      <c r="AA145" s="1" t="s">
        <v>523</v>
      </c>
      <c r="AB145" s="1"/>
      <c r="AC145" s="1"/>
      <c r="AD145" s="3" t="s">
        <v>62</v>
      </c>
      <c r="AE145" s="1" t="s">
        <v>524</v>
      </c>
      <c r="AF145" s="1" t="s">
        <v>525</v>
      </c>
      <c r="AG145" s="1" t="s">
        <v>526</v>
      </c>
      <c r="AH145" s="2">
        <v>100</v>
      </c>
      <c r="AI145" s="1"/>
      <c r="AJ145" s="1"/>
      <c r="AK145" s="1"/>
      <c r="AL145" s="1"/>
      <c r="AM145" s="1"/>
      <c r="AN145" s="1"/>
      <c r="AO145" s="1"/>
      <c r="AP145" s="1"/>
      <c r="AQ145" s="1"/>
      <c r="AR145" s="1"/>
      <c r="AS145" s="1"/>
      <c r="AT145" s="1"/>
      <c r="AU145" s="1"/>
      <c r="AV145" s="1"/>
      <c r="AW145" s="1"/>
      <c r="AX145" s="1"/>
      <c r="AY145" s="1"/>
      <c r="AZ145" s="5" t="s">
        <v>521</v>
      </c>
      <c r="BA145" s="5"/>
      <c r="BB145" s="1"/>
      <c r="BC145" s="1"/>
    </row>
    <row r="146" spans="1:55" s="78" customFormat="1" ht="15" customHeight="1" x14ac:dyDescent="0.25">
      <c r="A146" s="52" t="s">
        <v>4155</v>
      </c>
      <c r="B146" s="34" t="s">
        <v>59</v>
      </c>
      <c r="C146" s="53">
        <v>2026</v>
      </c>
      <c r="D146" s="53">
        <v>2026</v>
      </c>
      <c r="E146" s="54" t="s">
        <v>3022</v>
      </c>
      <c r="F146" s="55" t="s">
        <v>50</v>
      </c>
      <c r="G146" s="55" t="s">
        <v>50</v>
      </c>
      <c r="H146" s="45" t="s">
        <v>529</v>
      </c>
      <c r="I146" s="45" t="s">
        <v>52</v>
      </c>
      <c r="J146" s="56"/>
      <c r="K146" s="55" t="s">
        <v>210</v>
      </c>
      <c r="L146" s="55" t="s">
        <v>54</v>
      </c>
      <c r="M146" s="55" t="s">
        <v>211</v>
      </c>
      <c r="N146" s="55" t="s">
        <v>212</v>
      </c>
      <c r="O146" s="55"/>
      <c r="P146" s="55" t="s">
        <v>89</v>
      </c>
      <c r="Q146" s="55" t="s">
        <v>89</v>
      </c>
      <c r="R146" s="55"/>
      <c r="S146" s="56" t="s">
        <v>81</v>
      </c>
      <c r="T146" s="55" t="s">
        <v>81</v>
      </c>
      <c r="U146" s="57">
        <v>-999</v>
      </c>
      <c r="V146" s="57" t="s">
        <v>59</v>
      </c>
      <c r="W146" s="55" t="s">
        <v>2319</v>
      </c>
      <c r="X146" s="54" t="s">
        <v>4155</v>
      </c>
      <c r="Y146" s="52"/>
      <c r="Z146" s="3" t="s">
        <v>61</v>
      </c>
      <c r="AA146" s="1" t="s">
        <v>530</v>
      </c>
      <c r="AB146" s="1"/>
      <c r="AC146" s="1"/>
      <c r="AD146" s="3" t="s">
        <v>62</v>
      </c>
      <c r="AE146" s="3" t="s">
        <v>184</v>
      </c>
      <c r="AF146" s="3"/>
      <c r="AG146" s="1" t="s">
        <v>531</v>
      </c>
      <c r="AH146" s="2">
        <v>100</v>
      </c>
      <c r="AI146" s="1"/>
      <c r="AJ146" s="2"/>
      <c r="AK146" s="3"/>
      <c r="AL146" s="3"/>
      <c r="AM146" s="3"/>
      <c r="AN146" s="3"/>
      <c r="AO146" s="3"/>
      <c r="AP146" s="3"/>
      <c r="AQ146" s="3"/>
      <c r="AR146" s="3"/>
      <c r="AS146" s="3"/>
      <c r="AT146" s="3"/>
      <c r="AU146" s="3"/>
      <c r="AV146" s="3"/>
      <c r="AW146" s="3"/>
      <c r="AX146" s="3"/>
      <c r="AY146" s="3"/>
      <c r="AZ146" s="4" t="s">
        <v>528</v>
      </c>
      <c r="BA146" s="3"/>
      <c r="BB146" s="1"/>
      <c r="BC146" s="1"/>
    </row>
    <row r="147" spans="1:55" s="78" customFormat="1" ht="15" customHeight="1" x14ac:dyDescent="0.25">
      <c r="A147" s="52" t="s">
        <v>4156</v>
      </c>
      <c r="B147" s="34" t="s">
        <v>59</v>
      </c>
      <c r="C147" s="53">
        <v>2026</v>
      </c>
      <c r="D147" s="53">
        <v>2026</v>
      </c>
      <c r="E147" s="54" t="s">
        <v>3023</v>
      </c>
      <c r="F147" s="55" t="s">
        <v>50</v>
      </c>
      <c r="G147" s="55" t="s">
        <v>50</v>
      </c>
      <c r="H147" s="45" t="s">
        <v>533</v>
      </c>
      <c r="I147" s="56" t="s">
        <v>78</v>
      </c>
      <c r="J147" s="56"/>
      <c r="K147" s="55" t="s">
        <v>71</v>
      </c>
      <c r="L147" s="55"/>
      <c r="M147" s="55"/>
      <c r="N147" s="55" t="s">
        <v>181</v>
      </c>
      <c r="O147" s="55"/>
      <c r="P147" s="55" t="s">
        <v>73</v>
      </c>
      <c r="Q147" s="55" t="s">
        <v>57</v>
      </c>
      <c r="R147" s="55"/>
      <c r="S147" s="56" t="s">
        <v>58</v>
      </c>
      <c r="T147" s="55" t="s">
        <v>81</v>
      </c>
      <c r="U147" s="73">
        <v>0.34</v>
      </c>
      <c r="V147" s="57" t="s">
        <v>59</v>
      </c>
      <c r="W147" s="55" t="s">
        <v>106</v>
      </c>
      <c r="X147" s="54" t="s">
        <v>4156</v>
      </c>
      <c r="Y147" s="52"/>
      <c r="Z147" s="3" t="s">
        <v>61</v>
      </c>
      <c r="AA147" s="3" t="s">
        <v>534</v>
      </c>
      <c r="AB147" s="3"/>
      <c r="AC147" s="3"/>
      <c r="AD147" s="3" t="s">
        <v>62</v>
      </c>
      <c r="AE147" s="3" t="s">
        <v>83</v>
      </c>
      <c r="AF147" s="3" t="s">
        <v>535</v>
      </c>
      <c r="AG147" s="3" t="s">
        <v>535</v>
      </c>
      <c r="AH147" s="58">
        <v>100</v>
      </c>
      <c r="AI147" s="3"/>
      <c r="AJ147" s="3"/>
      <c r="AK147" s="3"/>
      <c r="AL147" s="3"/>
      <c r="AM147" s="3"/>
      <c r="AN147" s="3"/>
      <c r="AO147" s="3"/>
      <c r="AP147" s="3"/>
      <c r="AQ147" s="3"/>
      <c r="AR147" s="3"/>
      <c r="AS147" s="3"/>
      <c r="AT147" s="3"/>
      <c r="AU147" s="3"/>
      <c r="AV147" s="3"/>
      <c r="AW147" s="3"/>
      <c r="AX147" s="3"/>
      <c r="AY147" s="3"/>
      <c r="AZ147" s="4" t="s">
        <v>532</v>
      </c>
      <c r="BA147" s="4" t="s">
        <v>3926</v>
      </c>
      <c r="BB147" s="1"/>
      <c r="BC147" s="1"/>
    </row>
    <row r="148" spans="1:55" s="78" customFormat="1" ht="15" customHeight="1" x14ac:dyDescent="0.25">
      <c r="A148" s="52" t="s">
        <v>4157</v>
      </c>
      <c r="B148" s="34" t="s">
        <v>59</v>
      </c>
      <c r="C148" s="53">
        <v>2026</v>
      </c>
      <c r="D148" s="53">
        <v>2026</v>
      </c>
      <c r="E148" s="54" t="s">
        <v>3023</v>
      </c>
      <c r="F148" s="55" t="s">
        <v>50</v>
      </c>
      <c r="G148" s="55" t="s">
        <v>50</v>
      </c>
      <c r="H148" s="45" t="s">
        <v>533</v>
      </c>
      <c r="I148" s="56" t="s">
        <v>78</v>
      </c>
      <c r="J148" s="56"/>
      <c r="K148" s="55" t="s">
        <v>74</v>
      </c>
      <c r="L148" s="55"/>
      <c r="M148" s="55"/>
      <c r="N148" s="55" t="s">
        <v>181</v>
      </c>
      <c r="O148" s="55"/>
      <c r="P148" s="55" t="s">
        <v>75</v>
      </c>
      <c r="Q148" s="56" t="s">
        <v>57</v>
      </c>
      <c r="R148" s="55"/>
      <c r="S148" s="56" t="s">
        <v>58</v>
      </c>
      <c r="T148" s="55" t="str">
        <f>IF(ISNUMBER(SEARCH(",",N148)),"Y","N")</f>
        <v>N</v>
      </c>
      <c r="U148" s="57">
        <v>0.56200000000000006</v>
      </c>
      <c r="V148" s="57" t="s">
        <v>59</v>
      </c>
      <c r="W148" s="55" t="s">
        <v>106</v>
      </c>
      <c r="X148" s="54" t="s">
        <v>4157</v>
      </c>
      <c r="Y148" s="52"/>
      <c r="Z148" s="3" t="s">
        <v>61</v>
      </c>
      <c r="AA148" s="3" t="s">
        <v>534</v>
      </c>
      <c r="AB148" s="3"/>
      <c r="AC148" s="3"/>
      <c r="AD148" s="3" t="s">
        <v>62</v>
      </c>
      <c r="AE148" s="2" t="s">
        <v>83</v>
      </c>
      <c r="AF148" s="3" t="s">
        <v>535</v>
      </c>
      <c r="AG148" s="3" t="s">
        <v>535</v>
      </c>
      <c r="AH148" s="58">
        <v>100</v>
      </c>
      <c r="AI148" s="3"/>
      <c r="AJ148" s="3"/>
      <c r="AK148" s="3"/>
      <c r="AL148" s="3"/>
      <c r="AM148" s="3"/>
      <c r="AN148" s="3"/>
      <c r="AO148" s="3"/>
      <c r="AP148" s="3"/>
      <c r="AQ148" s="3"/>
      <c r="AR148" s="3"/>
      <c r="AS148" s="3"/>
      <c r="AT148" s="3"/>
      <c r="AU148" s="3"/>
      <c r="AV148" s="3"/>
      <c r="AW148" s="3"/>
      <c r="AX148" s="3"/>
      <c r="AY148" s="3"/>
      <c r="AZ148" s="4" t="s">
        <v>532</v>
      </c>
      <c r="BA148" s="4" t="s">
        <v>3926</v>
      </c>
      <c r="BB148" s="1"/>
      <c r="BC148" s="1"/>
    </row>
    <row r="149" spans="1:55" s="78" customFormat="1" ht="15" customHeight="1" x14ac:dyDescent="0.25">
      <c r="A149" s="52" t="s">
        <v>4158</v>
      </c>
      <c r="B149" s="34" t="s">
        <v>59</v>
      </c>
      <c r="C149" s="53">
        <v>2026</v>
      </c>
      <c r="D149" s="53">
        <v>2026</v>
      </c>
      <c r="E149" s="54" t="s">
        <v>3024</v>
      </c>
      <c r="F149" s="55" t="s">
        <v>50</v>
      </c>
      <c r="G149" s="55" t="s">
        <v>50</v>
      </c>
      <c r="H149" s="45" t="s">
        <v>536</v>
      </c>
      <c r="I149" s="56" t="s">
        <v>52</v>
      </c>
      <c r="J149" s="56"/>
      <c r="K149" s="56" t="s">
        <v>71</v>
      </c>
      <c r="L149" s="55" t="str">
        <f>IF(K149="Mine or Quarry","Mine","")</f>
        <v/>
      </c>
      <c r="M149" s="55"/>
      <c r="N149" s="55" t="s">
        <v>110</v>
      </c>
      <c r="O149" s="45" t="s">
        <v>296</v>
      </c>
      <c r="P149" s="55" t="s">
        <v>73</v>
      </c>
      <c r="Q149" s="55" t="s">
        <v>57</v>
      </c>
      <c r="R149" s="55"/>
      <c r="S149" s="56" t="s">
        <v>58</v>
      </c>
      <c r="T149" s="55" t="str">
        <f>IF(ISNUMBER(SEARCH(",",N149)),"Y","N")</f>
        <v>N</v>
      </c>
      <c r="U149" s="73">
        <v>0.34</v>
      </c>
      <c r="V149" s="57" t="s">
        <v>59</v>
      </c>
      <c r="W149" s="55" t="s">
        <v>106</v>
      </c>
      <c r="X149" s="54" t="s">
        <v>4158</v>
      </c>
      <c r="Y149" s="52"/>
      <c r="Z149" s="1" t="s">
        <v>61</v>
      </c>
      <c r="AA149" s="1" t="s">
        <v>534</v>
      </c>
      <c r="AB149" s="1"/>
      <c r="AC149" s="1"/>
      <c r="AD149" s="3" t="s">
        <v>62</v>
      </c>
      <c r="AE149" s="2" t="s">
        <v>83</v>
      </c>
      <c r="AF149" s="3" t="s">
        <v>535</v>
      </c>
      <c r="AG149" s="3" t="s">
        <v>535</v>
      </c>
      <c r="AH149" s="58">
        <v>100</v>
      </c>
      <c r="AI149" s="1"/>
      <c r="AJ149" s="1"/>
      <c r="AK149" s="1"/>
      <c r="AL149" s="1"/>
      <c r="AM149" s="1"/>
      <c r="AN149" s="1"/>
      <c r="AO149" s="1"/>
      <c r="AP149" s="1"/>
      <c r="AQ149" s="1"/>
      <c r="AR149" s="1"/>
      <c r="AS149" s="1"/>
      <c r="AT149" s="1"/>
      <c r="AU149" s="1"/>
      <c r="AV149" s="1"/>
      <c r="AW149" s="1"/>
      <c r="AX149" s="1"/>
      <c r="AY149" s="1"/>
      <c r="AZ149" s="4" t="s">
        <v>532</v>
      </c>
      <c r="BA149" s="4" t="s">
        <v>3926</v>
      </c>
      <c r="BB149" s="1"/>
      <c r="BC149" s="1"/>
    </row>
    <row r="150" spans="1:55" s="78" customFormat="1" ht="15" customHeight="1" x14ac:dyDescent="0.25">
      <c r="A150" s="52" t="s">
        <v>4159</v>
      </c>
      <c r="B150" s="34" t="s">
        <v>59</v>
      </c>
      <c r="C150" s="53">
        <v>2026</v>
      </c>
      <c r="D150" s="53">
        <v>2026</v>
      </c>
      <c r="E150" s="54" t="s">
        <v>3024</v>
      </c>
      <c r="F150" s="55" t="s">
        <v>50</v>
      </c>
      <c r="G150" s="55" t="s">
        <v>50</v>
      </c>
      <c r="H150" s="45" t="s">
        <v>536</v>
      </c>
      <c r="I150" s="56" t="s">
        <v>52</v>
      </c>
      <c r="J150" s="56"/>
      <c r="K150" s="56" t="s">
        <v>74</v>
      </c>
      <c r="L150" s="55" t="str">
        <f>IF(K150="Mines and Quarries","Mine","")</f>
        <v/>
      </c>
      <c r="M150" s="55"/>
      <c r="N150" s="55" t="s">
        <v>110</v>
      </c>
      <c r="O150" s="56"/>
      <c r="P150" s="55" t="s">
        <v>75</v>
      </c>
      <c r="Q150" s="56" t="s">
        <v>57</v>
      </c>
      <c r="R150" s="55"/>
      <c r="S150" s="56" t="s">
        <v>58</v>
      </c>
      <c r="T150" s="55" t="str">
        <f>IF(ISNUMBER(SEARCH(",",N150)),"Y","N")</f>
        <v>N</v>
      </c>
      <c r="U150" s="57">
        <v>0.56200000000000006</v>
      </c>
      <c r="V150" s="57" t="s">
        <v>59</v>
      </c>
      <c r="W150" s="55" t="s">
        <v>106</v>
      </c>
      <c r="X150" s="54" t="s">
        <v>4159</v>
      </c>
      <c r="Y150" s="52"/>
      <c r="Z150" s="1" t="s">
        <v>61</v>
      </c>
      <c r="AA150" s="1" t="s">
        <v>534</v>
      </c>
      <c r="AB150" s="1"/>
      <c r="AC150" s="1"/>
      <c r="AD150" s="3" t="s">
        <v>62</v>
      </c>
      <c r="AE150" s="2" t="s">
        <v>83</v>
      </c>
      <c r="AF150" s="3" t="s">
        <v>535</v>
      </c>
      <c r="AG150" s="3" t="s">
        <v>535</v>
      </c>
      <c r="AH150" s="58">
        <v>100</v>
      </c>
      <c r="AI150" s="1"/>
      <c r="AJ150" s="1"/>
      <c r="AK150" s="1"/>
      <c r="AL150" s="1"/>
      <c r="AM150" s="1"/>
      <c r="AN150" s="1"/>
      <c r="AO150" s="1"/>
      <c r="AP150" s="1"/>
      <c r="AQ150" s="1"/>
      <c r="AR150" s="1"/>
      <c r="AS150" s="1"/>
      <c r="AT150" s="1"/>
      <c r="AU150" s="1"/>
      <c r="AV150" s="1"/>
      <c r="AW150" s="1"/>
      <c r="AX150" s="1"/>
      <c r="AY150" s="1"/>
      <c r="AZ150" s="4" t="s">
        <v>532</v>
      </c>
      <c r="BA150" s="4" t="s">
        <v>3926</v>
      </c>
      <c r="BB150" s="1"/>
      <c r="BC150" s="1"/>
    </row>
    <row r="151" spans="1:55" s="78" customFormat="1" ht="15" customHeight="1" x14ac:dyDescent="0.25">
      <c r="A151" s="52" t="s">
        <v>4160</v>
      </c>
      <c r="B151" s="34" t="s">
        <v>59</v>
      </c>
      <c r="C151" s="53">
        <v>2026</v>
      </c>
      <c r="D151" s="53">
        <v>2026</v>
      </c>
      <c r="E151" s="54" t="s">
        <v>3025</v>
      </c>
      <c r="F151" s="55" t="s">
        <v>50</v>
      </c>
      <c r="G151" s="55" t="s">
        <v>50</v>
      </c>
      <c r="H151" s="45" t="s">
        <v>537</v>
      </c>
      <c r="I151" s="56" t="s">
        <v>52</v>
      </c>
      <c r="J151" s="56"/>
      <c r="K151" s="55" t="s">
        <v>133</v>
      </c>
      <c r="L151" s="55" t="s">
        <v>54</v>
      </c>
      <c r="M151" s="55"/>
      <c r="N151" s="55" t="s">
        <v>240</v>
      </c>
      <c r="O151" s="55"/>
      <c r="P151" s="55" t="s">
        <v>134</v>
      </c>
      <c r="Q151" s="55" t="s">
        <v>57</v>
      </c>
      <c r="R151" s="55"/>
      <c r="S151" s="56" t="s">
        <v>58</v>
      </c>
      <c r="T151" s="55" t="str">
        <f>IF(ISNUMBER(SEARCH(",",N151)),"Y","N")</f>
        <v>N</v>
      </c>
      <c r="U151" s="57">
        <v>10</v>
      </c>
      <c r="V151" s="57" t="s">
        <v>101</v>
      </c>
      <c r="W151" s="55" t="s">
        <v>2319</v>
      </c>
      <c r="X151" s="54" t="s">
        <v>4160</v>
      </c>
      <c r="Y151" s="52"/>
      <c r="Z151" s="3" t="s">
        <v>61</v>
      </c>
      <c r="AA151" s="3" t="s">
        <v>538</v>
      </c>
      <c r="AB151" s="3"/>
      <c r="AC151" s="3"/>
      <c r="AD151" s="3" t="s">
        <v>62</v>
      </c>
      <c r="AE151" s="3" t="s">
        <v>464</v>
      </c>
      <c r="AF151" s="3" t="s">
        <v>544</v>
      </c>
      <c r="AG151" s="3" t="s">
        <v>425</v>
      </c>
      <c r="AH151" s="58">
        <v>100</v>
      </c>
      <c r="AI151" s="3"/>
      <c r="AJ151" s="3"/>
      <c r="AK151" s="3"/>
      <c r="AL151" s="3"/>
      <c r="AM151" s="3"/>
      <c r="AN151" s="3"/>
      <c r="AO151" s="3"/>
      <c r="AP151" s="3"/>
      <c r="AQ151" s="3"/>
      <c r="AR151" s="3"/>
      <c r="AS151" s="3"/>
      <c r="AT151" s="3"/>
      <c r="AU151" s="3"/>
      <c r="AV151" s="3"/>
      <c r="AW151" s="3"/>
      <c r="AX151" s="3"/>
      <c r="AY151" s="3"/>
      <c r="AZ151" s="4" t="s">
        <v>3020</v>
      </c>
      <c r="BA151" s="3"/>
      <c r="BB151" s="1"/>
      <c r="BC151" s="1"/>
    </row>
    <row r="152" spans="1:55" s="78" customFormat="1" ht="15" customHeight="1" x14ac:dyDescent="0.25">
      <c r="A152" s="52" t="s">
        <v>4161</v>
      </c>
      <c r="B152" s="34" t="s">
        <v>59</v>
      </c>
      <c r="C152" s="53">
        <v>2026</v>
      </c>
      <c r="D152" s="53">
        <v>2026</v>
      </c>
      <c r="E152" s="54" t="s">
        <v>3025</v>
      </c>
      <c r="F152" s="55" t="s">
        <v>50</v>
      </c>
      <c r="G152" s="55" t="s">
        <v>50</v>
      </c>
      <c r="H152" s="45" t="s">
        <v>537</v>
      </c>
      <c r="I152" s="56" t="s">
        <v>52</v>
      </c>
      <c r="J152" s="56"/>
      <c r="K152" s="56" t="s">
        <v>540</v>
      </c>
      <c r="L152" s="55" t="str">
        <f>IF(K152="Mine or Quarry","Mine","")</f>
        <v/>
      </c>
      <c r="M152" s="55"/>
      <c r="N152" s="56" t="s">
        <v>541</v>
      </c>
      <c r="O152" s="56" t="s">
        <v>542</v>
      </c>
      <c r="P152" s="56" t="s">
        <v>543</v>
      </c>
      <c r="Q152" s="56" t="s">
        <v>57</v>
      </c>
      <c r="R152" s="55"/>
      <c r="S152" s="56" t="s">
        <v>81</v>
      </c>
      <c r="T152" s="55" t="s">
        <v>58</v>
      </c>
      <c r="U152" s="57">
        <v>576000</v>
      </c>
      <c r="V152" s="57" t="s">
        <v>101</v>
      </c>
      <c r="W152" s="55" t="s">
        <v>2319</v>
      </c>
      <c r="X152" s="54" t="s">
        <v>4161</v>
      </c>
      <c r="Y152" s="52"/>
      <c r="Z152" s="3" t="s">
        <v>61</v>
      </c>
      <c r="AA152" s="1" t="s">
        <v>538</v>
      </c>
      <c r="AB152" s="1"/>
      <c r="AC152" s="1"/>
      <c r="AD152" s="3" t="s">
        <v>62</v>
      </c>
      <c r="AE152" s="3" t="s">
        <v>464</v>
      </c>
      <c r="AF152" s="3" t="s">
        <v>544</v>
      </c>
      <c r="AG152" s="3" t="s">
        <v>425</v>
      </c>
      <c r="AH152" s="58">
        <v>100</v>
      </c>
      <c r="AI152" s="1"/>
      <c r="AJ152" s="1"/>
      <c r="AK152" s="1"/>
      <c r="AL152" s="1"/>
      <c r="AM152" s="1"/>
      <c r="AN152" s="1"/>
      <c r="AO152" s="1"/>
      <c r="AP152" s="1"/>
      <c r="AQ152" s="1"/>
      <c r="AR152" s="1"/>
      <c r="AS152" s="1"/>
      <c r="AT152" s="1"/>
      <c r="AU152" s="1"/>
      <c r="AV152" s="1"/>
      <c r="AW152" s="1"/>
      <c r="AX152" s="1"/>
      <c r="AY152" s="1"/>
      <c r="AZ152" s="2" t="s">
        <v>539</v>
      </c>
      <c r="BA152" s="1"/>
      <c r="BB152" s="1"/>
      <c r="BC152" s="1"/>
    </row>
    <row r="153" spans="1:55" s="78" customFormat="1" ht="15" customHeight="1" x14ac:dyDescent="0.25">
      <c r="A153" s="52" t="s">
        <v>4162</v>
      </c>
      <c r="B153" s="34" t="s">
        <v>59</v>
      </c>
      <c r="C153" s="53">
        <v>2026</v>
      </c>
      <c r="D153" s="53">
        <v>2026</v>
      </c>
      <c r="E153" s="54" t="s">
        <v>3026</v>
      </c>
      <c r="F153" s="55" t="s">
        <v>50</v>
      </c>
      <c r="G153" s="55" t="s">
        <v>50</v>
      </c>
      <c r="H153" s="45" t="s">
        <v>5291</v>
      </c>
      <c r="I153" s="56" t="s">
        <v>78</v>
      </c>
      <c r="J153" s="56"/>
      <c r="K153" s="56" t="s">
        <v>133</v>
      </c>
      <c r="L153" s="55"/>
      <c r="M153" s="55"/>
      <c r="N153" s="55" t="s">
        <v>181</v>
      </c>
      <c r="O153" s="56"/>
      <c r="P153" s="55" t="s">
        <v>134</v>
      </c>
      <c r="Q153" s="55" t="s">
        <v>57</v>
      </c>
      <c r="R153" s="55"/>
      <c r="S153" s="56" t="s">
        <v>58</v>
      </c>
      <c r="T153" s="55" t="str">
        <f>IF(ISNUMBER(SEARCH(",",N153)),"Y","N")</f>
        <v>N</v>
      </c>
      <c r="U153" s="57">
        <v>10</v>
      </c>
      <c r="V153" s="57" t="s">
        <v>101</v>
      </c>
      <c r="W153" s="55"/>
      <c r="X153" s="54" t="s">
        <v>4162</v>
      </c>
      <c r="Y153" s="52"/>
      <c r="Z153" s="3" t="s">
        <v>61</v>
      </c>
      <c r="AA153" s="3" t="s">
        <v>538</v>
      </c>
      <c r="AB153" s="1"/>
      <c r="AC153" s="1"/>
      <c r="AD153" s="3" t="s">
        <v>62</v>
      </c>
      <c r="AE153" s="3" t="s">
        <v>464</v>
      </c>
      <c r="AF153" s="3" t="s">
        <v>544</v>
      </c>
      <c r="AG153" s="3" t="s">
        <v>425</v>
      </c>
      <c r="AH153" s="58">
        <v>100</v>
      </c>
      <c r="AI153" s="1"/>
      <c r="AJ153" s="1"/>
      <c r="AK153" s="1"/>
      <c r="AL153" s="1"/>
      <c r="AM153" s="1"/>
      <c r="AN153" s="1"/>
      <c r="AO153" s="1"/>
      <c r="AP153" s="1"/>
      <c r="AQ153" s="1"/>
      <c r="AR153" s="1"/>
      <c r="AS153" s="1"/>
      <c r="AT153" s="1"/>
      <c r="AU153" s="1"/>
      <c r="AV153" s="1"/>
      <c r="AW153" s="1"/>
      <c r="AX153" s="1"/>
      <c r="AY153" s="1"/>
      <c r="AZ153" s="4" t="s">
        <v>5349</v>
      </c>
      <c r="BA153" s="32"/>
      <c r="BB153" s="1"/>
      <c r="BC153" s="1"/>
    </row>
    <row r="154" spans="1:55" s="78" customFormat="1" ht="15" customHeight="1" x14ac:dyDescent="0.25">
      <c r="A154" s="52" t="s">
        <v>4163</v>
      </c>
      <c r="B154" s="34" t="s">
        <v>59</v>
      </c>
      <c r="C154" s="53">
        <v>2026</v>
      </c>
      <c r="D154" s="53">
        <v>2026</v>
      </c>
      <c r="E154" s="54" t="s">
        <v>3026</v>
      </c>
      <c r="F154" s="55" t="s">
        <v>50</v>
      </c>
      <c r="G154" s="55" t="s">
        <v>50</v>
      </c>
      <c r="H154" s="45" t="s">
        <v>5291</v>
      </c>
      <c r="I154" s="56" t="s">
        <v>78</v>
      </c>
      <c r="J154" s="56"/>
      <c r="K154" s="56" t="s">
        <v>540</v>
      </c>
      <c r="L154" s="55"/>
      <c r="M154" s="55"/>
      <c r="N154" s="55" t="s">
        <v>181</v>
      </c>
      <c r="O154" s="56"/>
      <c r="P154" s="56" t="s">
        <v>543</v>
      </c>
      <c r="Q154" s="56" t="s">
        <v>57</v>
      </c>
      <c r="R154" s="55"/>
      <c r="S154" s="56" t="s">
        <v>81</v>
      </c>
      <c r="T154" s="55" t="s">
        <v>58</v>
      </c>
      <c r="U154" s="57">
        <v>576000</v>
      </c>
      <c r="V154" s="57" t="s">
        <v>101</v>
      </c>
      <c r="W154" s="55"/>
      <c r="X154" s="54" t="s">
        <v>4163</v>
      </c>
      <c r="Y154" s="52"/>
      <c r="Z154" s="3" t="s">
        <v>61</v>
      </c>
      <c r="AA154" s="1" t="s">
        <v>538</v>
      </c>
      <c r="AB154" s="1"/>
      <c r="AC154" s="1"/>
      <c r="AD154" s="3" t="s">
        <v>62</v>
      </c>
      <c r="AE154" s="3" t="s">
        <v>464</v>
      </c>
      <c r="AF154" s="3" t="s">
        <v>544</v>
      </c>
      <c r="AG154" s="3" t="s">
        <v>425</v>
      </c>
      <c r="AH154" s="58">
        <v>100</v>
      </c>
      <c r="AI154" s="1"/>
      <c r="AJ154" s="1"/>
      <c r="AK154" s="1"/>
      <c r="AL154" s="1"/>
      <c r="AM154" s="1"/>
      <c r="AN154" s="1"/>
      <c r="AO154" s="1"/>
      <c r="AP154" s="1"/>
      <c r="AQ154" s="1"/>
      <c r="AR154" s="1"/>
      <c r="AS154" s="1"/>
      <c r="AT154" s="1"/>
      <c r="AU154" s="1"/>
      <c r="AV154" s="1"/>
      <c r="AW154" s="1"/>
      <c r="AX154" s="1"/>
      <c r="AY154" s="1"/>
      <c r="AZ154" s="4" t="s">
        <v>5349</v>
      </c>
      <c r="BA154" s="32"/>
      <c r="BB154" s="1"/>
      <c r="BC154" s="1"/>
    </row>
    <row r="155" spans="1:55" s="78" customFormat="1" ht="15" customHeight="1" x14ac:dyDescent="0.25">
      <c r="A155" s="52" t="s">
        <v>4164</v>
      </c>
      <c r="B155" s="34" t="s">
        <v>59</v>
      </c>
      <c r="C155" s="53">
        <v>2026</v>
      </c>
      <c r="D155" s="53">
        <v>2026</v>
      </c>
      <c r="E155" s="54" t="s">
        <v>3027</v>
      </c>
      <c r="F155" s="55" t="s">
        <v>50</v>
      </c>
      <c r="G155" s="55" t="s">
        <v>50</v>
      </c>
      <c r="H155" s="45" t="s">
        <v>545</v>
      </c>
      <c r="I155" s="56" t="s">
        <v>78</v>
      </c>
      <c r="J155" s="56"/>
      <c r="K155" s="56" t="s">
        <v>79</v>
      </c>
      <c r="L155" s="55"/>
      <c r="M155" s="55"/>
      <c r="N155" s="56" t="s">
        <v>80</v>
      </c>
      <c r="O155" s="56"/>
      <c r="P155" s="56" t="s">
        <v>89</v>
      </c>
      <c r="Q155" s="56" t="s">
        <v>89</v>
      </c>
      <c r="R155" s="55"/>
      <c r="S155" s="56" t="s">
        <v>81</v>
      </c>
      <c r="T155" s="55" t="s">
        <v>81</v>
      </c>
      <c r="U155" s="57">
        <v>-999</v>
      </c>
      <c r="V155" s="57" t="s">
        <v>59</v>
      </c>
      <c r="W155" s="55" t="s">
        <v>2319</v>
      </c>
      <c r="X155" s="54" t="s">
        <v>4164</v>
      </c>
      <c r="Y155" s="52"/>
      <c r="Z155" s="1" t="s">
        <v>61</v>
      </c>
      <c r="AA155" s="1" t="s">
        <v>546</v>
      </c>
      <c r="AB155" s="1"/>
      <c r="AC155" s="1"/>
      <c r="AD155" s="3" t="s">
        <v>62</v>
      </c>
      <c r="AE155" s="1" t="s">
        <v>192</v>
      </c>
      <c r="AF155" s="1" t="s">
        <v>84</v>
      </c>
      <c r="AG155" s="1" t="s">
        <v>84</v>
      </c>
      <c r="AH155" s="2">
        <v>100</v>
      </c>
      <c r="AI155" s="1"/>
      <c r="AJ155" s="1"/>
      <c r="AK155" s="1"/>
      <c r="AL155" s="1"/>
      <c r="AM155" s="1"/>
      <c r="AN155" s="1"/>
      <c r="AO155" s="1"/>
      <c r="AP155" s="1"/>
      <c r="AQ155" s="1"/>
      <c r="AR155" s="1"/>
      <c r="AS155" s="1"/>
      <c r="AT155" s="1"/>
      <c r="AU155" s="1"/>
      <c r="AV155" s="1"/>
      <c r="AW155" s="1"/>
      <c r="AX155" s="1"/>
      <c r="AY155" s="1"/>
      <c r="AZ155" s="4" t="s">
        <v>189</v>
      </c>
      <c r="BA155" s="5"/>
      <c r="BB155" s="1"/>
      <c r="BC155" s="1"/>
    </row>
    <row r="156" spans="1:55" s="78" customFormat="1" ht="15" customHeight="1" x14ac:dyDescent="0.25">
      <c r="A156" s="52" t="s">
        <v>4165</v>
      </c>
      <c r="B156" s="34" t="s">
        <v>59</v>
      </c>
      <c r="C156" s="53">
        <v>2026</v>
      </c>
      <c r="D156" s="53">
        <v>2026</v>
      </c>
      <c r="E156" s="54" t="s">
        <v>3028</v>
      </c>
      <c r="F156" s="55" t="s">
        <v>50</v>
      </c>
      <c r="G156" s="55" t="s">
        <v>50</v>
      </c>
      <c r="H156" s="45" t="s">
        <v>547</v>
      </c>
      <c r="I156" s="45" t="s">
        <v>52</v>
      </c>
      <c r="J156" s="56" t="s">
        <v>165</v>
      </c>
      <c r="K156" s="56" t="s">
        <v>166</v>
      </c>
      <c r="L156" s="55"/>
      <c r="M156" s="55"/>
      <c r="N156" s="56" t="s">
        <v>280</v>
      </c>
      <c r="O156" s="56"/>
      <c r="P156" s="56" t="s">
        <v>89</v>
      </c>
      <c r="Q156" s="56" t="s">
        <v>89</v>
      </c>
      <c r="R156" s="55"/>
      <c r="S156" s="56" t="s">
        <v>81</v>
      </c>
      <c r="T156" s="55" t="s">
        <v>81</v>
      </c>
      <c r="U156" s="57">
        <v>-999</v>
      </c>
      <c r="V156" s="57" t="s">
        <v>59</v>
      </c>
      <c r="W156" s="55" t="s">
        <v>2319</v>
      </c>
      <c r="X156" s="54" t="s">
        <v>4165</v>
      </c>
      <c r="Y156" s="52"/>
      <c r="Z156" s="1" t="s">
        <v>61</v>
      </c>
      <c r="AA156" s="1" t="s">
        <v>548</v>
      </c>
      <c r="AB156" s="1"/>
      <c r="AC156" s="1"/>
      <c r="AD156" s="3" t="s">
        <v>62</v>
      </c>
      <c r="AE156" s="3" t="s">
        <v>63</v>
      </c>
      <c r="AF156" s="3"/>
      <c r="AG156" s="3" t="s">
        <v>343</v>
      </c>
      <c r="AH156" s="58">
        <v>100</v>
      </c>
      <c r="AI156" s="1"/>
      <c r="AJ156" s="1"/>
      <c r="AK156" s="1"/>
      <c r="AL156" s="1"/>
      <c r="AM156" s="1"/>
      <c r="AN156" s="1"/>
      <c r="AO156" s="1"/>
      <c r="AP156" s="1"/>
      <c r="AQ156" s="1"/>
      <c r="AR156" s="1"/>
      <c r="AS156" s="1"/>
      <c r="AT156" s="1"/>
      <c r="AU156" s="1"/>
      <c r="AV156" s="1"/>
      <c r="AW156" s="1"/>
      <c r="AX156" s="1"/>
      <c r="AY156" s="1"/>
      <c r="AZ156" s="4" t="s">
        <v>163</v>
      </c>
      <c r="BA156" s="1"/>
      <c r="BB156" s="1"/>
      <c r="BC156" s="1"/>
    </row>
    <row r="157" spans="1:55" s="78" customFormat="1" ht="15" customHeight="1" x14ac:dyDescent="0.25">
      <c r="A157" s="52" t="s">
        <v>4166</v>
      </c>
      <c r="B157" s="34" t="s">
        <v>59</v>
      </c>
      <c r="C157" s="53">
        <v>2026</v>
      </c>
      <c r="D157" s="53">
        <v>2026</v>
      </c>
      <c r="E157" s="54" t="s">
        <v>3029</v>
      </c>
      <c r="F157" s="55" t="s">
        <v>50</v>
      </c>
      <c r="G157" s="55" t="s">
        <v>50</v>
      </c>
      <c r="H157" s="45" t="s">
        <v>550</v>
      </c>
      <c r="I157" s="56" t="s">
        <v>52</v>
      </c>
      <c r="J157" s="56" t="s">
        <v>551</v>
      </c>
      <c r="K157" s="55" t="s">
        <v>552</v>
      </c>
      <c r="L157" s="55" t="s">
        <v>54</v>
      </c>
      <c r="M157" s="55"/>
      <c r="N157" s="55" t="s">
        <v>400</v>
      </c>
      <c r="O157" s="55"/>
      <c r="P157" s="55" t="s">
        <v>553</v>
      </c>
      <c r="Q157" s="55" t="s">
        <v>57</v>
      </c>
      <c r="R157" s="55"/>
      <c r="S157" s="56" t="s">
        <v>58</v>
      </c>
      <c r="T157" s="55" t="s">
        <v>81</v>
      </c>
      <c r="U157" s="57">
        <v>-999</v>
      </c>
      <c r="V157" s="57" t="s">
        <v>59</v>
      </c>
      <c r="W157" s="55" t="s">
        <v>2319</v>
      </c>
      <c r="X157" s="54" t="s">
        <v>4166</v>
      </c>
      <c r="Y157" s="52"/>
      <c r="Z157" s="3" t="s">
        <v>61</v>
      </c>
      <c r="AA157" s="3" t="s">
        <v>554</v>
      </c>
      <c r="AB157" s="3"/>
      <c r="AC157" s="3"/>
      <c r="AD157" s="3" t="s">
        <v>62</v>
      </c>
      <c r="AE157" s="3" t="s">
        <v>63</v>
      </c>
      <c r="AF157" s="3"/>
      <c r="AG157" s="3" t="s">
        <v>555</v>
      </c>
      <c r="AH157" s="58">
        <v>100</v>
      </c>
      <c r="AI157" s="3"/>
      <c r="AJ157" s="3"/>
      <c r="AK157" s="3"/>
      <c r="AL157" s="3"/>
      <c r="AM157" s="3"/>
      <c r="AN157" s="3"/>
      <c r="AO157" s="3"/>
      <c r="AP157" s="3"/>
      <c r="AQ157" s="3"/>
      <c r="AR157" s="3"/>
      <c r="AS157" s="3"/>
      <c r="AT157" s="3"/>
      <c r="AU157" s="3"/>
      <c r="AV157" s="3"/>
      <c r="AW157" s="3"/>
      <c r="AX157" s="3"/>
      <c r="AY157" s="3"/>
      <c r="AZ157" s="4" t="s">
        <v>549</v>
      </c>
      <c r="BA157" s="3"/>
      <c r="BB157" s="1"/>
      <c r="BC157" s="1"/>
    </row>
    <row r="158" spans="1:55" s="78" customFormat="1" x14ac:dyDescent="0.25">
      <c r="A158" s="52" t="s">
        <v>4167</v>
      </c>
      <c r="B158" s="34" t="s">
        <v>59</v>
      </c>
      <c r="C158" s="53">
        <v>2026</v>
      </c>
      <c r="D158" s="53">
        <v>2026</v>
      </c>
      <c r="E158" s="54" t="s">
        <v>3029</v>
      </c>
      <c r="F158" s="55" t="s">
        <v>50</v>
      </c>
      <c r="G158" s="55" t="s">
        <v>50</v>
      </c>
      <c r="H158" s="45" t="s">
        <v>550</v>
      </c>
      <c r="I158" s="56" t="s">
        <v>52</v>
      </c>
      <c r="J158" s="56" t="s">
        <v>551</v>
      </c>
      <c r="K158" s="55" t="s">
        <v>557</v>
      </c>
      <c r="L158" s="55" t="s">
        <v>54</v>
      </c>
      <c r="M158" s="55"/>
      <c r="N158" s="55" t="s">
        <v>55</v>
      </c>
      <c r="O158" s="55" t="s">
        <v>558</v>
      </c>
      <c r="P158" s="55" t="s">
        <v>559</v>
      </c>
      <c r="Q158" s="55" t="s">
        <v>57</v>
      </c>
      <c r="R158" s="55"/>
      <c r="S158" s="56" t="s">
        <v>58</v>
      </c>
      <c r="T158" s="55" t="s">
        <v>58</v>
      </c>
      <c r="U158" s="57">
        <v>-999</v>
      </c>
      <c r="V158" s="57" t="s">
        <v>59</v>
      </c>
      <c r="W158" s="55" t="s">
        <v>2319</v>
      </c>
      <c r="X158" s="54" t="s">
        <v>4167</v>
      </c>
      <c r="Y158" s="52"/>
      <c r="Z158" s="3" t="s">
        <v>61</v>
      </c>
      <c r="AA158" s="3" t="s">
        <v>554</v>
      </c>
      <c r="AB158" s="3"/>
      <c r="AC158" s="3"/>
      <c r="AD158" s="3" t="s">
        <v>62</v>
      </c>
      <c r="AE158" s="3" t="s">
        <v>63</v>
      </c>
      <c r="AF158" s="3"/>
      <c r="AG158" s="3" t="s">
        <v>555</v>
      </c>
      <c r="AH158" s="58">
        <v>100</v>
      </c>
      <c r="AI158" s="3"/>
      <c r="AJ158" s="3"/>
      <c r="AK158" s="3"/>
      <c r="AL158" s="3"/>
      <c r="AM158" s="3"/>
      <c r="AN158" s="3"/>
      <c r="AO158" s="3"/>
      <c r="AP158" s="3"/>
      <c r="AQ158" s="3"/>
      <c r="AR158" s="3"/>
      <c r="AS158" s="3"/>
      <c r="AT158" s="3"/>
      <c r="AU158" s="3"/>
      <c r="AV158" s="3"/>
      <c r="AW158" s="3"/>
      <c r="AX158" s="3"/>
      <c r="AY158" s="3"/>
      <c r="AZ158" s="4" t="s">
        <v>556</v>
      </c>
      <c r="BA158" s="3"/>
      <c r="BB158" s="1"/>
      <c r="BC158" s="1"/>
    </row>
    <row r="159" spans="1:55" s="78" customFormat="1" x14ac:dyDescent="0.25">
      <c r="A159" s="52" t="s">
        <v>4168</v>
      </c>
      <c r="B159" s="34" t="s">
        <v>59</v>
      </c>
      <c r="C159" s="53">
        <v>2026</v>
      </c>
      <c r="D159" s="53">
        <v>2026</v>
      </c>
      <c r="E159" s="54" t="s">
        <v>3030</v>
      </c>
      <c r="F159" s="55" t="s">
        <v>50</v>
      </c>
      <c r="G159" s="55" t="s">
        <v>50</v>
      </c>
      <c r="H159" s="45" t="s">
        <v>561</v>
      </c>
      <c r="I159" s="45" t="s">
        <v>52</v>
      </c>
      <c r="J159" s="56"/>
      <c r="K159" s="55" t="s">
        <v>442</v>
      </c>
      <c r="L159" s="55"/>
      <c r="M159" s="55"/>
      <c r="N159" s="55" t="s">
        <v>443</v>
      </c>
      <c r="O159" s="55"/>
      <c r="P159" s="55" t="s">
        <v>444</v>
      </c>
      <c r="Q159" s="55" t="s">
        <v>57</v>
      </c>
      <c r="R159" s="55"/>
      <c r="S159" s="56" t="s">
        <v>81</v>
      </c>
      <c r="T159" s="55" t="s">
        <v>81</v>
      </c>
      <c r="U159" s="57">
        <v>-999</v>
      </c>
      <c r="V159" s="57" t="s">
        <v>59</v>
      </c>
      <c r="W159" s="55" t="s">
        <v>2319</v>
      </c>
      <c r="X159" s="54" t="s">
        <v>4168</v>
      </c>
      <c r="Y159" s="52"/>
      <c r="Z159" s="3" t="s">
        <v>61</v>
      </c>
      <c r="AA159" s="3" t="s">
        <v>562</v>
      </c>
      <c r="AB159" s="3"/>
      <c r="AC159" s="3"/>
      <c r="AD159" s="3" t="s">
        <v>62</v>
      </c>
      <c r="AE159" s="3" t="s">
        <v>131</v>
      </c>
      <c r="AF159" s="3"/>
      <c r="AG159" s="3" t="s">
        <v>177</v>
      </c>
      <c r="AH159" s="58">
        <v>100</v>
      </c>
      <c r="AI159" s="3"/>
      <c r="AJ159" s="3"/>
      <c r="AK159" s="3"/>
      <c r="AL159" s="3"/>
      <c r="AM159" s="3"/>
      <c r="AN159" s="3"/>
      <c r="AO159" s="3"/>
      <c r="AP159" s="3"/>
      <c r="AQ159" s="3"/>
      <c r="AR159" s="3"/>
      <c r="AS159" s="3"/>
      <c r="AT159" s="3"/>
      <c r="AU159" s="3"/>
      <c r="AV159" s="3"/>
      <c r="AW159" s="3"/>
      <c r="AX159" s="3"/>
      <c r="AY159" s="3"/>
      <c r="AZ159" s="4" t="s">
        <v>560</v>
      </c>
      <c r="BA159" s="4"/>
      <c r="BB159" s="1"/>
      <c r="BC159" s="1"/>
    </row>
    <row r="160" spans="1:55" s="78" customFormat="1" ht="15" customHeight="1" x14ac:dyDescent="0.25">
      <c r="A160" s="52" t="s">
        <v>4169</v>
      </c>
      <c r="B160" s="34" t="s">
        <v>59</v>
      </c>
      <c r="C160" s="53">
        <v>2026</v>
      </c>
      <c r="D160" s="53">
        <v>2026</v>
      </c>
      <c r="E160" s="54" t="s">
        <v>3031</v>
      </c>
      <c r="F160" s="55" t="s">
        <v>50</v>
      </c>
      <c r="G160" s="55" t="s">
        <v>50</v>
      </c>
      <c r="H160" s="45" t="s">
        <v>564</v>
      </c>
      <c r="I160" s="56" t="s">
        <v>78</v>
      </c>
      <c r="J160" s="56"/>
      <c r="K160" s="56" t="s">
        <v>71</v>
      </c>
      <c r="L160" s="55"/>
      <c r="M160" s="55"/>
      <c r="N160" s="56" t="s">
        <v>181</v>
      </c>
      <c r="O160" s="56"/>
      <c r="P160" s="55" t="s">
        <v>73</v>
      </c>
      <c r="Q160" s="55" t="s">
        <v>57</v>
      </c>
      <c r="R160" s="55"/>
      <c r="S160" s="56" t="s">
        <v>81</v>
      </c>
      <c r="T160" s="55" t="s">
        <v>81</v>
      </c>
      <c r="U160" s="57">
        <v>1.1339999999999999</v>
      </c>
      <c r="V160" s="57" t="s">
        <v>101</v>
      </c>
      <c r="W160" s="55" t="s">
        <v>2319</v>
      </c>
      <c r="X160" s="54" t="s">
        <v>4169</v>
      </c>
      <c r="Y160" s="52"/>
      <c r="Z160" s="1" t="s">
        <v>2005</v>
      </c>
      <c r="AA160" s="1" t="s">
        <v>565</v>
      </c>
      <c r="AB160" s="1"/>
      <c r="AC160" s="1"/>
      <c r="AD160" s="3" t="s">
        <v>62</v>
      </c>
      <c r="AE160" s="2" t="s">
        <v>464</v>
      </c>
      <c r="AF160" s="3"/>
      <c r="AG160" s="3" t="s">
        <v>566</v>
      </c>
      <c r="AH160" s="58">
        <v>100</v>
      </c>
      <c r="AI160" s="1"/>
      <c r="AJ160" s="1"/>
      <c r="AK160" s="1"/>
      <c r="AL160" s="1"/>
      <c r="AM160" s="1"/>
      <c r="AN160" s="1"/>
      <c r="AO160" s="1"/>
      <c r="AP160" s="1"/>
      <c r="AQ160" s="1"/>
      <c r="AR160" s="1"/>
      <c r="AS160" s="1"/>
      <c r="AT160" s="1"/>
      <c r="AU160" s="1"/>
      <c r="AV160" s="1"/>
      <c r="AW160" s="1"/>
      <c r="AX160" s="1"/>
      <c r="AY160" s="1"/>
      <c r="AZ160" s="4" t="s">
        <v>563</v>
      </c>
      <c r="BA160" s="32"/>
      <c r="BB160" s="1"/>
      <c r="BC160" s="1"/>
    </row>
    <row r="161" spans="1:55" s="78" customFormat="1" ht="15" customHeight="1" x14ac:dyDescent="0.25">
      <c r="A161" s="52" t="s">
        <v>4170</v>
      </c>
      <c r="B161" s="34" t="s">
        <v>59</v>
      </c>
      <c r="C161" s="53">
        <v>2026</v>
      </c>
      <c r="D161" s="53">
        <v>2026</v>
      </c>
      <c r="E161" s="54" t="s">
        <v>3032</v>
      </c>
      <c r="F161" s="55" t="s">
        <v>50</v>
      </c>
      <c r="G161" s="55" t="s">
        <v>50</v>
      </c>
      <c r="H161" s="45" t="s">
        <v>567</v>
      </c>
      <c r="I161" s="56" t="s">
        <v>52</v>
      </c>
      <c r="J161" s="56"/>
      <c r="K161" s="55" t="s">
        <v>71</v>
      </c>
      <c r="L161" s="55" t="str">
        <f>IF(K161="Mine or Quarry","Mine","")</f>
        <v/>
      </c>
      <c r="M161" s="55"/>
      <c r="N161" s="55" t="s">
        <v>110</v>
      </c>
      <c r="O161" s="45" t="s">
        <v>296</v>
      </c>
      <c r="P161" s="55" t="s">
        <v>73</v>
      </c>
      <c r="Q161" s="55" t="s">
        <v>57</v>
      </c>
      <c r="R161" s="55"/>
      <c r="S161" s="56" t="s">
        <v>81</v>
      </c>
      <c r="T161" s="55" t="str">
        <f>IF(ISNUMBER(SEARCH(",",N161)),"Y","N")</f>
        <v>N</v>
      </c>
      <c r="U161" s="57">
        <v>1.1339999999999999</v>
      </c>
      <c r="V161" s="57" t="s">
        <v>101</v>
      </c>
      <c r="W161" s="55" t="s">
        <v>2319</v>
      </c>
      <c r="X161" s="54" t="s">
        <v>4170</v>
      </c>
      <c r="Y161" s="52"/>
      <c r="Z161" s="3" t="s">
        <v>2005</v>
      </c>
      <c r="AA161" s="1" t="s">
        <v>565</v>
      </c>
      <c r="AB161" s="1"/>
      <c r="AC161" s="1"/>
      <c r="AD161" s="3" t="s">
        <v>62</v>
      </c>
      <c r="AE161" s="3" t="s">
        <v>464</v>
      </c>
      <c r="AF161" s="3"/>
      <c r="AG161" s="3" t="s">
        <v>566</v>
      </c>
      <c r="AH161" s="58">
        <v>100</v>
      </c>
      <c r="AI161" s="3"/>
      <c r="AJ161" s="3"/>
      <c r="AK161" s="3"/>
      <c r="AL161" s="3"/>
      <c r="AM161" s="3"/>
      <c r="AN161" s="3"/>
      <c r="AO161" s="3"/>
      <c r="AP161" s="3"/>
      <c r="AQ161" s="3"/>
      <c r="AR161" s="3"/>
      <c r="AS161" s="3"/>
      <c r="AT161" s="3"/>
      <c r="AU161" s="3"/>
      <c r="AV161" s="3"/>
      <c r="AW161" s="3"/>
      <c r="AX161" s="3"/>
      <c r="AY161" s="3"/>
      <c r="AZ161" s="4" t="s">
        <v>563</v>
      </c>
      <c r="BA161" s="3"/>
      <c r="BB161" s="1"/>
      <c r="BC161" s="1"/>
    </row>
    <row r="162" spans="1:55" s="78" customFormat="1" ht="15" customHeight="1" x14ac:dyDescent="0.25">
      <c r="A162" s="52" t="s">
        <v>4171</v>
      </c>
      <c r="B162" s="34" t="s">
        <v>59</v>
      </c>
      <c r="C162" s="53">
        <v>2026</v>
      </c>
      <c r="D162" s="53">
        <v>2026</v>
      </c>
      <c r="E162" s="54" t="s">
        <v>3033</v>
      </c>
      <c r="F162" s="55" t="s">
        <v>50</v>
      </c>
      <c r="G162" s="55" t="s">
        <v>50</v>
      </c>
      <c r="H162" s="45" t="s">
        <v>568</v>
      </c>
      <c r="I162" s="56" t="s">
        <v>52</v>
      </c>
      <c r="J162" s="56"/>
      <c r="K162" s="56" t="s">
        <v>204</v>
      </c>
      <c r="L162" s="55"/>
      <c r="M162" s="55"/>
      <c r="N162" s="56"/>
      <c r="O162" s="56"/>
      <c r="P162" s="55" t="s">
        <v>89</v>
      </c>
      <c r="Q162" s="55" t="s">
        <v>89</v>
      </c>
      <c r="R162" s="55"/>
      <c r="S162" s="56" t="s">
        <v>81</v>
      </c>
      <c r="T162" s="55" t="s">
        <v>81</v>
      </c>
      <c r="U162" s="57">
        <v>-999</v>
      </c>
      <c r="V162" s="57" t="s">
        <v>59</v>
      </c>
      <c r="W162" s="55" t="s">
        <v>2319</v>
      </c>
      <c r="X162" s="54" t="s">
        <v>4171</v>
      </c>
      <c r="Y162" s="52"/>
      <c r="Z162" s="2" t="s">
        <v>61</v>
      </c>
      <c r="AA162" s="1" t="s">
        <v>569</v>
      </c>
      <c r="AB162" s="1"/>
      <c r="AC162" s="1"/>
      <c r="AD162" s="3" t="s">
        <v>62</v>
      </c>
      <c r="AE162" s="2" t="s">
        <v>184</v>
      </c>
      <c r="AF162" s="2"/>
      <c r="AG162" s="3" t="s">
        <v>570</v>
      </c>
      <c r="AH162" s="58"/>
      <c r="AI162" s="1"/>
      <c r="AJ162" s="1"/>
      <c r="AK162" s="1"/>
      <c r="AL162" s="1"/>
      <c r="AM162" s="1"/>
      <c r="AN162" s="1"/>
      <c r="AO162" s="1"/>
      <c r="AP162" s="1"/>
      <c r="AQ162" s="1"/>
      <c r="AR162" s="1"/>
      <c r="AS162" s="1"/>
      <c r="AT162" s="1"/>
      <c r="AU162" s="1"/>
      <c r="AV162" s="1"/>
      <c r="AW162" s="1"/>
      <c r="AX162" s="1"/>
      <c r="AY162" s="1"/>
      <c r="AZ162" s="4" t="s">
        <v>202</v>
      </c>
      <c r="BA162" s="1"/>
      <c r="BB162" s="1"/>
      <c r="BC162" s="1"/>
    </row>
    <row r="163" spans="1:55" s="78" customFormat="1" ht="15" customHeight="1" x14ac:dyDescent="0.25">
      <c r="A163" s="52" t="s">
        <v>4172</v>
      </c>
      <c r="B163" s="34" t="s">
        <v>59</v>
      </c>
      <c r="C163" s="53">
        <v>2026</v>
      </c>
      <c r="D163" s="53">
        <v>2026</v>
      </c>
      <c r="E163" s="54" t="s">
        <v>3034</v>
      </c>
      <c r="F163" s="55" t="s">
        <v>50</v>
      </c>
      <c r="G163" s="55" t="s">
        <v>50</v>
      </c>
      <c r="H163" s="45" t="s">
        <v>2870</v>
      </c>
      <c r="I163" s="56" t="s">
        <v>52</v>
      </c>
      <c r="J163" s="56"/>
      <c r="K163" s="56" t="s">
        <v>87</v>
      </c>
      <c r="L163" s="55" t="str">
        <f>IF(K163="Mine or Quarry","Mine","")</f>
        <v/>
      </c>
      <c r="M163" s="55"/>
      <c r="N163" s="56"/>
      <c r="O163" s="56" t="s">
        <v>2894</v>
      </c>
      <c r="P163" s="56" t="s">
        <v>89</v>
      </c>
      <c r="Q163" s="56" t="s">
        <v>89</v>
      </c>
      <c r="R163" s="55"/>
      <c r="S163" s="56" t="s">
        <v>81</v>
      </c>
      <c r="T163" s="55" t="str">
        <f>IF(ISNUMBER(SEARCH(",",N163)),"Y","N")</f>
        <v>N</v>
      </c>
      <c r="U163" s="57">
        <v>-999</v>
      </c>
      <c r="V163" s="57" t="s">
        <v>59</v>
      </c>
      <c r="W163" s="55" t="s">
        <v>2319</v>
      </c>
      <c r="X163" s="54" t="s">
        <v>4172</v>
      </c>
      <c r="Y163" s="52"/>
      <c r="Z163" s="1" t="s">
        <v>61</v>
      </c>
      <c r="AA163" s="1" t="s">
        <v>2059</v>
      </c>
      <c r="AB163" s="1"/>
      <c r="AC163" s="1"/>
      <c r="AD163" s="3" t="s">
        <v>62</v>
      </c>
      <c r="AE163" s="1" t="s">
        <v>360</v>
      </c>
      <c r="AF163" s="1" t="s">
        <v>232</v>
      </c>
      <c r="AG163" s="1" t="s">
        <v>233</v>
      </c>
      <c r="AH163" s="2">
        <v>100</v>
      </c>
      <c r="AI163" s="1"/>
      <c r="AJ163" s="1"/>
      <c r="AK163" s="1"/>
      <c r="AL163" s="1"/>
      <c r="AM163" s="1"/>
      <c r="AN163" s="1"/>
      <c r="AO163" s="1"/>
      <c r="AP163" s="1"/>
      <c r="AQ163" s="1"/>
      <c r="AR163" s="1"/>
      <c r="AS163" s="1"/>
      <c r="AT163" s="1"/>
      <c r="AU163" s="1"/>
      <c r="AV163" s="1"/>
      <c r="AW163" s="1"/>
      <c r="AX163" s="1"/>
      <c r="AY163" s="1"/>
      <c r="AZ163" s="5" t="s">
        <v>2058</v>
      </c>
      <c r="BA163" s="5"/>
      <c r="BB163" s="1"/>
      <c r="BC163" s="1"/>
    </row>
    <row r="164" spans="1:55" s="78" customFormat="1" ht="15" customHeight="1" x14ac:dyDescent="0.25">
      <c r="A164" s="52" t="s">
        <v>4173</v>
      </c>
      <c r="B164" s="34" t="s">
        <v>59</v>
      </c>
      <c r="C164" s="53">
        <v>2026</v>
      </c>
      <c r="D164" s="53">
        <v>2026</v>
      </c>
      <c r="E164" s="54" t="s">
        <v>3035</v>
      </c>
      <c r="F164" s="55" t="s">
        <v>50</v>
      </c>
      <c r="G164" s="55" t="s">
        <v>50</v>
      </c>
      <c r="H164" s="45" t="s">
        <v>2871</v>
      </c>
      <c r="I164" s="56" t="s">
        <v>78</v>
      </c>
      <c r="J164" s="56"/>
      <c r="K164" s="56" t="s">
        <v>87</v>
      </c>
      <c r="L164" s="55" t="str">
        <f>IF(K164="Mine or Quarry","Mine","")</f>
        <v/>
      </c>
      <c r="M164" s="55"/>
      <c r="N164" s="56" t="s">
        <v>181</v>
      </c>
      <c r="O164" s="56" t="s">
        <v>370</v>
      </c>
      <c r="P164" s="56" t="s">
        <v>89</v>
      </c>
      <c r="Q164" s="56" t="s">
        <v>89</v>
      </c>
      <c r="R164" s="55"/>
      <c r="S164" s="56" t="s">
        <v>81</v>
      </c>
      <c r="T164" s="55" t="s">
        <v>81</v>
      </c>
      <c r="U164" s="57">
        <v>-999</v>
      </c>
      <c r="V164" s="57" t="s">
        <v>59</v>
      </c>
      <c r="W164" s="55" t="s">
        <v>2319</v>
      </c>
      <c r="X164" s="54" t="s">
        <v>4173</v>
      </c>
      <c r="Y164" s="52"/>
      <c r="Z164" s="1" t="s">
        <v>61</v>
      </c>
      <c r="AA164" s="1" t="s">
        <v>2059</v>
      </c>
      <c r="AB164" s="1"/>
      <c r="AC164" s="1"/>
      <c r="AD164" s="3" t="s">
        <v>62</v>
      </c>
      <c r="AE164" s="1" t="s">
        <v>360</v>
      </c>
      <c r="AF164" s="1" t="s">
        <v>232</v>
      </c>
      <c r="AG164" s="1" t="s">
        <v>233</v>
      </c>
      <c r="AH164" s="2">
        <v>100</v>
      </c>
      <c r="AI164" s="1"/>
      <c r="AJ164" s="1"/>
      <c r="AK164" s="1"/>
      <c r="AL164" s="1"/>
      <c r="AM164" s="1"/>
      <c r="AN164" s="1"/>
      <c r="AO164" s="1"/>
      <c r="AP164" s="1"/>
      <c r="AQ164" s="1"/>
      <c r="AR164" s="1"/>
      <c r="AS164" s="1"/>
      <c r="AT164" s="1"/>
      <c r="AU164" s="1"/>
      <c r="AV164" s="1"/>
      <c r="AW164" s="1"/>
      <c r="AX164" s="1"/>
      <c r="AY164" s="1"/>
      <c r="AZ164" s="5" t="s">
        <v>2058</v>
      </c>
      <c r="BA164" s="5"/>
      <c r="BB164" s="1"/>
      <c r="BC164" s="1"/>
    </row>
    <row r="165" spans="1:55" s="78" customFormat="1" ht="15" customHeight="1" x14ac:dyDescent="0.25">
      <c r="A165" s="52" t="s">
        <v>4174</v>
      </c>
      <c r="B165" s="34" t="s">
        <v>59</v>
      </c>
      <c r="C165" s="53">
        <v>2026</v>
      </c>
      <c r="D165" s="53">
        <v>2026</v>
      </c>
      <c r="E165" s="54" t="s">
        <v>3036</v>
      </c>
      <c r="F165" s="55" t="s">
        <v>50</v>
      </c>
      <c r="G165" s="55" t="s">
        <v>50</v>
      </c>
      <c r="H165" s="45" t="s">
        <v>572</v>
      </c>
      <c r="I165" s="56" t="s">
        <v>52</v>
      </c>
      <c r="J165" s="45"/>
      <c r="K165" s="56" t="s">
        <v>264</v>
      </c>
      <c r="L165" s="45"/>
      <c r="M165" s="55" t="s">
        <v>113</v>
      </c>
      <c r="N165" s="55" t="s">
        <v>5354</v>
      </c>
      <c r="O165" s="45"/>
      <c r="P165" s="55" t="s">
        <v>265</v>
      </c>
      <c r="Q165" s="55" t="s">
        <v>57</v>
      </c>
      <c r="R165" s="45"/>
      <c r="S165" s="45" t="s">
        <v>58</v>
      </c>
      <c r="T165" s="45" t="s">
        <v>58</v>
      </c>
      <c r="U165" s="57">
        <v>-999</v>
      </c>
      <c r="V165" s="57" t="s">
        <v>59</v>
      </c>
      <c r="W165" s="55" t="s">
        <v>2319</v>
      </c>
      <c r="X165" s="54" t="s">
        <v>4174</v>
      </c>
      <c r="Y165" s="52"/>
      <c r="Z165" s="55" t="s">
        <v>61</v>
      </c>
      <c r="AA165" s="55" t="s">
        <v>573</v>
      </c>
      <c r="AB165" s="55"/>
      <c r="AC165" s="55"/>
      <c r="AD165" s="3" t="s">
        <v>62</v>
      </c>
      <c r="AE165" s="55" t="s">
        <v>574</v>
      </c>
      <c r="AF165" s="45"/>
      <c r="AG165" s="55" t="s">
        <v>575</v>
      </c>
      <c r="AH165" s="64">
        <v>100</v>
      </c>
      <c r="AI165" s="45"/>
      <c r="AJ165" s="57"/>
      <c r="AK165" s="45"/>
      <c r="AL165" s="57"/>
      <c r="AM165" s="45"/>
      <c r="AN165" s="57"/>
      <c r="AO165" s="45"/>
      <c r="AP165" s="57"/>
      <c r="AQ165" s="45"/>
      <c r="AR165" s="57"/>
      <c r="AS165" s="45"/>
      <c r="AT165" s="57"/>
      <c r="AU165" s="45"/>
      <c r="AV165" s="57"/>
      <c r="AW165" s="45"/>
      <c r="AX165" s="57"/>
      <c r="AY165" s="45"/>
      <c r="AZ165" s="33" t="s">
        <v>571</v>
      </c>
      <c r="BA165" s="37"/>
      <c r="BB165" s="1"/>
      <c r="BC165" s="1"/>
    </row>
    <row r="166" spans="1:55" s="78" customFormat="1" ht="15" customHeight="1" x14ac:dyDescent="0.25">
      <c r="A166" s="52" t="s">
        <v>4175</v>
      </c>
      <c r="B166" s="34" t="s">
        <v>59</v>
      </c>
      <c r="C166" s="53">
        <v>2026</v>
      </c>
      <c r="D166" s="53">
        <v>2026</v>
      </c>
      <c r="E166" s="54" t="s">
        <v>3036</v>
      </c>
      <c r="F166" s="55" t="s">
        <v>50</v>
      </c>
      <c r="G166" s="55" t="s">
        <v>50</v>
      </c>
      <c r="H166" s="45" t="s">
        <v>572</v>
      </c>
      <c r="I166" s="56" t="s">
        <v>52</v>
      </c>
      <c r="J166" s="56"/>
      <c r="K166" s="55" t="s">
        <v>120</v>
      </c>
      <c r="L166" s="55" t="s">
        <v>54</v>
      </c>
      <c r="M166" s="55" t="s">
        <v>113</v>
      </c>
      <c r="N166" s="55" t="s">
        <v>5354</v>
      </c>
      <c r="O166" s="55"/>
      <c r="P166" s="55" t="s">
        <v>121</v>
      </c>
      <c r="Q166" s="55" t="s">
        <v>57</v>
      </c>
      <c r="R166" s="55"/>
      <c r="S166" s="56" t="s">
        <v>58</v>
      </c>
      <c r="T166" s="55" t="s">
        <v>58</v>
      </c>
      <c r="U166" s="57">
        <v>-999</v>
      </c>
      <c r="V166" s="57" t="s">
        <v>59</v>
      </c>
      <c r="W166" s="55" t="s">
        <v>2319</v>
      </c>
      <c r="X166" s="54" t="s">
        <v>4175</v>
      </c>
      <c r="Y166" s="52"/>
      <c r="Z166" s="55" t="s">
        <v>61</v>
      </c>
      <c r="AA166" s="55" t="s">
        <v>573</v>
      </c>
      <c r="AB166" s="55"/>
      <c r="AC166" s="55"/>
      <c r="AD166" s="3" t="s">
        <v>62</v>
      </c>
      <c r="AE166" s="55" t="s">
        <v>574</v>
      </c>
      <c r="AF166" s="55"/>
      <c r="AG166" s="55" t="s">
        <v>575</v>
      </c>
      <c r="AH166" s="64">
        <v>100</v>
      </c>
      <c r="AI166" s="55"/>
      <c r="AJ166" s="55"/>
      <c r="AK166" s="55"/>
      <c r="AL166" s="55"/>
      <c r="AM166" s="55"/>
      <c r="AN166" s="55"/>
      <c r="AO166" s="55"/>
      <c r="AP166" s="55"/>
      <c r="AQ166" s="55"/>
      <c r="AR166" s="55"/>
      <c r="AS166" s="55"/>
      <c r="AT166" s="55"/>
      <c r="AU166" s="55"/>
      <c r="AV166" s="55"/>
      <c r="AW166" s="55"/>
      <c r="AX166" s="55"/>
      <c r="AY166" s="55"/>
      <c r="AZ166" s="33" t="s">
        <v>576</v>
      </c>
      <c r="BA166" s="45"/>
      <c r="BB166" s="1"/>
      <c r="BC166" s="1"/>
    </row>
    <row r="167" spans="1:55" s="78" customFormat="1" ht="15" customHeight="1" x14ac:dyDescent="0.25">
      <c r="A167" s="52" t="s">
        <v>4176</v>
      </c>
      <c r="B167" s="34" t="s">
        <v>59</v>
      </c>
      <c r="C167" s="53">
        <v>2026</v>
      </c>
      <c r="D167" s="53">
        <v>2026</v>
      </c>
      <c r="E167" s="54" t="s">
        <v>3037</v>
      </c>
      <c r="F167" s="55" t="s">
        <v>50</v>
      </c>
      <c r="G167" s="55" t="s">
        <v>50</v>
      </c>
      <c r="H167" s="45" t="s">
        <v>578</v>
      </c>
      <c r="I167" s="56" t="s">
        <v>52</v>
      </c>
      <c r="J167" s="55" t="s">
        <v>384</v>
      </c>
      <c r="K167" s="55" t="s">
        <v>384</v>
      </c>
      <c r="L167" s="55" t="s">
        <v>54</v>
      </c>
      <c r="M167" s="55" t="s">
        <v>113</v>
      </c>
      <c r="N167" s="56" t="s">
        <v>400</v>
      </c>
      <c r="O167" s="56" t="s">
        <v>579</v>
      </c>
      <c r="P167" s="56" t="s">
        <v>385</v>
      </c>
      <c r="Q167" s="55" t="s">
        <v>5353</v>
      </c>
      <c r="R167" s="55" t="s">
        <v>579</v>
      </c>
      <c r="S167" s="56" t="s">
        <v>81</v>
      </c>
      <c r="T167" s="55" t="s">
        <v>81</v>
      </c>
      <c r="U167" s="57">
        <v>550</v>
      </c>
      <c r="V167" s="57" t="s">
        <v>101</v>
      </c>
      <c r="W167" s="55" t="s">
        <v>2319</v>
      </c>
      <c r="X167" s="54" t="s">
        <v>4176</v>
      </c>
      <c r="Y167" s="52"/>
      <c r="Z167" s="2" t="s">
        <v>154</v>
      </c>
      <c r="AA167" s="1" t="s">
        <v>573</v>
      </c>
      <c r="AB167" s="1"/>
      <c r="AC167" s="1"/>
      <c r="AD167" s="3" t="s">
        <v>62</v>
      </c>
      <c r="AE167" s="2" t="s">
        <v>574</v>
      </c>
      <c r="AF167" s="2"/>
      <c r="AG167" s="1" t="s">
        <v>580</v>
      </c>
      <c r="AH167" s="2">
        <v>100</v>
      </c>
      <c r="AI167" s="1"/>
      <c r="AJ167" s="1"/>
      <c r="AK167" s="1"/>
      <c r="AL167" s="1"/>
      <c r="AM167" s="1"/>
      <c r="AN167" s="1"/>
      <c r="AO167" s="1"/>
      <c r="AP167" s="1"/>
      <c r="AQ167" s="1"/>
      <c r="AR167" s="1"/>
      <c r="AS167" s="1"/>
      <c r="AT167" s="1"/>
      <c r="AU167" s="1"/>
      <c r="AV167" s="1"/>
      <c r="AW167" s="1"/>
      <c r="AX167" s="1"/>
      <c r="AY167" s="1"/>
      <c r="AZ167" s="4" t="s">
        <v>577</v>
      </c>
      <c r="BA167" s="1"/>
      <c r="BB167" s="1"/>
      <c r="BC167" s="1"/>
    </row>
    <row r="168" spans="1:55" s="78" customFormat="1" ht="15" customHeight="1" x14ac:dyDescent="0.25">
      <c r="A168" s="52" t="s">
        <v>4177</v>
      </c>
      <c r="B168" s="34" t="s">
        <v>59</v>
      </c>
      <c r="C168" s="53">
        <v>2026</v>
      </c>
      <c r="D168" s="53">
        <v>2026</v>
      </c>
      <c r="E168" s="54" t="s">
        <v>3038</v>
      </c>
      <c r="F168" s="55" t="s">
        <v>50</v>
      </c>
      <c r="G168" s="55" t="s">
        <v>50</v>
      </c>
      <c r="H168" s="45" t="s">
        <v>581</v>
      </c>
      <c r="I168" s="56" t="s">
        <v>78</v>
      </c>
      <c r="J168" s="56"/>
      <c r="K168" s="55" t="s">
        <v>582</v>
      </c>
      <c r="L168" s="55" t="s">
        <v>88</v>
      </c>
      <c r="M168" s="55"/>
      <c r="N168" s="55" t="s">
        <v>110</v>
      </c>
      <c r="O168" s="55"/>
      <c r="P168" s="61" t="s">
        <v>583</v>
      </c>
      <c r="Q168" s="61" t="s">
        <v>57</v>
      </c>
      <c r="R168" s="55"/>
      <c r="S168" s="56" t="s">
        <v>58</v>
      </c>
      <c r="T168" s="55" t="str">
        <f>IF(ISNUMBER(SEARCH(",",N168)),"Y","N")</f>
        <v>N</v>
      </c>
      <c r="U168" s="57">
        <v>-999</v>
      </c>
      <c r="V168" s="57" t="s">
        <v>59</v>
      </c>
      <c r="W168" s="55" t="s">
        <v>2319</v>
      </c>
      <c r="X168" s="54" t="s">
        <v>4177</v>
      </c>
      <c r="Y168" s="52"/>
      <c r="Z168" s="1" t="s">
        <v>61</v>
      </c>
      <c r="AA168" s="1" t="s">
        <v>584</v>
      </c>
      <c r="AB168" s="1"/>
      <c r="AC168" s="1"/>
      <c r="AD168" s="3" t="s">
        <v>62</v>
      </c>
      <c r="AE168" s="3" t="s">
        <v>524</v>
      </c>
      <c r="AF168" s="1" t="s">
        <v>585</v>
      </c>
      <c r="AG168" s="1" t="s">
        <v>586</v>
      </c>
      <c r="AH168" s="58">
        <v>100</v>
      </c>
      <c r="AI168" s="3"/>
      <c r="AJ168" s="3"/>
      <c r="AK168" s="3"/>
      <c r="AL168" s="3"/>
      <c r="AM168" s="3"/>
      <c r="AN168" s="3"/>
      <c r="AO168" s="3"/>
      <c r="AP168" s="3"/>
      <c r="AQ168" s="3"/>
      <c r="AR168" s="3"/>
      <c r="AS168" s="3"/>
      <c r="AT168" s="3"/>
      <c r="AU168" s="3"/>
      <c r="AV168" s="3"/>
      <c r="AW168" s="3"/>
      <c r="AX168" s="3"/>
      <c r="AY168" s="3"/>
      <c r="AZ168" s="4" t="s">
        <v>3829</v>
      </c>
      <c r="BA168" s="5" t="s">
        <v>3830</v>
      </c>
      <c r="BB168" s="1"/>
      <c r="BC168" s="1"/>
    </row>
    <row r="169" spans="1:55" s="78" customFormat="1" ht="15" customHeight="1" x14ac:dyDescent="0.25">
      <c r="A169" s="52" t="s">
        <v>4178</v>
      </c>
      <c r="B169" s="34" t="s">
        <v>59</v>
      </c>
      <c r="C169" s="53">
        <v>2026</v>
      </c>
      <c r="D169" s="53">
        <v>2026</v>
      </c>
      <c r="E169" s="54" t="s">
        <v>3038</v>
      </c>
      <c r="F169" s="55" t="s">
        <v>50</v>
      </c>
      <c r="G169" s="55" t="s">
        <v>50</v>
      </c>
      <c r="H169" s="45" t="s">
        <v>581</v>
      </c>
      <c r="I169" s="56" t="s">
        <v>78</v>
      </c>
      <c r="J169" s="56"/>
      <c r="K169" s="56" t="s">
        <v>74</v>
      </c>
      <c r="L169" s="55" t="str">
        <f>IF(K169="Mines and Quarries","Mine","")</f>
        <v/>
      </c>
      <c r="M169" s="55"/>
      <c r="N169" s="56" t="s">
        <v>110</v>
      </c>
      <c r="O169" s="56"/>
      <c r="P169" s="55" t="s">
        <v>75</v>
      </c>
      <c r="Q169" s="56" t="s">
        <v>57</v>
      </c>
      <c r="R169" s="55"/>
      <c r="S169" s="56" t="s">
        <v>58</v>
      </c>
      <c r="T169" s="55" t="str">
        <f>IF(ISNUMBER(SEARCH(",",N169)),"Y","N")</f>
        <v>N</v>
      </c>
      <c r="U169" s="57">
        <v>-999</v>
      </c>
      <c r="V169" s="57" t="s">
        <v>59</v>
      </c>
      <c r="W169" s="55" t="s">
        <v>2319</v>
      </c>
      <c r="X169" s="54" t="s">
        <v>4178</v>
      </c>
      <c r="Y169" s="52"/>
      <c r="Z169" s="1" t="s">
        <v>61</v>
      </c>
      <c r="AA169" s="1" t="s">
        <v>584</v>
      </c>
      <c r="AB169" s="1"/>
      <c r="AC169" s="1"/>
      <c r="AD169" s="3" t="s">
        <v>62</v>
      </c>
      <c r="AE169" s="1" t="s">
        <v>524</v>
      </c>
      <c r="AF169" s="1" t="s">
        <v>585</v>
      </c>
      <c r="AG169" s="1" t="s">
        <v>586</v>
      </c>
      <c r="AH169" s="58">
        <v>100</v>
      </c>
      <c r="AI169" s="1"/>
      <c r="AJ169" s="1"/>
      <c r="AK169" s="1"/>
      <c r="AL169" s="1"/>
      <c r="AM169" s="1"/>
      <c r="AN169" s="1"/>
      <c r="AO169" s="1"/>
      <c r="AP169" s="1"/>
      <c r="AQ169" s="1"/>
      <c r="AR169" s="1"/>
      <c r="AS169" s="1"/>
      <c r="AT169" s="1"/>
      <c r="AU169" s="1"/>
      <c r="AV169" s="1"/>
      <c r="AW169" s="1"/>
      <c r="AX169" s="1"/>
      <c r="AY169" s="1"/>
      <c r="AZ169" s="5" t="s">
        <v>587</v>
      </c>
      <c r="BA169" s="5"/>
      <c r="BB169" s="1"/>
      <c r="BC169" s="1"/>
    </row>
    <row r="170" spans="1:55" s="78" customFormat="1" ht="15" customHeight="1" x14ac:dyDescent="0.25">
      <c r="A170" s="52" t="s">
        <v>4179</v>
      </c>
      <c r="B170" s="34" t="s">
        <v>59</v>
      </c>
      <c r="C170" s="53">
        <v>2026</v>
      </c>
      <c r="D170" s="53">
        <v>2026</v>
      </c>
      <c r="E170" s="54" t="s">
        <v>3038</v>
      </c>
      <c r="F170" s="55" t="s">
        <v>50</v>
      </c>
      <c r="G170" s="55" t="s">
        <v>50</v>
      </c>
      <c r="H170" s="45" t="s">
        <v>581</v>
      </c>
      <c r="I170" s="56" t="s">
        <v>78</v>
      </c>
      <c r="J170" s="56"/>
      <c r="K170" s="56" t="s">
        <v>313</v>
      </c>
      <c r="L170" s="56" t="s">
        <v>88</v>
      </c>
      <c r="M170" s="55"/>
      <c r="N170" s="56" t="s">
        <v>110</v>
      </c>
      <c r="O170" s="56"/>
      <c r="P170" s="61" t="s">
        <v>314</v>
      </c>
      <c r="Q170" s="61" t="s">
        <v>57</v>
      </c>
      <c r="R170" s="55"/>
      <c r="S170" s="56" t="s">
        <v>58</v>
      </c>
      <c r="T170" s="55" t="str">
        <f>IF(ISNUMBER(SEARCH(",",N170)),"Y","N")</f>
        <v>N</v>
      </c>
      <c r="U170" s="57">
        <v>-999</v>
      </c>
      <c r="V170" s="57" t="s">
        <v>59</v>
      </c>
      <c r="W170" s="55" t="s">
        <v>2319</v>
      </c>
      <c r="X170" s="54" t="s">
        <v>4179</v>
      </c>
      <c r="Y170" s="52"/>
      <c r="Z170" s="1" t="s">
        <v>61</v>
      </c>
      <c r="AA170" s="1" t="s">
        <v>584</v>
      </c>
      <c r="AB170" s="1"/>
      <c r="AC170" s="1"/>
      <c r="AD170" s="3" t="s">
        <v>62</v>
      </c>
      <c r="AE170" s="1" t="s">
        <v>524</v>
      </c>
      <c r="AF170" s="1" t="s">
        <v>585</v>
      </c>
      <c r="AG170" s="1" t="s">
        <v>586</v>
      </c>
      <c r="AH170" s="1"/>
      <c r="AI170" s="1"/>
      <c r="AJ170" s="1"/>
      <c r="AK170" s="1"/>
      <c r="AL170" s="1"/>
      <c r="AM170" s="1"/>
      <c r="AN170" s="1"/>
      <c r="AO170" s="1"/>
      <c r="AP170" s="1"/>
      <c r="AQ170" s="1"/>
      <c r="AR170" s="1"/>
      <c r="AS170" s="1"/>
      <c r="AT170" s="1"/>
      <c r="AU170" s="1"/>
      <c r="AV170" s="1"/>
      <c r="AW170" s="1"/>
      <c r="AX170" s="1"/>
      <c r="AY170" s="1"/>
      <c r="AZ170" s="4" t="s">
        <v>5347</v>
      </c>
      <c r="BA170" s="1"/>
      <c r="BB170" s="1"/>
      <c r="BC170" s="1"/>
    </row>
    <row r="171" spans="1:55" s="78" customFormat="1" ht="15" customHeight="1" x14ac:dyDescent="0.25">
      <c r="A171" s="52" t="s">
        <v>4180</v>
      </c>
      <c r="B171" s="34" t="s">
        <v>59</v>
      </c>
      <c r="C171" s="53">
        <v>2026</v>
      </c>
      <c r="D171" s="53">
        <v>2026</v>
      </c>
      <c r="E171" s="54" t="s">
        <v>3038</v>
      </c>
      <c r="F171" s="55" t="s">
        <v>50</v>
      </c>
      <c r="G171" s="55" t="s">
        <v>50</v>
      </c>
      <c r="H171" s="45" t="s">
        <v>581</v>
      </c>
      <c r="I171" s="56" t="s">
        <v>78</v>
      </c>
      <c r="J171" s="56"/>
      <c r="K171" s="56" t="s">
        <v>53</v>
      </c>
      <c r="L171" s="55" t="s">
        <v>88</v>
      </c>
      <c r="M171" s="55"/>
      <c r="N171" s="56" t="s">
        <v>110</v>
      </c>
      <c r="O171" s="56"/>
      <c r="P171" s="55" t="s">
        <v>56</v>
      </c>
      <c r="Q171" s="55" t="s">
        <v>57</v>
      </c>
      <c r="R171" s="55"/>
      <c r="S171" s="56" t="s">
        <v>58</v>
      </c>
      <c r="T171" s="55" t="str">
        <f>IF(ISNUMBER(SEARCH(",",N171)),"Y","N")</f>
        <v>N</v>
      </c>
      <c r="U171" s="57">
        <v>-999</v>
      </c>
      <c r="V171" s="57" t="s">
        <v>59</v>
      </c>
      <c r="W171" s="55" t="s">
        <v>2319</v>
      </c>
      <c r="X171" s="54" t="s">
        <v>4180</v>
      </c>
      <c r="Y171" s="52"/>
      <c r="Z171" s="1" t="s">
        <v>61</v>
      </c>
      <c r="AA171" s="1" t="s">
        <v>584</v>
      </c>
      <c r="AB171" s="1"/>
      <c r="AC171" s="1"/>
      <c r="AD171" s="3" t="s">
        <v>62</v>
      </c>
      <c r="AE171" s="3" t="s">
        <v>524</v>
      </c>
      <c r="AF171" s="1" t="s">
        <v>585</v>
      </c>
      <c r="AG171" s="1" t="s">
        <v>586</v>
      </c>
      <c r="AH171" s="2">
        <v>100</v>
      </c>
      <c r="AI171" s="1"/>
      <c r="AJ171" s="1"/>
      <c r="AK171" s="1"/>
      <c r="AL171" s="1"/>
      <c r="AM171" s="1"/>
      <c r="AN171" s="1"/>
      <c r="AO171" s="1"/>
      <c r="AP171" s="1"/>
      <c r="AQ171" s="1"/>
      <c r="AR171" s="1"/>
      <c r="AS171" s="1"/>
      <c r="AT171" s="1"/>
      <c r="AU171" s="1"/>
      <c r="AV171" s="1"/>
      <c r="AW171" s="1"/>
      <c r="AX171" s="1"/>
      <c r="AY171" s="1"/>
      <c r="AZ171" s="4" t="s">
        <v>588</v>
      </c>
      <c r="BA171" s="1"/>
      <c r="BB171" s="1"/>
      <c r="BC171" s="1"/>
    </row>
    <row r="172" spans="1:55" s="78" customFormat="1" ht="15" customHeight="1" x14ac:dyDescent="0.25">
      <c r="A172" s="52" t="s">
        <v>4181</v>
      </c>
      <c r="B172" s="34" t="s">
        <v>59</v>
      </c>
      <c r="C172" s="53">
        <v>2026</v>
      </c>
      <c r="D172" s="53">
        <v>2026</v>
      </c>
      <c r="E172" s="54" t="s">
        <v>3039</v>
      </c>
      <c r="F172" s="55" t="s">
        <v>50</v>
      </c>
      <c r="G172" s="55" t="s">
        <v>50</v>
      </c>
      <c r="H172" s="45" t="s">
        <v>590</v>
      </c>
      <c r="I172" s="45" t="s">
        <v>78</v>
      </c>
      <c r="J172" s="56"/>
      <c r="K172" s="56" t="s">
        <v>417</v>
      </c>
      <c r="L172" s="55" t="s">
        <v>88</v>
      </c>
      <c r="M172" s="55"/>
      <c r="N172" s="55" t="s">
        <v>418</v>
      </c>
      <c r="O172" s="55"/>
      <c r="P172" s="55" t="s">
        <v>89</v>
      </c>
      <c r="Q172" s="55" t="s">
        <v>89</v>
      </c>
      <c r="R172" s="55"/>
      <c r="S172" s="56" t="s">
        <v>81</v>
      </c>
      <c r="T172" s="55" t="s">
        <v>81</v>
      </c>
      <c r="U172" s="57">
        <v>5200000</v>
      </c>
      <c r="V172" s="57" t="s">
        <v>101</v>
      </c>
      <c r="W172" s="55" t="s">
        <v>2319</v>
      </c>
      <c r="X172" s="54" t="s">
        <v>4181</v>
      </c>
      <c r="Y172" s="52"/>
      <c r="Z172" s="3" t="s">
        <v>61</v>
      </c>
      <c r="AA172" s="3" t="s">
        <v>591</v>
      </c>
      <c r="AB172" s="3"/>
      <c r="AC172" s="3"/>
      <c r="AD172" s="3" t="s">
        <v>62</v>
      </c>
      <c r="AE172" s="3" t="s">
        <v>592</v>
      </c>
      <c r="AF172" s="3" t="s">
        <v>593</v>
      </c>
      <c r="AG172" s="3" t="s">
        <v>594</v>
      </c>
      <c r="AH172" s="58">
        <v>100</v>
      </c>
      <c r="AI172" s="3"/>
      <c r="AJ172" s="3"/>
      <c r="AK172" s="3"/>
      <c r="AL172" s="3"/>
      <c r="AM172" s="3"/>
      <c r="AN172" s="3"/>
      <c r="AO172" s="3"/>
      <c r="AP172" s="3"/>
      <c r="AQ172" s="3"/>
      <c r="AR172" s="3"/>
      <c r="AS172" s="3"/>
      <c r="AT172" s="3"/>
      <c r="AU172" s="3"/>
      <c r="AV172" s="3"/>
      <c r="AW172" s="3"/>
      <c r="AX172" s="3"/>
      <c r="AY172" s="3"/>
      <c r="AZ172" s="4" t="s">
        <v>589</v>
      </c>
      <c r="BA172" s="3"/>
      <c r="BB172" s="1"/>
      <c r="BC172" s="1"/>
    </row>
    <row r="173" spans="1:55" s="78" customFormat="1" ht="15" customHeight="1" x14ac:dyDescent="0.25">
      <c r="A173" s="52" t="s">
        <v>4182</v>
      </c>
      <c r="B173" s="34" t="s">
        <v>59</v>
      </c>
      <c r="C173" s="53">
        <v>2026</v>
      </c>
      <c r="D173" s="53">
        <v>2026</v>
      </c>
      <c r="E173" s="54" t="s">
        <v>3040</v>
      </c>
      <c r="F173" s="55" t="s">
        <v>50</v>
      </c>
      <c r="G173" s="55" t="s">
        <v>50</v>
      </c>
      <c r="H173" s="45" t="s">
        <v>596</v>
      </c>
      <c r="I173" s="56" t="s">
        <v>78</v>
      </c>
      <c r="J173" s="56" t="s">
        <v>165</v>
      </c>
      <c r="K173" s="56" t="s">
        <v>597</v>
      </c>
      <c r="L173" s="55" t="s">
        <v>88</v>
      </c>
      <c r="M173" s="55"/>
      <c r="N173" s="55" t="s">
        <v>110</v>
      </c>
      <c r="O173" s="55"/>
      <c r="P173" s="56" t="s">
        <v>598</v>
      </c>
      <c r="Q173" s="55" t="s">
        <v>57</v>
      </c>
      <c r="R173" s="55"/>
      <c r="S173" s="56" t="s">
        <v>81</v>
      </c>
      <c r="T173" s="55" t="str">
        <f>IF(ISNUMBER(SEARCH(",",N173)),"Y","N")</f>
        <v>N</v>
      </c>
      <c r="U173" s="57">
        <v>1088000</v>
      </c>
      <c r="V173" s="57" t="s">
        <v>101</v>
      </c>
      <c r="W173" s="55" t="s">
        <v>2319</v>
      </c>
      <c r="X173" s="54" t="s">
        <v>4182</v>
      </c>
      <c r="Y173" s="52"/>
      <c r="Z173" s="3" t="s">
        <v>154</v>
      </c>
      <c r="AA173" s="3" t="s">
        <v>599</v>
      </c>
      <c r="AB173" s="3"/>
      <c r="AC173" s="3"/>
      <c r="AD173" s="3" t="s">
        <v>62</v>
      </c>
      <c r="AE173" s="2" t="s">
        <v>83</v>
      </c>
      <c r="AF173" s="2"/>
      <c r="AG173" s="3" t="s">
        <v>600</v>
      </c>
      <c r="AH173" s="58">
        <v>100</v>
      </c>
      <c r="AI173" s="3"/>
      <c r="AJ173" s="3"/>
      <c r="AK173" s="3"/>
      <c r="AL173" s="3"/>
      <c r="AM173" s="3"/>
      <c r="AN173" s="3"/>
      <c r="AO173" s="3"/>
      <c r="AP173" s="3"/>
      <c r="AQ173" s="3"/>
      <c r="AR173" s="3"/>
      <c r="AS173" s="3"/>
      <c r="AT173" s="3"/>
      <c r="AU173" s="3"/>
      <c r="AV173" s="3"/>
      <c r="AW173" s="3"/>
      <c r="AX173" s="3"/>
      <c r="AY173" s="3"/>
      <c r="AZ173" s="2" t="s">
        <v>595</v>
      </c>
      <c r="BA173" s="3"/>
      <c r="BB173" s="1"/>
      <c r="BC173" s="1"/>
    </row>
    <row r="174" spans="1:55" s="78" customFormat="1" ht="15" customHeight="1" x14ac:dyDescent="0.25">
      <c r="A174" s="52" t="s">
        <v>4183</v>
      </c>
      <c r="B174" s="34" t="s">
        <v>59</v>
      </c>
      <c r="C174" s="53">
        <v>2026</v>
      </c>
      <c r="D174" s="53">
        <v>2026</v>
      </c>
      <c r="E174" s="54" t="s">
        <v>3041</v>
      </c>
      <c r="F174" s="55" t="s">
        <v>50</v>
      </c>
      <c r="G174" s="55" t="s">
        <v>50</v>
      </c>
      <c r="H174" s="45" t="s">
        <v>602</v>
      </c>
      <c r="I174" s="45" t="s">
        <v>52</v>
      </c>
      <c r="J174" s="56"/>
      <c r="K174" s="55" t="s">
        <v>210</v>
      </c>
      <c r="L174" s="55" t="s">
        <v>54</v>
      </c>
      <c r="M174" s="55"/>
      <c r="N174" s="55" t="s">
        <v>212</v>
      </c>
      <c r="O174" s="55" t="s">
        <v>603</v>
      </c>
      <c r="P174" s="55" t="s">
        <v>89</v>
      </c>
      <c r="Q174" s="55" t="s">
        <v>89</v>
      </c>
      <c r="R174" s="55"/>
      <c r="S174" s="56" t="s">
        <v>81</v>
      </c>
      <c r="T174" s="55" t="s">
        <v>81</v>
      </c>
      <c r="U174" s="57">
        <v>120450</v>
      </c>
      <c r="V174" s="57" t="s">
        <v>101</v>
      </c>
      <c r="W174" s="55" t="s">
        <v>2319</v>
      </c>
      <c r="X174" s="54" t="s">
        <v>4183</v>
      </c>
      <c r="Y174" s="52"/>
      <c r="Z174" s="3" t="s">
        <v>61</v>
      </c>
      <c r="AA174" s="1" t="s">
        <v>604</v>
      </c>
      <c r="AB174" s="1"/>
      <c r="AC174" s="1"/>
      <c r="AD174" s="3" t="s">
        <v>62</v>
      </c>
      <c r="AE174" s="3" t="s">
        <v>605</v>
      </c>
      <c r="AF174" s="3"/>
      <c r="AG174" s="3" t="s">
        <v>170</v>
      </c>
      <c r="AH174" s="2">
        <v>100</v>
      </c>
      <c r="AI174" s="1"/>
      <c r="AJ174" s="2"/>
      <c r="AK174" s="3"/>
      <c r="AL174" s="3"/>
      <c r="AM174" s="3"/>
      <c r="AN174" s="3"/>
      <c r="AO174" s="3"/>
      <c r="AP174" s="3"/>
      <c r="AQ174" s="3"/>
      <c r="AR174" s="3"/>
      <c r="AS174" s="3"/>
      <c r="AT174" s="3"/>
      <c r="AU174" s="3"/>
      <c r="AV174" s="3"/>
      <c r="AW174" s="3"/>
      <c r="AX174" s="3"/>
      <c r="AY174" s="3"/>
      <c r="AZ174" s="4" t="s">
        <v>601</v>
      </c>
      <c r="BA174" s="3"/>
      <c r="BB174" s="1"/>
      <c r="BC174" s="1"/>
    </row>
    <row r="175" spans="1:55" s="78" customFormat="1" ht="15" customHeight="1" x14ac:dyDescent="0.25">
      <c r="A175" s="52" t="s">
        <v>4184</v>
      </c>
      <c r="B175" s="34" t="s">
        <v>59</v>
      </c>
      <c r="C175" s="53">
        <v>2026</v>
      </c>
      <c r="D175" s="53">
        <v>2026</v>
      </c>
      <c r="E175" s="54" t="s">
        <v>3042</v>
      </c>
      <c r="F175" s="55" t="s">
        <v>50</v>
      </c>
      <c r="G175" s="55" t="s">
        <v>50</v>
      </c>
      <c r="H175" s="45" t="s">
        <v>606</v>
      </c>
      <c r="I175" s="56" t="s">
        <v>78</v>
      </c>
      <c r="J175" s="56"/>
      <c r="K175" s="56" t="s">
        <v>74</v>
      </c>
      <c r="L175" s="55" t="str">
        <f>IF(K175="Mines and Quarries","Mine","")</f>
        <v/>
      </c>
      <c r="M175" s="55"/>
      <c r="N175" s="56" t="s">
        <v>110</v>
      </c>
      <c r="O175" s="56"/>
      <c r="P175" s="55" t="s">
        <v>75</v>
      </c>
      <c r="Q175" s="56" t="s">
        <v>57</v>
      </c>
      <c r="R175" s="55"/>
      <c r="S175" s="56" t="s">
        <v>58</v>
      </c>
      <c r="T175" s="55" t="str">
        <f>IF(ISNUMBER(SEARCH(",",N175)),"Y","N")</f>
        <v>N</v>
      </c>
      <c r="U175" s="57">
        <v>-999</v>
      </c>
      <c r="V175" s="57" t="s">
        <v>59</v>
      </c>
      <c r="W175" s="55"/>
      <c r="X175" s="54" t="s">
        <v>4184</v>
      </c>
      <c r="Y175" s="60"/>
      <c r="Z175" s="1" t="s">
        <v>61</v>
      </c>
      <c r="AA175" s="1" t="s">
        <v>607</v>
      </c>
      <c r="AB175" s="1"/>
      <c r="AC175" s="1"/>
      <c r="AD175" s="3" t="s">
        <v>62</v>
      </c>
      <c r="AE175" s="1" t="s">
        <v>524</v>
      </c>
      <c r="AF175" s="1" t="s">
        <v>585</v>
      </c>
      <c r="AG175" s="1" t="s">
        <v>586</v>
      </c>
      <c r="AH175" s="58">
        <v>100</v>
      </c>
      <c r="AI175" s="1"/>
      <c r="AJ175" s="1"/>
      <c r="AK175" s="1"/>
      <c r="AL175" s="1"/>
      <c r="AM175" s="1"/>
      <c r="AN175" s="1"/>
      <c r="AO175" s="1"/>
      <c r="AP175" s="1"/>
      <c r="AQ175" s="1"/>
      <c r="AR175" s="1"/>
      <c r="AS175" s="1"/>
      <c r="AT175" s="1"/>
      <c r="AU175" s="1"/>
      <c r="AV175" s="1"/>
      <c r="AW175" s="1"/>
      <c r="AX175" s="1"/>
      <c r="AY175" s="1"/>
      <c r="AZ175" s="5" t="s">
        <v>587</v>
      </c>
      <c r="BA175" s="5"/>
      <c r="BB175" s="1"/>
      <c r="BC175" s="1"/>
    </row>
    <row r="176" spans="1:55" s="78" customFormat="1" ht="15" customHeight="1" x14ac:dyDescent="0.25">
      <c r="A176" s="52" t="s">
        <v>4185</v>
      </c>
      <c r="B176" s="34" t="s">
        <v>59</v>
      </c>
      <c r="C176" s="53">
        <v>2026</v>
      </c>
      <c r="D176" s="53">
        <v>2026</v>
      </c>
      <c r="E176" s="54" t="s">
        <v>3042</v>
      </c>
      <c r="F176" s="55" t="s">
        <v>50</v>
      </c>
      <c r="G176" s="55" t="s">
        <v>50</v>
      </c>
      <c r="H176" s="45" t="s">
        <v>606</v>
      </c>
      <c r="I176" s="56" t="s">
        <v>52</v>
      </c>
      <c r="J176" s="56"/>
      <c r="K176" s="56" t="s">
        <v>53</v>
      </c>
      <c r="L176" s="55" t="str">
        <f>IF(K176="Mine or Quarry","Mine","")</f>
        <v/>
      </c>
      <c r="M176" s="55"/>
      <c r="N176" s="56" t="s">
        <v>110</v>
      </c>
      <c r="O176" s="56"/>
      <c r="P176" s="55" t="s">
        <v>56</v>
      </c>
      <c r="Q176" s="55" t="s">
        <v>57</v>
      </c>
      <c r="R176" s="55"/>
      <c r="S176" s="56" t="s">
        <v>58</v>
      </c>
      <c r="T176" s="55" t="str">
        <f>IF(ISNUMBER(SEARCH(",",N176)),"Y","N")</f>
        <v>N</v>
      </c>
      <c r="U176" s="57">
        <v>-999</v>
      </c>
      <c r="V176" s="57" t="s">
        <v>59</v>
      </c>
      <c r="W176" s="55"/>
      <c r="X176" s="54" t="s">
        <v>4185</v>
      </c>
      <c r="Y176" s="60"/>
      <c r="Z176" s="1" t="s">
        <v>61</v>
      </c>
      <c r="AA176" s="65" t="s">
        <v>609</v>
      </c>
      <c r="AB176" s="65"/>
      <c r="AC176" s="65"/>
      <c r="AD176" s="3" t="s">
        <v>62</v>
      </c>
      <c r="AE176" s="3" t="s">
        <v>524</v>
      </c>
      <c r="AF176" s="1" t="s">
        <v>585</v>
      </c>
      <c r="AG176" s="1" t="s">
        <v>586</v>
      </c>
      <c r="AH176" s="2">
        <v>100</v>
      </c>
      <c r="AI176" s="1"/>
      <c r="AJ176" s="1"/>
      <c r="AK176" s="1"/>
      <c r="AL176" s="1"/>
      <c r="AM176" s="1"/>
      <c r="AN176" s="1"/>
      <c r="AO176" s="1"/>
      <c r="AP176" s="1"/>
      <c r="AQ176" s="1"/>
      <c r="AR176" s="1"/>
      <c r="AS176" s="1"/>
      <c r="AT176" s="1"/>
      <c r="AU176" s="1"/>
      <c r="AV176" s="1"/>
      <c r="AW176" s="1"/>
      <c r="AX176" s="1"/>
      <c r="AY176" s="1"/>
      <c r="AZ176" s="4" t="s">
        <v>608</v>
      </c>
      <c r="BA176" s="1"/>
      <c r="BB176" s="1"/>
      <c r="BC176" s="1"/>
    </row>
    <row r="177" spans="1:55" s="78" customFormat="1" ht="15" customHeight="1" x14ac:dyDescent="0.25">
      <c r="A177" s="52" t="s">
        <v>4186</v>
      </c>
      <c r="B177" s="34" t="s">
        <v>59</v>
      </c>
      <c r="C177" s="53">
        <v>2026</v>
      </c>
      <c r="D177" s="53">
        <v>2026</v>
      </c>
      <c r="E177" s="54" t="s">
        <v>3042</v>
      </c>
      <c r="F177" s="55" t="s">
        <v>50</v>
      </c>
      <c r="G177" s="55" t="s">
        <v>50</v>
      </c>
      <c r="H177" s="45" t="s">
        <v>606</v>
      </c>
      <c r="I177" s="56" t="s">
        <v>78</v>
      </c>
      <c r="J177" s="56"/>
      <c r="K177" s="55" t="s">
        <v>313</v>
      </c>
      <c r="L177" s="56" t="s">
        <v>88</v>
      </c>
      <c r="M177" s="55"/>
      <c r="N177" s="55" t="s">
        <v>110</v>
      </c>
      <c r="O177" s="55"/>
      <c r="P177" s="55" t="s">
        <v>314</v>
      </c>
      <c r="Q177" s="61" t="s">
        <v>57</v>
      </c>
      <c r="R177" s="55"/>
      <c r="S177" s="56" t="s">
        <v>58</v>
      </c>
      <c r="T177" s="55" t="s">
        <v>81</v>
      </c>
      <c r="U177" s="57">
        <v>-999</v>
      </c>
      <c r="V177" s="57" t="s">
        <v>59</v>
      </c>
      <c r="W177" s="55"/>
      <c r="X177" s="54" t="s">
        <v>4186</v>
      </c>
      <c r="Y177" s="60"/>
      <c r="Z177" s="1" t="s">
        <v>61</v>
      </c>
      <c r="AA177" s="3" t="s">
        <v>610</v>
      </c>
      <c r="AB177" s="3"/>
      <c r="AC177" s="3"/>
      <c r="AD177" s="3" t="s">
        <v>62</v>
      </c>
      <c r="AE177" s="1" t="s">
        <v>524</v>
      </c>
      <c r="AF177" s="1" t="s">
        <v>585</v>
      </c>
      <c r="AG177" s="1" t="s">
        <v>586</v>
      </c>
      <c r="AH177" s="58"/>
      <c r="AI177" s="3"/>
      <c r="AJ177" s="3"/>
      <c r="AK177" s="3"/>
      <c r="AL177" s="3"/>
      <c r="AM177" s="3"/>
      <c r="AN177" s="3"/>
      <c r="AO177" s="3"/>
      <c r="AP177" s="3"/>
      <c r="AQ177" s="3"/>
      <c r="AR177" s="3"/>
      <c r="AS177" s="3"/>
      <c r="AT177" s="3"/>
      <c r="AU177" s="3"/>
      <c r="AV177" s="3"/>
      <c r="AW177" s="3"/>
      <c r="AX177" s="3"/>
      <c r="AY177" s="3"/>
      <c r="AZ177" s="4" t="s">
        <v>608</v>
      </c>
      <c r="BA177" s="3"/>
      <c r="BB177" s="1"/>
      <c r="BC177" s="1"/>
    </row>
    <row r="178" spans="1:55" s="78" customFormat="1" ht="15" customHeight="1" x14ac:dyDescent="0.25">
      <c r="A178" s="52" t="s">
        <v>4187</v>
      </c>
      <c r="B178" s="34" t="s">
        <v>59</v>
      </c>
      <c r="C178" s="53">
        <v>2026</v>
      </c>
      <c r="D178" s="53">
        <v>2026</v>
      </c>
      <c r="E178" s="54" t="s">
        <v>3042</v>
      </c>
      <c r="F178" s="55" t="s">
        <v>50</v>
      </c>
      <c r="G178" s="55" t="s">
        <v>50</v>
      </c>
      <c r="H178" s="45" t="s">
        <v>606</v>
      </c>
      <c r="I178" s="56" t="s">
        <v>52</v>
      </c>
      <c r="J178" s="56"/>
      <c r="K178" s="56" t="s">
        <v>582</v>
      </c>
      <c r="L178" s="55"/>
      <c r="M178" s="55"/>
      <c r="N178" s="56" t="s">
        <v>110</v>
      </c>
      <c r="O178" s="56"/>
      <c r="P178" s="61" t="s">
        <v>583</v>
      </c>
      <c r="Q178" s="61" t="s">
        <v>57</v>
      </c>
      <c r="R178" s="55"/>
      <c r="S178" s="56" t="s">
        <v>58</v>
      </c>
      <c r="T178" s="55" t="str">
        <f>IF(ISNUMBER(SEARCH(",",N178)),"Y","N")</f>
        <v>N</v>
      </c>
      <c r="U178" s="57">
        <v>-999</v>
      </c>
      <c r="V178" s="57" t="s">
        <v>59</v>
      </c>
      <c r="W178" s="55"/>
      <c r="X178" s="54" t="s">
        <v>4187</v>
      </c>
      <c r="Y178" s="60"/>
      <c r="Z178" s="1" t="s">
        <v>61</v>
      </c>
      <c r="AA178" s="1" t="s">
        <v>607</v>
      </c>
      <c r="AB178" s="1"/>
      <c r="AC178" s="1"/>
      <c r="AD178" s="3" t="s">
        <v>62</v>
      </c>
      <c r="AE178" s="3" t="s">
        <v>524</v>
      </c>
      <c r="AF178" s="1" t="s">
        <v>585</v>
      </c>
      <c r="AG178" s="1" t="s">
        <v>586</v>
      </c>
      <c r="AH178" s="58">
        <v>100</v>
      </c>
      <c r="AI178" s="1"/>
      <c r="AJ178" s="1"/>
      <c r="AK178" s="1"/>
      <c r="AL178" s="1"/>
      <c r="AM178" s="1"/>
      <c r="AN178" s="1"/>
      <c r="AO178" s="1"/>
      <c r="AP178" s="1"/>
      <c r="AQ178" s="1"/>
      <c r="AR178" s="1"/>
      <c r="AS178" s="1"/>
      <c r="AT178" s="1"/>
      <c r="AU178" s="1"/>
      <c r="AV178" s="1"/>
      <c r="AW178" s="1"/>
      <c r="AX178" s="1"/>
      <c r="AY178" s="1"/>
      <c r="AZ178" s="5" t="s">
        <v>587</v>
      </c>
      <c r="BA178" s="5"/>
      <c r="BB178" s="1"/>
      <c r="BC178" s="1"/>
    </row>
    <row r="179" spans="1:55" s="78" customFormat="1" ht="15" customHeight="1" x14ac:dyDescent="0.25">
      <c r="A179" s="52" t="s">
        <v>4188</v>
      </c>
      <c r="B179" s="34" t="s">
        <v>59</v>
      </c>
      <c r="C179" s="53">
        <v>2026</v>
      </c>
      <c r="D179" s="53">
        <v>2026</v>
      </c>
      <c r="E179" s="54" t="s">
        <v>3043</v>
      </c>
      <c r="F179" s="55" t="s">
        <v>50</v>
      </c>
      <c r="G179" s="55" t="s">
        <v>50</v>
      </c>
      <c r="H179" s="45" t="s">
        <v>611</v>
      </c>
      <c r="I179" s="56" t="s">
        <v>78</v>
      </c>
      <c r="J179" s="56"/>
      <c r="K179" s="55" t="s">
        <v>582</v>
      </c>
      <c r="L179" s="55" t="s">
        <v>88</v>
      </c>
      <c r="M179" s="55"/>
      <c r="N179" s="55" t="s">
        <v>110</v>
      </c>
      <c r="O179" s="55"/>
      <c r="P179" s="61" t="s">
        <v>583</v>
      </c>
      <c r="Q179" s="61" t="s">
        <v>57</v>
      </c>
      <c r="R179" s="55"/>
      <c r="S179" s="56" t="s">
        <v>58</v>
      </c>
      <c r="T179" s="55" t="s">
        <v>81</v>
      </c>
      <c r="U179" s="57">
        <v>-999</v>
      </c>
      <c r="V179" s="57" t="s">
        <v>59</v>
      </c>
      <c r="W179" s="55"/>
      <c r="X179" s="54" t="s">
        <v>4188</v>
      </c>
      <c r="Y179" s="60"/>
      <c r="Z179" s="1" t="s">
        <v>61</v>
      </c>
      <c r="AA179" s="3" t="s">
        <v>610</v>
      </c>
      <c r="AB179" s="3"/>
      <c r="AC179" s="3"/>
      <c r="AD179" s="3" t="s">
        <v>62</v>
      </c>
      <c r="AE179" s="3" t="s">
        <v>524</v>
      </c>
      <c r="AF179" s="1" t="s">
        <v>585</v>
      </c>
      <c r="AG179" s="1" t="s">
        <v>586</v>
      </c>
      <c r="AH179" s="58">
        <v>100</v>
      </c>
      <c r="AI179" s="3"/>
      <c r="AJ179" s="3"/>
      <c r="AK179" s="3"/>
      <c r="AL179" s="3"/>
      <c r="AM179" s="3"/>
      <c r="AN179" s="3"/>
      <c r="AO179" s="3"/>
      <c r="AP179" s="3"/>
      <c r="AQ179" s="3"/>
      <c r="AR179" s="3"/>
      <c r="AS179" s="3"/>
      <c r="AT179" s="3"/>
      <c r="AU179" s="3"/>
      <c r="AV179" s="3"/>
      <c r="AW179" s="3"/>
      <c r="AX179" s="3"/>
      <c r="AY179" s="3"/>
      <c r="AZ179" s="4" t="s">
        <v>3829</v>
      </c>
      <c r="BA179" s="5" t="s">
        <v>3955</v>
      </c>
      <c r="BB179" s="1"/>
      <c r="BC179" s="1"/>
    </row>
    <row r="180" spans="1:55" s="78" customFormat="1" ht="15" customHeight="1" x14ac:dyDescent="0.25">
      <c r="A180" s="52" t="s">
        <v>4189</v>
      </c>
      <c r="B180" s="34" t="s">
        <v>59</v>
      </c>
      <c r="C180" s="53">
        <v>2026</v>
      </c>
      <c r="D180" s="53">
        <v>2026</v>
      </c>
      <c r="E180" s="54" t="s">
        <v>3043</v>
      </c>
      <c r="F180" s="55" t="s">
        <v>50</v>
      </c>
      <c r="G180" s="55" t="s">
        <v>50</v>
      </c>
      <c r="H180" s="45" t="s">
        <v>611</v>
      </c>
      <c r="I180" s="56" t="s">
        <v>78</v>
      </c>
      <c r="J180" s="56"/>
      <c r="K180" s="55" t="s">
        <v>313</v>
      </c>
      <c r="L180" s="56" t="s">
        <v>88</v>
      </c>
      <c r="M180" s="55"/>
      <c r="N180" s="55" t="s">
        <v>181</v>
      </c>
      <c r="O180" s="55"/>
      <c r="P180" s="61" t="s">
        <v>314</v>
      </c>
      <c r="Q180" s="61" t="s">
        <v>57</v>
      </c>
      <c r="R180" s="55"/>
      <c r="S180" s="56" t="s">
        <v>58</v>
      </c>
      <c r="T180" s="55" t="s">
        <v>81</v>
      </c>
      <c r="U180" s="57">
        <v>-999</v>
      </c>
      <c r="V180" s="57" t="s">
        <v>59</v>
      </c>
      <c r="W180" s="55"/>
      <c r="X180" s="54" t="s">
        <v>4189</v>
      </c>
      <c r="Y180" s="60"/>
      <c r="Z180" s="3" t="s">
        <v>61</v>
      </c>
      <c r="AA180" s="3" t="s">
        <v>610</v>
      </c>
      <c r="AB180" s="3"/>
      <c r="AC180" s="3"/>
      <c r="AD180" s="3" t="s">
        <v>62</v>
      </c>
      <c r="AE180" s="3" t="s">
        <v>524</v>
      </c>
      <c r="AF180" s="1" t="s">
        <v>585</v>
      </c>
      <c r="AG180" s="1" t="s">
        <v>586</v>
      </c>
      <c r="AH180" s="58">
        <v>100</v>
      </c>
      <c r="AI180" s="3"/>
      <c r="AJ180" s="3"/>
      <c r="AK180" s="3"/>
      <c r="AL180" s="3"/>
      <c r="AM180" s="3"/>
      <c r="AN180" s="3"/>
      <c r="AO180" s="3"/>
      <c r="AP180" s="3"/>
      <c r="AQ180" s="3"/>
      <c r="AR180" s="3"/>
      <c r="AS180" s="3"/>
      <c r="AT180" s="3"/>
      <c r="AU180" s="3"/>
      <c r="AV180" s="3"/>
      <c r="AW180" s="3"/>
      <c r="AX180" s="3"/>
      <c r="AY180" s="3"/>
      <c r="AZ180" s="4" t="s">
        <v>608</v>
      </c>
      <c r="BA180" s="3"/>
      <c r="BB180" s="1"/>
      <c r="BC180" s="1"/>
    </row>
    <row r="181" spans="1:55" s="78" customFormat="1" ht="15" customHeight="1" x14ac:dyDescent="0.25">
      <c r="A181" s="52" t="s">
        <v>4190</v>
      </c>
      <c r="B181" s="34" t="s">
        <v>59</v>
      </c>
      <c r="C181" s="53">
        <v>2026</v>
      </c>
      <c r="D181" s="53">
        <v>2026</v>
      </c>
      <c r="E181" s="54" t="s">
        <v>3043</v>
      </c>
      <c r="F181" s="55" t="s">
        <v>50</v>
      </c>
      <c r="G181" s="55" t="s">
        <v>50</v>
      </c>
      <c r="H181" s="45" t="s">
        <v>611</v>
      </c>
      <c r="I181" s="56" t="s">
        <v>78</v>
      </c>
      <c r="J181" s="56"/>
      <c r="K181" s="56" t="s">
        <v>53</v>
      </c>
      <c r="L181" s="55"/>
      <c r="M181" s="55"/>
      <c r="N181" s="56" t="s">
        <v>181</v>
      </c>
      <c r="O181" s="56"/>
      <c r="P181" s="55" t="s">
        <v>56</v>
      </c>
      <c r="Q181" s="55" t="s">
        <v>57</v>
      </c>
      <c r="R181" s="55"/>
      <c r="S181" s="56" t="s">
        <v>58</v>
      </c>
      <c r="T181" s="55" t="s">
        <v>81</v>
      </c>
      <c r="U181" s="57">
        <v>-999</v>
      </c>
      <c r="V181" s="57" t="s">
        <v>59</v>
      </c>
      <c r="W181" s="55"/>
      <c r="X181" s="54" t="s">
        <v>4190</v>
      </c>
      <c r="Y181" s="60"/>
      <c r="Z181" s="1" t="s">
        <v>61</v>
      </c>
      <c r="AA181" s="3" t="s">
        <v>610</v>
      </c>
      <c r="AB181" s="3"/>
      <c r="AC181" s="3"/>
      <c r="AD181" s="3" t="s">
        <v>62</v>
      </c>
      <c r="AE181" s="3" t="s">
        <v>524</v>
      </c>
      <c r="AF181" s="1" t="s">
        <v>585</v>
      </c>
      <c r="AG181" s="1" t="s">
        <v>586</v>
      </c>
      <c r="AH181" s="58">
        <v>100</v>
      </c>
      <c r="AI181" s="1"/>
      <c r="AJ181" s="1"/>
      <c r="AK181" s="1"/>
      <c r="AL181" s="1"/>
      <c r="AM181" s="1"/>
      <c r="AN181" s="1"/>
      <c r="AO181" s="1"/>
      <c r="AP181" s="1"/>
      <c r="AQ181" s="1"/>
      <c r="AR181" s="1"/>
      <c r="AS181" s="1"/>
      <c r="AT181" s="1"/>
      <c r="AU181" s="1"/>
      <c r="AV181" s="1"/>
      <c r="AW181" s="1"/>
      <c r="AX181" s="1"/>
      <c r="AY181" s="1"/>
      <c r="AZ181" s="4" t="s">
        <v>608</v>
      </c>
      <c r="BA181" s="1"/>
      <c r="BB181" s="1"/>
      <c r="BC181" s="1"/>
    </row>
    <row r="182" spans="1:55" s="78" customFormat="1" ht="15" customHeight="1" x14ac:dyDescent="0.25">
      <c r="A182" s="52" t="s">
        <v>4191</v>
      </c>
      <c r="B182" s="34" t="s">
        <v>59</v>
      </c>
      <c r="C182" s="53">
        <v>2026</v>
      </c>
      <c r="D182" s="53">
        <v>2026</v>
      </c>
      <c r="E182" s="54" t="s">
        <v>3044</v>
      </c>
      <c r="F182" s="55" t="s">
        <v>50</v>
      </c>
      <c r="G182" s="55" t="s">
        <v>50</v>
      </c>
      <c r="H182" s="45" t="s">
        <v>613</v>
      </c>
      <c r="I182" s="45" t="s">
        <v>52</v>
      </c>
      <c r="J182" s="56"/>
      <c r="K182" s="55" t="s">
        <v>582</v>
      </c>
      <c r="L182" s="55" t="s">
        <v>614</v>
      </c>
      <c r="M182" s="55" t="s">
        <v>113</v>
      </c>
      <c r="N182" s="55" t="s">
        <v>615</v>
      </c>
      <c r="O182" s="55"/>
      <c r="P182" s="61" t="s">
        <v>583</v>
      </c>
      <c r="Q182" s="61" t="s">
        <v>57</v>
      </c>
      <c r="R182" s="55"/>
      <c r="S182" s="56" t="s">
        <v>81</v>
      </c>
      <c r="T182" s="55" t="str">
        <f t="shared" ref="T182:T188" si="3">IF(ISNUMBER(SEARCH(",",N182)),"Y","N")</f>
        <v>Y</v>
      </c>
      <c r="U182" s="57">
        <v>150000</v>
      </c>
      <c r="V182" s="57" t="s">
        <v>101</v>
      </c>
      <c r="W182" s="55" t="s">
        <v>2319</v>
      </c>
      <c r="X182" s="54" t="s">
        <v>4191</v>
      </c>
      <c r="Y182" s="52"/>
      <c r="Z182" s="1" t="s">
        <v>61</v>
      </c>
      <c r="AA182" s="3" t="s">
        <v>607</v>
      </c>
      <c r="AB182" s="3"/>
      <c r="AC182" s="3"/>
      <c r="AD182" s="3" t="s">
        <v>62</v>
      </c>
      <c r="AE182" s="3" t="s">
        <v>524</v>
      </c>
      <c r="AF182" s="1" t="s">
        <v>585</v>
      </c>
      <c r="AG182" s="1" t="s">
        <v>586</v>
      </c>
      <c r="AH182" s="58">
        <v>100</v>
      </c>
      <c r="AI182" s="3"/>
      <c r="AJ182" s="3"/>
      <c r="AK182" s="3"/>
      <c r="AL182" s="3"/>
      <c r="AM182" s="3"/>
      <c r="AN182" s="3"/>
      <c r="AO182" s="3"/>
      <c r="AP182" s="3"/>
      <c r="AQ182" s="3"/>
      <c r="AR182" s="3"/>
      <c r="AS182" s="3"/>
      <c r="AT182" s="3"/>
      <c r="AU182" s="3"/>
      <c r="AV182" s="3"/>
      <c r="AW182" s="3"/>
      <c r="AX182" s="3"/>
      <c r="AY182" s="3"/>
      <c r="AZ182" s="4" t="s">
        <v>612</v>
      </c>
      <c r="BA182" s="3"/>
      <c r="BB182" s="1"/>
      <c r="BC182" s="1"/>
    </row>
    <row r="183" spans="1:55" s="78" customFormat="1" ht="15" customHeight="1" x14ac:dyDescent="0.25">
      <c r="A183" s="52" t="s">
        <v>4192</v>
      </c>
      <c r="B183" s="34" t="s">
        <v>59</v>
      </c>
      <c r="C183" s="53">
        <v>2026</v>
      </c>
      <c r="D183" s="53">
        <v>2026</v>
      </c>
      <c r="E183" s="54" t="s">
        <v>3045</v>
      </c>
      <c r="F183" s="55" t="s">
        <v>50</v>
      </c>
      <c r="G183" s="55" t="s">
        <v>50</v>
      </c>
      <c r="H183" s="45" t="s">
        <v>2982</v>
      </c>
      <c r="I183" s="61" t="s">
        <v>78</v>
      </c>
      <c r="J183" s="56"/>
      <c r="K183" s="45" t="s">
        <v>180</v>
      </c>
      <c r="L183" s="55" t="str">
        <f>IF(K183="Mine or Quarry","Mine","")</f>
        <v/>
      </c>
      <c r="M183" s="55"/>
      <c r="N183" s="55" t="s">
        <v>110</v>
      </c>
      <c r="O183" s="55"/>
      <c r="P183" s="55" t="s">
        <v>182</v>
      </c>
      <c r="Q183" s="55" t="s">
        <v>5353</v>
      </c>
      <c r="R183" s="55"/>
      <c r="S183" s="56" t="s">
        <v>81</v>
      </c>
      <c r="T183" s="55" t="str">
        <f t="shared" si="3"/>
        <v>N</v>
      </c>
      <c r="U183" s="57">
        <v>340</v>
      </c>
      <c r="V183" s="57" t="s">
        <v>101</v>
      </c>
      <c r="W183" s="55"/>
      <c r="X183" s="54" t="s">
        <v>4192</v>
      </c>
      <c r="Y183" s="52"/>
      <c r="Z183" s="3" t="s">
        <v>2005</v>
      </c>
      <c r="AA183" s="3" t="s">
        <v>617</v>
      </c>
      <c r="AB183" s="3"/>
      <c r="AC183" s="3"/>
      <c r="AD183" s="3" t="s">
        <v>62</v>
      </c>
      <c r="AE183" s="3" t="s">
        <v>251</v>
      </c>
      <c r="AF183" s="3"/>
      <c r="AG183" s="3" t="s">
        <v>618</v>
      </c>
      <c r="AH183" s="58">
        <v>100</v>
      </c>
      <c r="AI183" s="3"/>
      <c r="AJ183" s="53"/>
      <c r="AK183" s="3"/>
      <c r="AL183" s="3"/>
      <c r="AM183" s="3"/>
      <c r="AN183" s="3"/>
      <c r="AO183" s="3"/>
      <c r="AP183" s="3"/>
      <c r="AQ183" s="3"/>
      <c r="AR183" s="3"/>
      <c r="AS183" s="3"/>
      <c r="AT183" s="3"/>
      <c r="AU183" s="3"/>
      <c r="AV183" s="3"/>
      <c r="AW183" s="3"/>
      <c r="AX183" s="3"/>
      <c r="AY183" s="3"/>
      <c r="AZ183" s="4" t="s">
        <v>616</v>
      </c>
      <c r="BA183" s="3"/>
      <c r="BB183" s="1"/>
      <c r="BC183" s="1"/>
    </row>
    <row r="184" spans="1:55" s="78" customFormat="1" ht="15" customHeight="1" x14ac:dyDescent="0.25">
      <c r="A184" s="52" t="s">
        <v>4193</v>
      </c>
      <c r="B184" s="34" t="s">
        <v>59</v>
      </c>
      <c r="C184" s="53">
        <v>2026</v>
      </c>
      <c r="D184" s="53">
        <v>2026</v>
      </c>
      <c r="E184" s="54" t="s">
        <v>3046</v>
      </c>
      <c r="F184" s="55" t="s">
        <v>50</v>
      </c>
      <c r="G184" s="55" t="s">
        <v>50</v>
      </c>
      <c r="H184" s="45" t="s">
        <v>620</v>
      </c>
      <c r="I184" s="56" t="s">
        <v>78</v>
      </c>
      <c r="J184" s="56"/>
      <c r="K184" s="55" t="s">
        <v>582</v>
      </c>
      <c r="L184" s="55" t="s">
        <v>88</v>
      </c>
      <c r="M184" s="55"/>
      <c r="N184" s="55" t="s">
        <v>110</v>
      </c>
      <c r="O184" s="55"/>
      <c r="P184" s="61" t="s">
        <v>583</v>
      </c>
      <c r="Q184" s="61" t="s">
        <v>57</v>
      </c>
      <c r="R184" s="55"/>
      <c r="S184" s="56" t="s">
        <v>58</v>
      </c>
      <c r="T184" s="55" t="str">
        <f t="shared" si="3"/>
        <v>N</v>
      </c>
      <c r="U184" s="72">
        <v>19442.782999999999</v>
      </c>
      <c r="V184" s="57" t="s">
        <v>101</v>
      </c>
      <c r="W184" s="55" t="s">
        <v>2319</v>
      </c>
      <c r="X184" s="54" t="s">
        <v>4193</v>
      </c>
      <c r="Y184" s="52"/>
      <c r="Z184" s="3" t="s">
        <v>154</v>
      </c>
      <c r="AA184" s="3" t="s">
        <v>621</v>
      </c>
      <c r="AB184" s="3"/>
      <c r="AC184" s="3"/>
      <c r="AD184" s="3" t="s">
        <v>62</v>
      </c>
      <c r="AE184" s="3" t="s">
        <v>336</v>
      </c>
      <c r="AF184" s="3" t="s">
        <v>622</v>
      </c>
      <c r="AG184" s="3" t="s">
        <v>622</v>
      </c>
      <c r="AH184" s="53">
        <v>100</v>
      </c>
      <c r="AI184" s="2"/>
      <c r="AJ184" s="53"/>
      <c r="AK184" s="3"/>
      <c r="AL184" s="53"/>
      <c r="AM184" s="3"/>
      <c r="AN184" s="53"/>
      <c r="AO184" s="3"/>
      <c r="AP184" s="53"/>
      <c r="AQ184" s="3"/>
      <c r="AR184" s="53"/>
      <c r="AS184" s="3"/>
      <c r="AT184" s="53"/>
      <c r="AU184" s="3"/>
      <c r="AV184" s="53"/>
      <c r="AW184" s="3"/>
      <c r="AX184" s="53"/>
      <c r="AY184" s="3"/>
      <c r="AZ184" s="4" t="s">
        <v>619</v>
      </c>
      <c r="BA184" s="4"/>
      <c r="BB184" s="1"/>
      <c r="BC184" s="1"/>
    </row>
    <row r="185" spans="1:55" s="78" customFormat="1" ht="15" customHeight="1" x14ac:dyDescent="0.25">
      <c r="A185" s="52" t="s">
        <v>4194</v>
      </c>
      <c r="B185" s="34" t="s">
        <v>59</v>
      </c>
      <c r="C185" s="53">
        <v>2026</v>
      </c>
      <c r="D185" s="53">
        <v>2026</v>
      </c>
      <c r="E185" s="54" t="s">
        <v>3046</v>
      </c>
      <c r="F185" s="55" t="s">
        <v>50</v>
      </c>
      <c r="G185" s="55" t="s">
        <v>50</v>
      </c>
      <c r="H185" s="45" t="s">
        <v>620</v>
      </c>
      <c r="I185" s="56" t="s">
        <v>78</v>
      </c>
      <c r="J185" s="56"/>
      <c r="K185" s="55" t="s">
        <v>313</v>
      </c>
      <c r="L185" s="55" t="s">
        <v>88</v>
      </c>
      <c r="M185" s="55"/>
      <c r="N185" s="55" t="s">
        <v>110</v>
      </c>
      <c r="O185" s="55"/>
      <c r="P185" s="61" t="s">
        <v>314</v>
      </c>
      <c r="Q185" s="61" t="s">
        <v>57</v>
      </c>
      <c r="R185" s="55"/>
      <c r="S185" s="56" t="s">
        <v>58</v>
      </c>
      <c r="T185" s="55" t="str">
        <f t="shared" si="3"/>
        <v>N</v>
      </c>
      <c r="U185" s="72">
        <v>48321.195</v>
      </c>
      <c r="V185" s="57" t="s">
        <v>101</v>
      </c>
      <c r="W185" s="55" t="s">
        <v>2319</v>
      </c>
      <c r="X185" s="54" t="s">
        <v>4194</v>
      </c>
      <c r="Y185" s="52"/>
      <c r="Z185" s="3" t="s">
        <v>154</v>
      </c>
      <c r="AA185" s="3" t="s">
        <v>621</v>
      </c>
      <c r="AB185" s="3"/>
      <c r="AC185" s="3"/>
      <c r="AD185" s="3" t="s">
        <v>62</v>
      </c>
      <c r="AE185" s="3" t="s">
        <v>336</v>
      </c>
      <c r="AF185" s="3" t="s">
        <v>622</v>
      </c>
      <c r="AG185" s="3" t="s">
        <v>622</v>
      </c>
      <c r="AH185" s="58">
        <v>100</v>
      </c>
      <c r="AI185" s="3"/>
      <c r="AJ185" s="3"/>
      <c r="AK185" s="3"/>
      <c r="AL185" s="3"/>
      <c r="AM185" s="3"/>
      <c r="AN185" s="3"/>
      <c r="AO185" s="3"/>
      <c r="AP185" s="3"/>
      <c r="AQ185" s="3"/>
      <c r="AR185" s="3"/>
      <c r="AS185" s="3"/>
      <c r="AT185" s="3"/>
      <c r="AU185" s="3"/>
      <c r="AV185" s="3"/>
      <c r="AW185" s="3"/>
      <c r="AX185" s="3"/>
      <c r="AY185" s="3"/>
      <c r="AZ185" s="4" t="s">
        <v>619</v>
      </c>
      <c r="BA185" s="4"/>
      <c r="BB185" s="1"/>
      <c r="BC185" s="1"/>
    </row>
    <row r="186" spans="1:55" s="78" customFormat="1" ht="14.65" customHeight="1" x14ac:dyDescent="0.25">
      <c r="A186" s="52" t="s">
        <v>4195</v>
      </c>
      <c r="B186" s="34" t="s">
        <v>59</v>
      </c>
      <c r="C186" s="53">
        <v>2026</v>
      </c>
      <c r="D186" s="53">
        <v>2026</v>
      </c>
      <c r="E186" s="54" t="s">
        <v>3046</v>
      </c>
      <c r="F186" s="55" t="s">
        <v>50</v>
      </c>
      <c r="G186" s="55" t="s">
        <v>50</v>
      </c>
      <c r="H186" s="45" t="s">
        <v>620</v>
      </c>
      <c r="I186" s="56" t="s">
        <v>78</v>
      </c>
      <c r="J186" s="56"/>
      <c r="K186" s="55" t="s">
        <v>74</v>
      </c>
      <c r="L186" s="55" t="s">
        <v>88</v>
      </c>
      <c r="M186" s="55"/>
      <c r="N186" s="55" t="s">
        <v>110</v>
      </c>
      <c r="O186" s="55"/>
      <c r="P186" s="55" t="s">
        <v>75</v>
      </c>
      <c r="Q186" s="56" t="s">
        <v>57</v>
      </c>
      <c r="R186" s="55"/>
      <c r="S186" s="56" t="s">
        <v>58</v>
      </c>
      <c r="T186" s="55" t="str">
        <f t="shared" si="3"/>
        <v>N</v>
      </c>
      <c r="U186" s="57">
        <v>16.952999999999999</v>
      </c>
      <c r="V186" s="57" t="s">
        <v>101</v>
      </c>
      <c r="W186" s="55" t="s">
        <v>2319</v>
      </c>
      <c r="X186" s="54" t="s">
        <v>4195</v>
      </c>
      <c r="Y186" s="52"/>
      <c r="Z186" s="3" t="s">
        <v>154</v>
      </c>
      <c r="AA186" s="3" t="s">
        <v>621</v>
      </c>
      <c r="AB186" s="3"/>
      <c r="AC186" s="3"/>
      <c r="AD186" s="3" t="s">
        <v>62</v>
      </c>
      <c r="AE186" s="3" t="s">
        <v>336</v>
      </c>
      <c r="AF186" s="3" t="s">
        <v>622</v>
      </c>
      <c r="AG186" s="3" t="s">
        <v>622</v>
      </c>
      <c r="AH186" s="53">
        <v>100</v>
      </c>
      <c r="AI186" s="2"/>
      <c r="AJ186" s="53"/>
      <c r="AK186" s="3"/>
      <c r="AL186" s="53"/>
      <c r="AM186" s="3"/>
      <c r="AN186" s="53"/>
      <c r="AO186" s="3"/>
      <c r="AP186" s="53"/>
      <c r="AQ186" s="3"/>
      <c r="AR186" s="53"/>
      <c r="AS186" s="3"/>
      <c r="AT186" s="53"/>
      <c r="AU186" s="3"/>
      <c r="AV186" s="53"/>
      <c r="AW186" s="3"/>
      <c r="AX186" s="53"/>
      <c r="AY186" s="3"/>
      <c r="AZ186" s="4" t="s">
        <v>619</v>
      </c>
      <c r="BA186" s="4"/>
      <c r="BB186" s="1"/>
      <c r="BC186" s="1"/>
    </row>
    <row r="187" spans="1:55" s="78" customFormat="1" ht="15" customHeight="1" x14ac:dyDescent="0.25">
      <c r="A187" s="52" t="s">
        <v>4196</v>
      </c>
      <c r="B187" s="34" t="s">
        <v>59</v>
      </c>
      <c r="C187" s="53">
        <v>2026</v>
      </c>
      <c r="D187" s="53">
        <v>2026</v>
      </c>
      <c r="E187" s="54" t="s">
        <v>3047</v>
      </c>
      <c r="F187" s="55" t="s">
        <v>50</v>
      </c>
      <c r="G187" s="55" t="s">
        <v>50</v>
      </c>
      <c r="H187" s="45" t="s">
        <v>624</v>
      </c>
      <c r="I187" s="56" t="s">
        <v>52</v>
      </c>
      <c r="J187" s="56"/>
      <c r="K187" s="45" t="s">
        <v>180</v>
      </c>
      <c r="L187" s="55" t="str">
        <f>IF(K187="Mine or Quarry","Mine","")</f>
        <v/>
      </c>
      <c r="M187" s="55"/>
      <c r="N187" s="55" t="s">
        <v>110</v>
      </c>
      <c r="O187" s="55" t="s">
        <v>188</v>
      </c>
      <c r="P187" s="55" t="s">
        <v>182</v>
      </c>
      <c r="Q187" s="55" t="s">
        <v>5353</v>
      </c>
      <c r="R187" s="55"/>
      <c r="S187" s="56" t="s">
        <v>81</v>
      </c>
      <c r="T187" s="55" t="str">
        <f t="shared" si="3"/>
        <v>N</v>
      </c>
      <c r="U187" s="57">
        <v>430</v>
      </c>
      <c r="V187" s="57" t="s">
        <v>101</v>
      </c>
      <c r="W187" s="55" t="s">
        <v>2319</v>
      </c>
      <c r="X187" s="54" t="s">
        <v>4196</v>
      </c>
      <c r="Y187" s="52"/>
      <c r="Z187" s="3" t="s">
        <v>154</v>
      </c>
      <c r="AA187" s="3" t="s">
        <v>625</v>
      </c>
      <c r="AB187" s="3"/>
      <c r="AC187" s="3"/>
      <c r="AD187" s="3" t="s">
        <v>62</v>
      </c>
      <c r="AE187" s="3" t="s">
        <v>474</v>
      </c>
      <c r="AF187" s="3"/>
      <c r="AG187" s="3" t="s">
        <v>626</v>
      </c>
      <c r="AH187" s="58">
        <v>100</v>
      </c>
      <c r="AI187" s="3"/>
      <c r="AJ187" s="53"/>
      <c r="AK187" s="3"/>
      <c r="AL187" s="3"/>
      <c r="AM187" s="3"/>
      <c r="AN187" s="3"/>
      <c r="AO187" s="3"/>
      <c r="AP187" s="3"/>
      <c r="AQ187" s="3"/>
      <c r="AR187" s="3"/>
      <c r="AS187" s="3"/>
      <c r="AT187" s="3"/>
      <c r="AU187" s="3"/>
      <c r="AV187" s="3"/>
      <c r="AW187" s="3"/>
      <c r="AX187" s="3"/>
      <c r="AY187" s="3"/>
      <c r="AZ187" s="4" t="s">
        <v>623</v>
      </c>
      <c r="BA187" s="3"/>
      <c r="BB187" s="1"/>
      <c r="BC187" s="1"/>
    </row>
    <row r="188" spans="1:55" s="78" customFormat="1" ht="15" customHeight="1" x14ac:dyDescent="0.25">
      <c r="A188" s="52" t="s">
        <v>4197</v>
      </c>
      <c r="B188" s="34" t="s">
        <v>59</v>
      </c>
      <c r="C188" s="53">
        <v>2026</v>
      </c>
      <c r="D188" s="53">
        <v>2026</v>
      </c>
      <c r="E188" s="54" t="s">
        <v>3048</v>
      </c>
      <c r="F188" s="55" t="s">
        <v>50</v>
      </c>
      <c r="G188" s="55" t="s">
        <v>50</v>
      </c>
      <c r="H188" s="45" t="s">
        <v>628</v>
      </c>
      <c r="I188" s="61" t="s">
        <v>78</v>
      </c>
      <c r="J188" s="56"/>
      <c r="K188" s="45" t="s">
        <v>180</v>
      </c>
      <c r="L188" s="55" t="str">
        <f>IF(K188="Mine or Quarry","Mine","")</f>
        <v/>
      </c>
      <c r="M188" s="55"/>
      <c r="N188" s="55" t="s">
        <v>181</v>
      </c>
      <c r="O188" s="55" t="s">
        <v>629</v>
      </c>
      <c r="P188" s="55" t="s">
        <v>182</v>
      </c>
      <c r="Q188" s="55" t="s">
        <v>5353</v>
      </c>
      <c r="R188" s="55"/>
      <c r="S188" s="56" t="s">
        <v>81</v>
      </c>
      <c r="T188" s="55" t="str">
        <f t="shared" si="3"/>
        <v>N</v>
      </c>
      <c r="U188" s="57">
        <v>1800</v>
      </c>
      <c r="V188" s="57" t="s">
        <v>101</v>
      </c>
      <c r="W188" s="55" t="s">
        <v>2797</v>
      </c>
      <c r="X188" s="54" t="s">
        <v>5331</v>
      </c>
      <c r="Y188" s="53"/>
      <c r="Z188" s="3" t="s">
        <v>61</v>
      </c>
      <c r="AA188" s="3" t="s">
        <v>630</v>
      </c>
      <c r="AB188" s="3"/>
      <c r="AC188" s="3"/>
      <c r="AD188" s="3" t="s">
        <v>62</v>
      </c>
      <c r="AE188" s="3" t="s">
        <v>184</v>
      </c>
      <c r="AF188" s="3"/>
      <c r="AG188" s="3" t="s">
        <v>450</v>
      </c>
      <c r="AH188" s="58">
        <v>100</v>
      </c>
      <c r="AI188" s="3"/>
      <c r="AJ188" s="53"/>
      <c r="AK188" s="3"/>
      <c r="AL188" s="3"/>
      <c r="AM188" s="3"/>
      <c r="AN188" s="3"/>
      <c r="AO188" s="3"/>
      <c r="AP188" s="3"/>
      <c r="AQ188" s="3"/>
      <c r="AR188" s="3"/>
      <c r="AS188" s="3"/>
      <c r="AT188" s="3"/>
      <c r="AU188" s="3"/>
      <c r="AV188" s="3"/>
      <c r="AW188" s="3"/>
      <c r="AX188" s="3"/>
      <c r="AY188" s="3"/>
      <c r="AZ188" s="4" t="s">
        <v>627</v>
      </c>
      <c r="BA188" s="3"/>
      <c r="BB188" s="1"/>
      <c r="BC188" s="1"/>
    </row>
    <row r="189" spans="1:55" s="78" customFormat="1" ht="14.45" customHeight="1" x14ac:dyDescent="0.25">
      <c r="A189" s="52" t="s">
        <v>4198</v>
      </c>
      <c r="B189" s="34" t="s">
        <v>59</v>
      </c>
      <c r="C189" s="53">
        <v>2026</v>
      </c>
      <c r="D189" s="53">
        <v>2026</v>
      </c>
      <c r="E189" s="54" t="s">
        <v>3049</v>
      </c>
      <c r="F189" s="55" t="s">
        <v>50</v>
      </c>
      <c r="G189" s="55" t="s">
        <v>50</v>
      </c>
      <c r="H189" s="45" t="s">
        <v>632</v>
      </c>
      <c r="I189" s="56" t="s">
        <v>52</v>
      </c>
      <c r="J189" s="56"/>
      <c r="K189" s="55" t="s">
        <v>633</v>
      </c>
      <c r="L189" s="55"/>
      <c r="M189" s="55"/>
      <c r="N189" s="56" t="s">
        <v>418</v>
      </c>
      <c r="O189" s="56"/>
      <c r="P189" s="56" t="s">
        <v>89</v>
      </c>
      <c r="Q189" s="61" t="s">
        <v>89</v>
      </c>
      <c r="R189" s="55"/>
      <c r="S189" s="56" t="s">
        <v>81</v>
      </c>
      <c r="T189" s="55" t="s">
        <v>81</v>
      </c>
      <c r="U189" s="57">
        <v>1900000</v>
      </c>
      <c r="V189" s="57" t="s">
        <v>101</v>
      </c>
      <c r="W189" s="55" t="s">
        <v>2319</v>
      </c>
      <c r="X189" s="54" t="s">
        <v>4198</v>
      </c>
      <c r="Y189" s="52"/>
      <c r="Z189" s="2" t="s">
        <v>61</v>
      </c>
      <c r="AA189" s="1" t="s">
        <v>634</v>
      </c>
      <c r="AB189" s="1"/>
      <c r="AC189" s="1"/>
      <c r="AD189" s="3" t="s">
        <v>62</v>
      </c>
      <c r="AE189" s="2" t="s">
        <v>221</v>
      </c>
      <c r="AF189" s="2"/>
      <c r="AG189" s="1" t="s">
        <v>635</v>
      </c>
      <c r="AH189" s="2">
        <v>100</v>
      </c>
      <c r="AI189" s="1"/>
      <c r="AJ189" s="1"/>
      <c r="AK189" s="1"/>
      <c r="AL189" s="1"/>
      <c r="AM189" s="1"/>
      <c r="AN189" s="1"/>
      <c r="AO189" s="1"/>
      <c r="AP189" s="1"/>
      <c r="AQ189" s="1"/>
      <c r="AR189" s="1"/>
      <c r="AS189" s="1"/>
      <c r="AT189" s="1"/>
      <c r="AU189" s="1"/>
      <c r="AV189" s="1"/>
      <c r="AW189" s="1"/>
      <c r="AX189" s="1"/>
      <c r="AY189" s="1"/>
      <c r="AZ189" s="4" t="s">
        <v>631</v>
      </c>
      <c r="BA189" s="1"/>
      <c r="BB189" s="1"/>
      <c r="BC189" s="1"/>
    </row>
    <row r="190" spans="1:55" s="78" customFormat="1" ht="15" customHeight="1" x14ac:dyDescent="0.25">
      <c r="A190" s="52" t="s">
        <v>4199</v>
      </c>
      <c r="B190" s="34" t="s">
        <v>59</v>
      </c>
      <c r="C190" s="53">
        <v>2026</v>
      </c>
      <c r="D190" s="53">
        <v>2026</v>
      </c>
      <c r="E190" s="54" t="s">
        <v>3050</v>
      </c>
      <c r="F190" s="55" t="s">
        <v>50</v>
      </c>
      <c r="G190" s="55" t="s">
        <v>50</v>
      </c>
      <c r="H190" s="45" t="s">
        <v>636</v>
      </c>
      <c r="I190" s="45" t="s">
        <v>52</v>
      </c>
      <c r="J190" s="56" t="s">
        <v>165</v>
      </c>
      <c r="K190" s="56" t="s">
        <v>166</v>
      </c>
      <c r="L190" s="55"/>
      <c r="M190" s="55"/>
      <c r="N190" s="56" t="s">
        <v>167</v>
      </c>
      <c r="O190" s="56"/>
      <c r="P190" s="56" t="s">
        <v>89</v>
      </c>
      <c r="Q190" s="56" t="s">
        <v>89</v>
      </c>
      <c r="R190" s="55"/>
      <c r="S190" s="56" t="s">
        <v>81</v>
      </c>
      <c r="T190" s="55" t="s">
        <v>81</v>
      </c>
      <c r="U190" s="57">
        <v>-999</v>
      </c>
      <c r="V190" s="57" t="s">
        <v>59</v>
      </c>
      <c r="W190" s="55" t="s">
        <v>2319</v>
      </c>
      <c r="X190" s="54" t="s">
        <v>4199</v>
      </c>
      <c r="Y190" s="52"/>
      <c r="Z190" s="1" t="s">
        <v>61</v>
      </c>
      <c r="AA190" s="1" t="s">
        <v>637</v>
      </c>
      <c r="AB190" s="1"/>
      <c r="AC190" s="1"/>
      <c r="AD190" s="3" t="s">
        <v>62</v>
      </c>
      <c r="AE190" s="3" t="s">
        <v>221</v>
      </c>
      <c r="AF190" s="3" t="s">
        <v>169</v>
      </c>
      <c r="AG190" s="3" t="s">
        <v>170</v>
      </c>
      <c r="AH190" s="58">
        <v>100</v>
      </c>
      <c r="AI190" s="1"/>
      <c r="AJ190" s="1"/>
      <c r="AK190" s="1"/>
      <c r="AL190" s="1"/>
      <c r="AM190" s="1"/>
      <c r="AN190" s="1"/>
      <c r="AO190" s="1"/>
      <c r="AP190" s="1"/>
      <c r="AQ190" s="1"/>
      <c r="AR190" s="1"/>
      <c r="AS190" s="1"/>
      <c r="AT190" s="1"/>
      <c r="AU190" s="1"/>
      <c r="AV190" s="1"/>
      <c r="AW190" s="1"/>
      <c r="AX190" s="1"/>
      <c r="AY190" s="1"/>
      <c r="AZ190" s="4" t="s">
        <v>163</v>
      </c>
      <c r="BA190" s="1"/>
      <c r="BB190" s="1"/>
      <c r="BC190" s="1"/>
    </row>
    <row r="191" spans="1:55" s="78" customFormat="1" ht="15" customHeight="1" x14ac:dyDescent="0.25">
      <c r="A191" s="52" t="s">
        <v>4200</v>
      </c>
      <c r="B191" s="34" t="s">
        <v>59</v>
      </c>
      <c r="C191" s="53">
        <v>2026</v>
      </c>
      <c r="D191" s="53">
        <v>2026</v>
      </c>
      <c r="E191" s="54" t="s">
        <v>3051</v>
      </c>
      <c r="F191" s="55" t="s">
        <v>50</v>
      </c>
      <c r="G191" s="55" t="s">
        <v>50</v>
      </c>
      <c r="H191" s="45" t="s">
        <v>639</v>
      </c>
      <c r="I191" s="45" t="s">
        <v>52</v>
      </c>
      <c r="J191" s="56"/>
      <c r="K191" s="55" t="s">
        <v>210</v>
      </c>
      <c r="L191" s="55" t="s">
        <v>54</v>
      </c>
      <c r="M191" s="55" t="s">
        <v>211</v>
      </c>
      <c r="N191" s="55" t="s">
        <v>212</v>
      </c>
      <c r="O191" s="55"/>
      <c r="P191" s="55" t="s">
        <v>89</v>
      </c>
      <c r="Q191" s="55" t="s">
        <v>89</v>
      </c>
      <c r="R191" s="55"/>
      <c r="S191" s="56" t="s">
        <v>81</v>
      </c>
      <c r="T191" s="55" t="s">
        <v>81</v>
      </c>
      <c r="U191" s="57">
        <v>597000</v>
      </c>
      <c r="V191" s="57" t="s">
        <v>101</v>
      </c>
      <c r="W191" s="55" t="s">
        <v>2319</v>
      </c>
      <c r="X191" s="54" t="s">
        <v>4200</v>
      </c>
      <c r="Y191" s="52"/>
      <c r="Z191" s="3" t="s">
        <v>61</v>
      </c>
      <c r="AA191" s="1" t="s">
        <v>640</v>
      </c>
      <c r="AB191" s="1"/>
      <c r="AC191" s="1"/>
      <c r="AD191" s="3" t="s">
        <v>62</v>
      </c>
      <c r="AE191" s="3" t="s">
        <v>206</v>
      </c>
      <c r="AF191" s="3"/>
      <c r="AG191" s="1" t="s">
        <v>531</v>
      </c>
      <c r="AH191" s="2">
        <v>100</v>
      </c>
      <c r="AI191" s="1"/>
      <c r="AJ191" s="2"/>
      <c r="AK191" s="3"/>
      <c r="AL191" s="3"/>
      <c r="AM191" s="3"/>
      <c r="AN191" s="3"/>
      <c r="AO191" s="3"/>
      <c r="AP191" s="3"/>
      <c r="AQ191" s="3"/>
      <c r="AR191" s="3"/>
      <c r="AS191" s="3"/>
      <c r="AT191" s="3"/>
      <c r="AU191" s="3"/>
      <c r="AV191" s="3"/>
      <c r="AW191" s="3"/>
      <c r="AX191" s="3"/>
      <c r="AY191" s="3"/>
      <c r="AZ191" s="4" t="s">
        <v>638</v>
      </c>
      <c r="BA191" s="3"/>
      <c r="BB191" s="1"/>
      <c r="BC191" s="1"/>
    </row>
    <row r="192" spans="1:55" s="78" customFormat="1" ht="15" customHeight="1" x14ac:dyDescent="0.25">
      <c r="A192" s="52" t="s">
        <v>4201</v>
      </c>
      <c r="B192" s="34" t="s">
        <v>59</v>
      </c>
      <c r="C192" s="53">
        <v>2026</v>
      </c>
      <c r="D192" s="53">
        <v>2026</v>
      </c>
      <c r="E192" s="54" t="s">
        <v>3052</v>
      </c>
      <c r="F192" s="55" t="s">
        <v>50</v>
      </c>
      <c r="G192" s="55" t="s">
        <v>50</v>
      </c>
      <c r="H192" s="45" t="s">
        <v>642</v>
      </c>
      <c r="I192" s="45" t="s">
        <v>52</v>
      </c>
      <c r="J192" s="56" t="s">
        <v>316</v>
      </c>
      <c r="K192" s="55" t="s">
        <v>643</v>
      </c>
      <c r="L192" s="55" t="s">
        <v>54</v>
      </c>
      <c r="M192" s="55"/>
      <c r="N192" s="55"/>
      <c r="O192" s="55"/>
      <c r="P192" s="55" t="s">
        <v>318</v>
      </c>
      <c r="Q192" s="55" t="s">
        <v>57</v>
      </c>
      <c r="R192" s="55"/>
      <c r="S192" s="56" t="s">
        <v>81</v>
      </c>
      <c r="T192" s="55" t="str">
        <f>IF(ISNUMBER(SEARCH(",",N192)),"Y","N")</f>
        <v>N</v>
      </c>
      <c r="U192" s="57">
        <v>500000</v>
      </c>
      <c r="V192" s="57" t="s">
        <v>101</v>
      </c>
      <c r="W192" s="55" t="s">
        <v>2319</v>
      </c>
      <c r="X192" s="54" t="s">
        <v>4201</v>
      </c>
      <c r="Y192" s="52"/>
      <c r="Z192" s="3" t="s">
        <v>2005</v>
      </c>
      <c r="AA192" s="3" t="s">
        <v>644</v>
      </c>
      <c r="AB192" s="3"/>
      <c r="AC192" s="3"/>
      <c r="AD192" s="3" t="s">
        <v>62</v>
      </c>
      <c r="AE192" s="3" t="s">
        <v>206</v>
      </c>
      <c r="AF192" s="3"/>
      <c r="AG192" s="3" t="s">
        <v>645</v>
      </c>
      <c r="AH192" s="58">
        <v>100</v>
      </c>
      <c r="AI192" s="3"/>
      <c r="AJ192" s="3"/>
      <c r="AK192" s="3"/>
      <c r="AL192" s="3"/>
      <c r="AM192" s="3"/>
      <c r="AN192" s="3"/>
      <c r="AO192" s="3"/>
      <c r="AP192" s="3"/>
      <c r="AQ192" s="3"/>
      <c r="AR192" s="3"/>
      <c r="AS192" s="3"/>
      <c r="AT192" s="3"/>
      <c r="AU192" s="3"/>
      <c r="AV192" s="3"/>
      <c r="AW192" s="3"/>
      <c r="AX192" s="3"/>
      <c r="AY192" s="3"/>
      <c r="AZ192" s="4" t="s">
        <v>641</v>
      </c>
      <c r="BA192" s="3"/>
      <c r="BB192" s="1"/>
      <c r="BC192" s="1"/>
    </row>
    <row r="193" spans="1:55" s="78" customFormat="1" ht="15" customHeight="1" x14ac:dyDescent="0.25">
      <c r="A193" s="52" t="s">
        <v>4202</v>
      </c>
      <c r="B193" s="34" t="s">
        <v>59</v>
      </c>
      <c r="C193" s="53">
        <v>2026</v>
      </c>
      <c r="D193" s="53">
        <v>2026</v>
      </c>
      <c r="E193" s="54" t="s">
        <v>3053</v>
      </c>
      <c r="F193" s="55" t="s">
        <v>50</v>
      </c>
      <c r="G193" s="55" t="s">
        <v>50</v>
      </c>
      <c r="H193" s="45" t="s">
        <v>646</v>
      </c>
      <c r="I193" s="56" t="s">
        <v>52</v>
      </c>
      <c r="J193" s="56"/>
      <c r="K193" s="55" t="s">
        <v>173</v>
      </c>
      <c r="L193" s="55"/>
      <c r="M193" s="55"/>
      <c r="N193" s="56" t="s">
        <v>55</v>
      </c>
      <c r="O193" s="56"/>
      <c r="P193" s="55" t="s">
        <v>444</v>
      </c>
      <c r="Q193" s="55" t="s">
        <v>57</v>
      </c>
      <c r="R193" s="55"/>
      <c r="S193" s="56" t="s">
        <v>81</v>
      </c>
      <c r="T193" s="55" t="s">
        <v>81</v>
      </c>
      <c r="U193" s="57">
        <v>36000</v>
      </c>
      <c r="V193" s="57" t="s">
        <v>101</v>
      </c>
      <c r="W193" s="55" t="s">
        <v>2319</v>
      </c>
      <c r="X193" s="54" t="s">
        <v>4202</v>
      </c>
      <c r="Y193" s="52"/>
      <c r="Z193" s="2" t="s">
        <v>61</v>
      </c>
      <c r="AA193" s="1" t="s">
        <v>647</v>
      </c>
      <c r="AB193" s="1"/>
      <c r="AC193" s="1"/>
      <c r="AD193" s="3" t="s">
        <v>62</v>
      </c>
      <c r="AE193" s="2" t="s">
        <v>648</v>
      </c>
      <c r="AF193" s="2"/>
      <c r="AG193" s="1" t="s">
        <v>649</v>
      </c>
      <c r="AH193" s="59">
        <v>80</v>
      </c>
      <c r="AI193" s="1" t="s">
        <v>650</v>
      </c>
      <c r="AJ193" s="2">
        <v>20</v>
      </c>
      <c r="AK193" s="1"/>
      <c r="AL193" s="60"/>
      <c r="AM193" s="1"/>
      <c r="AN193" s="60"/>
      <c r="AO193" s="1"/>
      <c r="AP193" s="60"/>
      <c r="AQ193" s="1"/>
      <c r="AR193" s="60"/>
      <c r="AS193" s="1"/>
      <c r="AT193" s="60"/>
      <c r="AU193" s="1"/>
      <c r="AV193" s="60"/>
      <c r="AW193" s="1"/>
      <c r="AX193" s="60"/>
      <c r="AY193" s="1"/>
      <c r="AZ193" s="4" t="s">
        <v>3831</v>
      </c>
      <c r="BA193" s="1" t="s">
        <v>3832</v>
      </c>
      <c r="BB193" s="1"/>
      <c r="BC193" s="1"/>
    </row>
    <row r="194" spans="1:55" s="78" customFormat="1" ht="15" customHeight="1" x14ac:dyDescent="0.25">
      <c r="A194" s="52" t="s">
        <v>4203</v>
      </c>
      <c r="B194" s="34" t="s">
        <v>59</v>
      </c>
      <c r="C194" s="53">
        <v>2026</v>
      </c>
      <c r="D194" s="53">
        <v>2026</v>
      </c>
      <c r="E194" s="54" t="s">
        <v>3054</v>
      </c>
      <c r="F194" s="55" t="s">
        <v>50</v>
      </c>
      <c r="G194" s="55" t="s">
        <v>50</v>
      </c>
      <c r="H194" s="45" t="s">
        <v>651</v>
      </c>
      <c r="I194" s="45" t="s">
        <v>52</v>
      </c>
      <c r="J194" s="56" t="s">
        <v>165</v>
      </c>
      <c r="K194" s="55" t="s">
        <v>652</v>
      </c>
      <c r="L194" s="55"/>
      <c r="M194" s="55"/>
      <c r="N194" s="56" t="s">
        <v>653</v>
      </c>
      <c r="O194" s="56"/>
      <c r="P194" s="56" t="s">
        <v>598</v>
      </c>
      <c r="Q194" s="55" t="s">
        <v>57</v>
      </c>
      <c r="R194" s="55"/>
      <c r="S194" s="56" t="s">
        <v>81</v>
      </c>
      <c r="T194" s="55" t="s">
        <v>81</v>
      </c>
      <c r="U194" s="57">
        <v>300000</v>
      </c>
      <c r="V194" s="57" t="s">
        <v>101</v>
      </c>
      <c r="W194" s="55" t="s">
        <v>2319</v>
      </c>
      <c r="X194" s="54" t="s">
        <v>4203</v>
      </c>
      <c r="Y194" s="52"/>
      <c r="Z194" s="1" t="s">
        <v>61</v>
      </c>
      <c r="AA194" s="1" t="s">
        <v>654</v>
      </c>
      <c r="AB194" s="1"/>
      <c r="AC194" s="1"/>
      <c r="AD194" s="3" t="s">
        <v>62</v>
      </c>
      <c r="AE194" s="3" t="s">
        <v>221</v>
      </c>
      <c r="AF194" s="3"/>
      <c r="AG194" s="3" t="s">
        <v>655</v>
      </c>
      <c r="AH194" s="58">
        <v>100</v>
      </c>
      <c r="AI194" s="1"/>
      <c r="AJ194" s="1"/>
      <c r="AK194" s="1"/>
      <c r="AL194" s="1"/>
      <c r="AM194" s="1"/>
      <c r="AN194" s="1"/>
      <c r="AO194" s="1"/>
      <c r="AP194" s="1"/>
      <c r="AQ194" s="1"/>
      <c r="AR194" s="1"/>
      <c r="AS194" s="1"/>
      <c r="AT194" s="1"/>
      <c r="AU194" s="1"/>
      <c r="AV194" s="1"/>
      <c r="AW194" s="1"/>
      <c r="AX194" s="1"/>
      <c r="AY194" s="1"/>
      <c r="AZ194" s="4" t="s">
        <v>2597</v>
      </c>
      <c r="BA194" s="1" t="s">
        <v>3833</v>
      </c>
      <c r="BB194" s="1"/>
      <c r="BC194" s="1"/>
    </row>
    <row r="195" spans="1:55" s="78" customFormat="1" ht="15" customHeight="1" x14ac:dyDescent="0.25">
      <c r="A195" s="52" t="s">
        <v>4204</v>
      </c>
      <c r="B195" s="34" t="s">
        <v>59</v>
      </c>
      <c r="C195" s="53">
        <v>2026</v>
      </c>
      <c r="D195" s="53">
        <v>2026</v>
      </c>
      <c r="E195" s="54" t="s">
        <v>3055</v>
      </c>
      <c r="F195" s="55" t="s">
        <v>50</v>
      </c>
      <c r="G195" s="55" t="s">
        <v>50</v>
      </c>
      <c r="H195" s="45" t="s">
        <v>656</v>
      </c>
      <c r="I195" s="45" t="s">
        <v>52</v>
      </c>
      <c r="J195" s="56"/>
      <c r="K195" s="55" t="s">
        <v>442</v>
      </c>
      <c r="L195" s="55"/>
      <c r="M195" s="56"/>
      <c r="N195" s="55" t="s">
        <v>657</v>
      </c>
      <c r="O195" s="55"/>
      <c r="P195" s="55" t="s">
        <v>265</v>
      </c>
      <c r="Q195" s="55" t="s">
        <v>57</v>
      </c>
      <c r="R195" s="55"/>
      <c r="S195" s="56" t="s">
        <v>81</v>
      </c>
      <c r="T195" s="55" t="s">
        <v>58</v>
      </c>
      <c r="U195" s="57">
        <v>-999</v>
      </c>
      <c r="V195" s="57" t="s">
        <v>59</v>
      </c>
      <c r="W195" s="55" t="s">
        <v>2319</v>
      </c>
      <c r="X195" s="54" t="s">
        <v>4204</v>
      </c>
      <c r="Y195" s="52"/>
      <c r="Z195" s="3" t="s">
        <v>61</v>
      </c>
      <c r="AA195" s="3" t="s">
        <v>658</v>
      </c>
      <c r="AB195" s="3"/>
      <c r="AC195" s="3"/>
      <c r="AD195" s="3" t="s">
        <v>62</v>
      </c>
      <c r="AE195" s="3" t="s">
        <v>63</v>
      </c>
      <c r="AF195" s="3"/>
      <c r="AG195" s="3" t="s">
        <v>659</v>
      </c>
      <c r="AH195" s="58">
        <v>100</v>
      </c>
      <c r="AI195" s="3"/>
      <c r="AJ195" s="3"/>
      <c r="AK195" s="3"/>
      <c r="AL195" s="3"/>
      <c r="AM195" s="3"/>
      <c r="AN195" s="3"/>
      <c r="AO195" s="3"/>
      <c r="AP195" s="3"/>
      <c r="AQ195" s="3"/>
      <c r="AR195" s="3"/>
      <c r="AS195" s="3"/>
      <c r="AT195" s="3"/>
      <c r="AU195" s="3"/>
      <c r="AV195" s="3"/>
      <c r="AW195" s="3"/>
      <c r="AX195" s="3"/>
      <c r="AY195" s="3"/>
      <c r="AZ195" s="4" t="s">
        <v>440</v>
      </c>
      <c r="BA195" s="3"/>
      <c r="BB195" s="1"/>
      <c r="BC195" s="1"/>
    </row>
    <row r="196" spans="1:55" s="78" customFormat="1" ht="14.45" customHeight="1" x14ac:dyDescent="0.25">
      <c r="A196" s="52" t="s">
        <v>4205</v>
      </c>
      <c r="B196" s="34" t="s">
        <v>59</v>
      </c>
      <c r="C196" s="53">
        <v>2026</v>
      </c>
      <c r="D196" s="53">
        <v>2026</v>
      </c>
      <c r="E196" s="54" t="s">
        <v>3055</v>
      </c>
      <c r="F196" s="55" t="s">
        <v>50</v>
      </c>
      <c r="G196" s="55" t="s">
        <v>50</v>
      </c>
      <c r="H196" s="45" t="s">
        <v>656</v>
      </c>
      <c r="I196" s="45" t="s">
        <v>52</v>
      </c>
      <c r="J196" s="56"/>
      <c r="K196" s="55" t="s">
        <v>442</v>
      </c>
      <c r="L196" s="55" t="str">
        <f>IF(K196="Mine or Quarry","Mine","")</f>
        <v/>
      </c>
      <c r="M196" s="56"/>
      <c r="N196" s="55" t="s">
        <v>661</v>
      </c>
      <c r="O196" s="55"/>
      <c r="P196" s="55" t="s">
        <v>394</v>
      </c>
      <c r="Q196" s="55" t="s">
        <v>57</v>
      </c>
      <c r="R196" s="55"/>
      <c r="S196" s="56" t="s">
        <v>81</v>
      </c>
      <c r="T196" s="55" t="s">
        <v>58</v>
      </c>
      <c r="U196" s="57">
        <v>18140</v>
      </c>
      <c r="V196" s="57" t="s">
        <v>101</v>
      </c>
      <c r="W196" s="55" t="s">
        <v>106</v>
      </c>
      <c r="X196" s="54" t="s">
        <v>4205</v>
      </c>
      <c r="Y196" s="52"/>
      <c r="Z196" s="3" t="s">
        <v>61</v>
      </c>
      <c r="AA196" s="3" t="s">
        <v>658</v>
      </c>
      <c r="AB196" s="3"/>
      <c r="AC196" s="3"/>
      <c r="AD196" s="3" t="s">
        <v>62</v>
      </c>
      <c r="AE196" s="3" t="s">
        <v>63</v>
      </c>
      <c r="AF196" s="3"/>
      <c r="AG196" s="3" t="s">
        <v>659</v>
      </c>
      <c r="AH196" s="58">
        <v>100</v>
      </c>
      <c r="AI196" s="3"/>
      <c r="AJ196" s="3"/>
      <c r="AK196" s="3"/>
      <c r="AL196" s="3"/>
      <c r="AM196" s="3"/>
      <c r="AN196" s="3"/>
      <c r="AO196" s="3"/>
      <c r="AP196" s="3"/>
      <c r="AQ196" s="3"/>
      <c r="AR196" s="3"/>
      <c r="AS196" s="3"/>
      <c r="AT196" s="3"/>
      <c r="AU196" s="3"/>
      <c r="AV196" s="3"/>
      <c r="AW196" s="3"/>
      <c r="AX196" s="3"/>
      <c r="AY196" s="3"/>
      <c r="AZ196" s="4" t="s">
        <v>660</v>
      </c>
      <c r="BA196" s="3"/>
      <c r="BB196" s="1"/>
      <c r="BC196" s="1"/>
    </row>
    <row r="197" spans="1:55" s="78" customFormat="1" ht="15" customHeight="1" x14ac:dyDescent="0.25">
      <c r="A197" s="52" t="s">
        <v>4206</v>
      </c>
      <c r="B197" s="34" t="s">
        <v>59</v>
      </c>
      <c r="C197" s="53">
        <v>2026</v>
      </c>
      <c r="D197" s="53">
        <v>2026</v>
      </c>
      <c r="E197" s="54" t="s">
        <v>3056</v>
      </c>
      <c r="F197" s="55" t="s">
        <v>50</v>
      </c>
      <c r="G197" s="55" t="s">
        <v>50</v>
      </c>
      <c r="H197" s="45" t="s">
        <v>663</v>
      </c>
      <c r="I197" s="56" t="s">
        <v>78</v>
      </c>
      <c r="J197" s="56"/>
      <c r="K197" s="45" t="s">
        <v>180</v>
      </c>
      <c r="L197" s="55"/>
      <c r="M197" s="55"/>
      <c r="N197" s="55" t="s">
        <v>181</v>
      </c>
      <c r="O197" s="55"/>
      <c r="P197" s="55" t="s">
        <v>182</v>
      </c>
      <c r="Q197" s="55" t="s">
        <v>5353</v>
      </c>
      <c r="R197" s="55"/>
      <c r="S197" s="56" t="s">
        <v>81</v>
      </c>
      <c r="T197" s="55" t="str">
        <f>IF(ISNUMBER(SEARCH(",",N197)),"Y","N")</f>
        <v>N</v>
      </c>
      <c r="U197" s="57">
        <v>360</v>
      </c>
      <c r="V197" s="57" t="s">
        <v>101</v>
      </c>
      <c r="W197" s="55" t="s">
        <v>2797</v>
      </c>
      <c r="X197" s="54" t="s">
        <v>5332</v>
      </c>
      <c r="Y197" s="52"/>
      <c r="Z197" s="3" t="s">
        <v>154</v>
      </c>
      <c r="AA197" s="3" t="s">
        <v>664</v>
      </c>
      <c r="AB197" s="3"/>
      <c r="AC197" s="3"/>
      <c r="AD197" s="3" t="s">
        <v>62</v>
      </c>
      <c r="AE197" s="3" t="s">
        <v>184</v>
      </c>
      <c r="AF197" s="3"/>
      <c r="AG197" s="3" t="s">
        <v>626</v>
      </c>
      <c r="AH197" s="58">
        <v>100</v>
      </c>
      <c r="AI197" s="3"/>
      <c r="AJ197" s="53"/>
      <c r="AK197" s="3"/>
      <c r="AL197" s="3"/>
      <c r="AM197" s="3"/>
      <c r="AN197" s="3"/>
      <c r="AO197" s="3"/>
      <c r="AP197" s="3"/>
      <c r="AQ197" s="3"/>
      <c r="AR197" s="3"/>
      <c r="AS197" s="3"/>
      <c r="AT197" s="3"/>
      <c r="AU197" s="3"/>
      <c r="AV197" s="3"/>
      <c r="AW197" s="3"/>
      <c r="AX197" s="3"/>
      <c r="AY197" s="3"/>
      <c r="AZ197" s="4" t="s">
        <v>662</v>
      </c>
      <c r="BA197" s="3"/>
      <c r="BB197" s="1"/>
      <c r="BC197" s="1"/>
    </row>
    <row r="198" spans="1:55" s="78" customFormat="1" ht="15" customHeight="1" x14ac:dyDescent="0.25">
      <c r="A198" s="52" t="s">
        <v>4207</v>
      </c>
      <c r="B198" s="34" t="s">
        <v>59</v>
      </c>
      <c r="C198" s="53">
        <v>2026</v>
      </c>
      <c r="D198" s="53">
        <v>2026</v>
      </c>
      <c r="E198" s="54" t="s">
        <v>3057</v>
      </c>
      <c r="F198" s="55" t="s">
        <v>50</v>
      </c>
      <c r="G198" s="55" t="s">
        <v>50</v>
      </c>
      <c r="H198" s="45" t="s">
        <v>666</v>
      </c>
      <c r="I198" s="56" t="s">
        <v>52</v>
      </c>
      <c r="J198" s="56"/>
      <c r="K198" s="55" t="s">
        <v>173</v>
      </c>
      <c r="L198" s="55"/>
      <c r="M198" s="55"/>
      <c r="N198" s="56" t="s">
        <v>667</v>
      </c>
      <c r="O198" s="56" t="s">
        <v>668</v>
      </c>
      <c r="P198" s="56" t="s">
        <v>89</v>
      </c>
      <c r="Q198" s="56" t="s">
        <v>89</v>
      </c>
      <c r="R198" s="55"/>
      <c r="S198" s="56" t="s">
        <v>81</v>
      </c>
      <c r="T198" s="55" t="s">
        <v>81</v>
      </c>
      <c r="U198" s="57">
        <v>7400</v>
      </c>
      <c r="V198" s="57" t="s">
        <v>101</v>
      </c>
      <c r="W198" s="55" t="s">
        <v>2319</v>
      </c>
      <c r="X198" s="54" t="s">
        <v>4207</v>
      </c>
      <c r="Y198" s="52"/>
      <c r="Z198" s="2" t="s">
        <v>61</v>
      </c>
      <c r="AA198" s="1" t="s">
        <v>669</v>
      </c>
      <c r="AB198" s="1"/>
      <c r="AC198" s="1"/>
      <c r="AD198" s="3" t="s">
        <v>62</v>
      </c>
      <c r="AE198" s="2" t="s">
        <v>155</v>
      </c>
      <c r="AF198" s="1" t="s">
        <v>670</v>
      </c>
      <c r="AG198" s="1" t="s">
        <v>671</v>
      </c>
      <c r="AH198" s="2">
        <v>100</v>
      </c>
      <c r="AI198" s="1"/>
      <c r="AJ198" s="1"/>
      <c r="AK198" s="1"/>
      <c r="AL198" s="1"/>
      <c r="AM198" s="1"/>
      <c r="AN198" s="1"/>
      <c r="AO198" s="1"/>
      <c r="AP198" s="1"/>
      <c r="AQ198" s="1"/>
      <c r="AR198" s="1"/>
      <c r="AS198" s="1"/>
      <c r="AT198" s="1"/>
      <c r="AU198" s="1"/>
      <c r="AV198" s="1"/>
      <c r="AW198" s="1"/>
      <c r="AX198" s="1"/>
      <c r="AY198" s="1"/>
      <c r="AZ198" s="4" t="s">
        <v>665</v>
      </c>
      <c r="BA198" s="1"/>
      <c r="BB198" s="1"/>
      <c r="BC198" s="1"/>
    </row>
    <row r="199" spans="1:55" s="78" customFormat="1" ht="15" customHeight="1" x14ac:dyDescent="0.25">
      <c r="A199" s="52" t="s">
        <v>4208</v>
      </c>
      <c r="B199" s="34" t="s">
        <v>59</v>
      </c>
      <c r="C199" s="53">
        <v>2026</v>
      </c>
      <c r="D199" s="53">
        <v>2026</v>
      </c>
      <c r="E199" s="54" t="s">
        <v>3058</v>
      </c>
      <c r="F199" s="55" t="s">
        <v>50</v>
      </c>
      <c r="G199" s="55" t="s">
        <v>50</v>
      </c>
      <c r="H199" s="45" t="s">
        <v>672</v>
      </c>
      <c r="I199" s="45" t="s">
        <v>52</v>
      </c>
      <c r="J199" s="56"/>
      <c r="K199" s="55" t="s">
        <v>218</v>
      </c>
      <c r="L199" s="55"/>
      <c r="M199" s="55"/>
      <c r="N199" s="55" t="s">
        <v>55</v>
      </c>
      <c r="O199" s="55" t="s">
        <v>141</v>
      </c>
      <c r="P199" s="55" t="s">
        <v>219</v>
      </c>
      <c r="Q199" s="55" t="s">
        <v>57</v>
      </c>
      <c r="R199" s="55"/>
      <c r="S199" s="56" t="s">
        <v>81</v>
      </c>
      <c r="T199" s="55" t="s">
        <v>81</v>
      </c>
      <c r="U199" s="57">
        <v>-999</v>
      </c>
      <c r="V199" s="57" t="s">
        <v>59</v>
      </c>
      <c r="W199" s="55" t="s">
        <v>2319</v>
      </c>
      <c r="X199" s="54" t="s">
        <v>4208</v>
      </c>
      <c r="Y199" s="52"/>
      <c r="Z199" s="3" t="s">
        <v>61</v>
      </c>
      <c r="AA199" s="3" t="s">
        <v>673</v>
      </c>
      <c r="AB199" s="3"/>
      <c r="AC199" s="3"/>
      <c r="AD199" s="3" t="s">
        <v>62</v>
      </c>
      <c r="AE199" s="3" t="s">
        <v>115</v>
      </c>
      <c r="AF199" s="3"/>
      <c r="AG199" s="3" t="s">
        <v>674</v>
      </c>
      <c r="AH199" s="58">
        <v>100</v>
      </c>
      <c r="AI199" s="3"/>
      <c r="AJ199" s="3"/>
      <c r="AK199" s="3"/>
      <c r="AL199" s="3"/>
      <c r="AM199" s="3"/>
      <c r="AN199" s="3"/>
      <c r="AO199" s="3"/>
      <c r="AP199" s="3"/>
      <c r="AQ199" s="3"/>
      <c r="AR199" s="3"/>
      <c r="AS199" s="3"/>
      <c r="AT199" s="3"/>
      <c r="AU199" s="3"/>
      <c r="AV199" s="3"/>
      <c r="AW199" s="3"/>
      <c r="AX199" s="3"/>
      <c r="AY199" s="3"/>
      <c r="AZ199" s="4" t="s">
        <v>411</v>
      </c>
      <c r="BA199" s="3"/>
      <c r="BB199" s="1"/>
      <c r="BC199" s="1"/>
    </row>
    <row r="200" spans="1:55" s="78" customFormat="1" ht="15" customHeight="1" x14ac:dyDescent="0.25">
      <c r="A200" s="52" t="s">
        <v>4209</v>
      </c>
      <c r="B200" s="34" t="s">
        <v>59</v>
      </c>
      <c r="C200" s="53">
        <v>2026</v>
      </c>
      <c r="D200" s="53">
        <v>2026</v>
      </c>
      <c r="E200" s="54" t="s">
        <v>3059</v>
      </c>
      <c r="F200" s="55" t="s">
        <v>50</v>
      </c>
      <c r="G200" s="55" t="s">
        <v>50</v>
      </c>
      <c r="H200" s="45" t="s">
        <v>676</v>
      </c>
      <c r="I200" s="45" t="s">
        <v>52</v>
      </c>
      <c r="J200" s="56"/>
      <c r="K200" s="55" t="s">
        <v>210</v>
      </c>
      <c r="L200" s="55" t="s">
        <v>54</v>
      </c>
      <c r="M200" s="55"/>
      <c r="N200" s="55" t="s">
        <v>212</v>
      </c>
      <c r="O200" s="55" t="s">
        <v>603</v>
      </c>
      <c r="P200" s="55" t="s">
        <v>89</v>
      </c>
      <c r="Q200" s="55" t="s">
        <v>89</v>
      </c>
      <c r="R200" s="55"/>
      <c r="S200" s="56" t="s">
        <v>81</v>
      </c>
      <c r="T200" s="55" t="s">
        <v>81</v>
      </c>
      <c r="U200" s="57">
        <v>83000</v>
      </c>
      <c r="V200" s="57" t="s">
        <v>101</v>
      </c>
      <c r="W200" s="55" t="s">
        <v>2319</v>
      </c>
      <c r="X200" s="54" t="s">
        <v>4209</v>
      </c>
      <c r="Y200" s="52"/>
      <c r="Z200" s="3" t="s">
        <v>61</v>
      </c>
      <c r="AA200" s="1" t="s">
        <v>677</v>
      </c>
      <c r="AB200" s="1"/>
      <c r="AC200" s="1"/>
      <c r="AD200" s="3" t="s">
        <v>62</v>
      </c>
      <c r="AE200" s="3" t="s">
        <v>115</v>
      </c>
      <c r="AF200" s="3"/>
      <c r="AG200" s="1" t="s">
        <v>215</v>
      </c>
      <c r="AH200" s="2">
        <v>100</v>
      </c>
      <c r="AI200" s="1"/>
      <c r="AJ200" s="2"/>
      <c r="AK200" s="3"/>
      <c r="AL200" s="3"/>
      <c r="AM200" s="3"/>
      <c r="AN200" s="3"/>
      <c r="AO200" s="3"/>
      <c r="AP200" s="3"/>
      <c r="AQ200" s="3"/>
      <c r="AR200" s="3"/>
      <c r="AS200" s="3"/>
      <c r="AT200" s="3"/>
      <c r="AU200" s="3"/>
      <c r="AV200" s="3"/>
      <c r="AW200" s="3"/>
      <c r="AX200" s="3"/>
      <c r="AY200" s="3"/>
      <c r="AZ200" s="4" t="s">
        <v>675</v>
      </c>
      <c r="BA200" s="3"/>
      <c r="BB200" s="1"/>
      <c r="BC200" s="1"/>
    </row>
    <row r="201" spans="1:55" s="78" customFormat="1" ht="15" customHeight="1" x14ac:dyDescent="0.25">
      <c r="A201" s="52" t="s">
        <v>4210</v>
      </c>
      <c r="B201" s="34" t="s">
        <v>59</v>
      </c>
      <c r="C201" s="53">
        <v>2026</v>
      </c>
      <c r="D201" s="53">
        <v>2026</v>
      </c>
      <c r="E201" s="54" t="s">
        <v>3060</v>
      </c>
      <c r="F201" s="55" t="s">
        <v>50</v>
      </c>
      <c r="G201" s="55" t="s">
        <v>50</v>
      </c>
      <c r="H201" s="45" t="s">
        <v>678</v>
      </c>
      <c r="I201" s="61" t="s">
        <v>52</v>
      </c>
      <c r="J201" s="56"/>
      <c r="K201" s="55" t="s">
        <v>133</v>
      </c>
      <c r="L201" s="55" t="s">
        <v>54</v>
      </c>
      <c r="M201" s="55"/>
      <c r="N201" s="55" t="s">
        <v>240</v>
      </c>
      <c r="O201" s="55"/>
      <c r="P201" s="55" t="s">
        <v>134</v>
      </c>
      <c r="Q201" s="55" t="s">
        <v>57</v>
      </c>
      <c r="R201" s="55"/>
      <c r="S201" s="56" t="s">
        <v>81</v>
      </c>
      <c r="T201" s="55" t="s">
        <v>81</v>
      </c>
      <c r="U201" s="57">
        <v>16920</v>
      </c>
      <c r="V201" s="57" t="s">
        <v>101</v>
      </c>
      <c r="W201" s="55" t="s">
        <v>2319</v>
      </c>
      <c r="X201" s="54" t="s">
        <v>4210</v>
      </c>
      <c r="Y201" s="52"/>
      <c r="Z201" s="3" t="s">
        <v>154</v>
      </c>
      <c r="AA201" s="3" t="s">
        <v>679</v>
      </c>
      <c r="AB201" s="3"/>
      <c r="AC201" s="3"/>
      <c r="AD201" s="3" t="s">
        <v>62</v>
      </c>
      <c r="AE201" s="3" t="s">
        <v>464</v>
      </c>
      <c r="AF201" s="3" t="s">
        <v>680</v>
      </c>
      <c r="AG201" s="3" t="s">
        <v>681</v>
      </c>
      <c r="AH201" s="58"/>
      <c r="AI201" s="3" t="s">
        <v>682</v>
      </c>
      <c r="AJ201" s="3"/>
      <c r="AK201" s="3"/>
      <c r="AL201" s="3"/>
      <c r="AM201" s="3"/>
      <c r="AN201" s="3"/>
      <c r="AO201" s="3"/>
      <c r="AP201" s="3"/>
      <c r="AQ201" s="3"/>
      <c r="AR201" s="3"/>
      <c r="AS201" s="3"/>
      <c r="AT201" s="3"/>
      <c r="AU201" s="3"/>
      <c r="AV201" s="3"/>
      <c r="AW201" s="3"/>
      <c r="AX201" s="3"/>
      <c r="AY201" s="3"/>
      <c r="AZ201" s="4" t="s">
        <v>3834</v>
      </c>
      <c r="BA201" s="3" t="s">
        <v>3835</v>
      </c>
      <c r="BB201" s="1"/>
      <c r="BC201" s="1"/>
    </row>
    <row r="202" spans="1:55" s="78" customFormat="1" ht="15" customHeight="1" x14ac:dyDescent="0.25">
      <c r="A202" s="52" t="s">
        <v>4211</v>
      </c>
      <c r="B202" s="34" t="s">
        <v>59</v>
      </c>
      <c r="C202" s="53">
        <v>2026</v>
      </c>
      <c r="D202" s="53">
        <v>2026</v>
      </c>
      <c r="E202" s="54" t="s">
        <v>3061</v>
      </c>
      <c r="F202" s="55" t="s">
        <v>50</v>
      </c>
      <c r="G202" s="55" t="s">
        <v>50</v>
      </c>
      <c r="H202" s="45" t="s">
        <v>683</v>
      </c>
      <c r="I202" s="45" t="s">
        <v>52</v>
      </c>
      <c r="J202" s="56"/>
      <c r="K202" s="55" t="s">
        <v>442</v>
      </c>
      <c r="L202" s="55"/>
      <c r="M202" s="55"/>
      <c r="N202" s="55" t="s">
        <v>443</v>
      </c>
      <c r="O202" s="55"/>
      <c r="P202" s="55" t="s">
        <v>444</v>
      </c>
      <c r="Q202" s="55" t="s">
        <v>57</v>
      </c>
      <c r="R202" s="55"/>
      <c r="S202" s="56" t="s">
        <v>81</v>
      </c>
      <c r="T202" s="55" t="s">
        <v>81</v>
      </c>
      <c r="U202" s="57">
        <v>-999</v>
      </c>
      <c r="V202" s="57" t="s">
        <v>59</v>
      </c>
      <c r="W202" s="55" t="s">
        <v>2319</v>
      </c>
      <c r="X202" s="54" t="s">
        <v>4211</v>
      </c>
      <c r="Y202" s="52"/>
      <c r="Z202" s="3" t="s">
        <v>61</v>
      </c>
      <c r="AA202" s="3" t="s">
        <v>684</v>
      </c>
      <c r="AB202" s="3"/>
      <c r="AC202" s="3"/>
      <c r="AD202" s="3" t="s">
        <v>62</v>
      </c>
      <c r="AE202" s="3" t="s">
        <v>257</v>
      </c>
      <c r="AF202" s="3" t="s">
        <v>685</v>
      </c>
      <c r="AG202" s="3" t="s">
        <v>686</v>
      </c>
      <c r="AH202" s="58">
        <v>100</v>
      </c>
      <c r="AI202" s="3"/>
      <c r="AJ202" s="3"/>
      <c r="AK202" s="3"/>
      <c r="AL202" s="3"/>
      <c r="AM202" s="3"/>
      <c r="AN202" s="3"/>
      <c r="AO202" s="3"/>
      <c r="AP202" s="3"/>
      <c r="AQ202" s="3"/>
      <c r="AR202" s="3"/>
      <c r="AS202" s="3"/>
      <c r="AT202" s="3"/>
      <c r="AU202" s="3"/>
      <c r="AV202" s="3"/>
      <c r="AW202" s="3"/>
      <c r="AX202" s="3"/>
      <c r="AY202" s="3"/>
      <c r="AZ202" s="4" t="s">
        <v>440</v>
      </c>
      <c r="BA202" s="3"/>
      <c r="BB202" s="1"/>
      <c r="BC202" s="1"/>
    </row>
    <row r="203" spans="1:55" s="78" customFormat="1" ht="15" customHeight="1" x14ac:dyDescent="0.25">
      <c r="A203" s="52" t="s">
        <v>4212</v>
      </c>
      <c r="B203" s="34" t="s">
        <v>59</v>
      </c>
      <c r="C203" s="53">
        <v>2026</v>
      </c>
      <c r="D203" s="53">
        <v>2026</v>
      </c>
      <c r="E203" s="54" t="s">
        <v>3062</v>
      </c>
      <c r="F203" s="55" t="s">
        <v>50</v>
      </c>
      <c r="G203" s="55" t="s">
        <v>50</v>
      </c>
      <c r="H203" s="45" t="s">
        <v>688</v>
      </c>
      <c r="I203" s="45" t="s">
        <v>52</v>
      </c>
      <c r="J203" s="56"/>
      <c r="K203" s="55" t="s">
        <v>442</v>
      </c>
      <c r="L203" s="55"/>
      <c r="M203" s="55" t="s">
        <v>113</v>
      </c>
      <c r="N203" s="45" t="s">
        <v>689</v>
      </c>
      <c r="O203" s="45" t="s">
        <v>690</v>
      </c>
      <c r="P203" s="55" t="s">
        <v>89</v>
      </c>
      <c r="Q203" s="55" t="s">
        <v>89</v>
      </c>
      <c r="R203" s="55"/>
      <c r="S203" s="56" t="s">
        <v>81</v>
      </c>
      <c r="T203" s="55" t="s">
        <v>58</v>
      </c>
      <c r="U203" s="57">
        <v>-999</v>
      </c>
      <c r="V203" s="57" t="s">
        <v>59</v>
      </c>
      <c r="W203" s="55" t="s">
        <v>2319</v>
      </c>
      <c r="X203" s="54" t="s">
        <v>4212</v>
      </c>
      <c r="Y203" s="52"/>
      <c r="Z203" s="1" t="s">
        <v>61</v>
      </c>
      <c r="AA203" s="65" t="s">
        <v>691</v>
      </c>
      <c r="AB203" s="65"/>
      <c r="AC203" s="65"/>
      <c r="AD203" s="3" t="s">
        <v>62</v>
      </c>
      <c r="AE203" s="2" t="s">
        <v>115</v>
      </c>
      <c r="AF203" s="2"/>
      <c r="AG203" s="3" t="s">
        <v>692</v>
      </c>
      <c r="AH203" s="2">
        <v>100</v>
      </c>
      <c r="AI203" s="2"/>
      <c r="AJ203" s="2"/>
      <c r="AK203" s="2"/>
      <c r="AL203" s="2"/>
      <c r="AM203" s="2"/>
      <c r="AN203" s="2"/>
      <c r="AO203" s="2"/>
      <c r="AP203" s="2"/>
      <c r="AQ203" s="2"/>
      <c r="AR203" s="2"/>
      <c r="AS203" s="2"/>
      <c r="AT203" s="2"/>
      <c r="AU203" s="2"/>
      <c r="AV203" s="2"/>
      <c r="AW203" s="2"/>
      <c r="AX203" s="2"/>
      <c r="AY203" s="2"/>
      <c r="AZ203" s="4" t="s">
        <v>687</v>
      </c>
      <c r="BA203" s="2"/>
      <c r="BB203" s="1"/>
      <c r="BC203" s="1"/>
    </row>
    <row r="204" spans="1:55" s="78" customFormat="1" ht="15" customHeight="1" x14ac:dyDescent="0.25">
      <c r="A204" s="52" t="s">
        <v>4213</v>
      </c>
      <c r="B204" s="34" t="s">
        <v>59</v>
      </c>
      <c r="C204" s="53">
        <v>2026</v>
      </c>
      <c r="D204" s="53">
        <v>2026</v>
      </c>
      <c r="E204" s="54" t="s">
        <v>3062</v>
      </c>
      <c r="F204" s="55" t="s">
        <v>50</v>
      </c>
      <c r="G204" s="55" t="s">
        <v>50</v>
      </c>
      <c r="H204" s="45" t="s">
        <v>688</v>
      </c>
      <c r="I204" s="45" t="s">
        <v>52</v>
      </c>
      <c r="J204" s="56"/>
      <c r="K204" s="55" t="s">
        <v>442</v>
      </c>
      <c r="L204" s="55"/>
      <c r="M204" s="56" t="s">
        <v>113</v>
      </c>
      <c r="N204" s="55" t="s">
        <v>661</v>
      </c>
      <c r="O204" s="55"/>
      <c r="P204" s="55" t="s">
        <v>394</v>
      </c>
      <c r="Q204" s="55" t="s">
        <v>57</v>
      </c>
      <c r="R204" s="55"/>
      <c r="S204" s="56" t="s">
        <v>81</v>
      </c>
      <c r="T204" s="55" t="s">
        <v>58</v>
      </c>
      <c r="U204" s="57">
        <v>2700</v>
      </c>
      <c r="V204" s="57" t="s">
        <v>101</v>
      </c>
      <c r="W204" s="55" t="s">
        <v>2319</v>
      </c>
      <c r="X204" s="54" t="s">
        <v>4213</v>
      </c>
      <c r="Y204" s="52"/>
      <c r="Z204" s="3" t="s">
        <v>61</v>
      </c>
      <c r="AA204" s="3" t="s">
        <v>691</v>
      </c>
      <c r="AB204" s="3"/>
      <c r="AC204" s="3"/>
      <c r="AD204" s="3" t="s">
        <v>62</v>
      </c>
      <c r="AE204" s="3" t="s">
        <v>115</v>
      </c>
      <c r="AF204" s="3"/>
      <c r="AG204" s="3" t="s">
        <v>692</v>
      </c>
      <c r="AH204" s="58">
        <v>100</v>
      </c>
      <c r="AI204" s="3"/>
      <c r="AJ204" s="3"/>
      <c r="AK204" s="3"/>
      <c r="AL204" s="3"/>
      <c r="AM204" s="3"/>
      <c r="AN204" s="3"/>
      <c r="AO204" s="3"/>
      <c r="AP204" s="3"/>
      <c r="AQ204" s="3"/>
      <c r="AR204" s="3"/>
      <c r="AS204" s="3"/>
      <c r="AT204" s="3"/>
      <c r="AU204" s="3"/>
      <c r="AV204" s="3"/>
      <c r="AW204" s="3"/>
      <c r="AX204" s="3"/>
      <c r="AY204" s="3"/>
      <c r="AZ204" s="4" t="s">
        <v>440</v>
      </c>
      <c r="BA204" s="3"/>
      <c r="BB204" s="1"/>
      <c r="BC204" s="1"/>
    </row>
    <row r="205" spans="1:55" s="78" customFormat="1" ht="15" customHeight="1" x14ac:dyDescent="0.25">
      <c r="A205" s="52" t="s">
        <v>4214</v>
      </c>
      <c r="B205" s="34" t="s">
        <v>59</v>
      </c>
      <c r="C205" s="53">
        <v>2026</v>
      </c>
      <c r="D205" s="53">
        <v>2026</v>
      </c>
      <c r="E205" s="54" t="s">
        <v>3063</v>
      </c>
      <c r="F205" s="55" t="s">
        <v>50</v>
      </c>
      <c r="G205" s="55" t="s">
        <v>50</v>
      </c>
      <c r="H205" s="45" t="s">
        <v>693</v>
      </c>
      <c r="I205" s="45" t="s">
        <v>52</v>
      </c>
      <c r="J205" s="56"/>
      <c r="K205" s="55" t="s">
        <v>218</v>
      </c>
      <c r="L205" s="55"/>
      <c r="M205" s="55" t="s">
        <v>113</v>
      </c>
      <c r="N205" s="55" t="s">
        <v>55</v>
      </c>
      <c r="O205" s="55" t="s">
        <v>141</v>
      </c>
      <c r="P205" s="55" t="s">
        <v>219</v>
      </c>
      <c r="Q205" s="55" t="s">
        <v>57</v>
      </c>
      <c r="R205" s="55"/>
      <c r="S205" s="56" t="s">
        <v>81</v>
      </c>
      <c r="T205" s="55" t="s">
        <v>81</v>
      </c>
      <c r="U205" s="57">
        <v>-999</v>
      </c>
      <c r="V205" s="57" t="s">
        <v>59</v>
      </c>
      <c r="W205" s="55" t="s">
        <v>2319</v>
      </c>
      <c r="X205" s="54" t="s">
        <v>4214</v>
      </c>
      <c r="Y205" s="52"/>
      <c r="Z205" s="3" t="s">
        <v>61</v>
      </c>
      <c r="AA205" s="3" t="s">
        <v>694</v>
      </c>
      <c r="AB205" s="3"/>
      <c r="AC205" s="3"/>
      <c r="AD205" s="3" t="s">
        <v>62</v>
      </c>
      <c r="AE205" s="3" t="s">
        <v>695</v>
      </c>
      <c r="AF205" s="3"/>
      <c r="AG205" s="3" t="s">
        <v>696</v>
      </c>
      <c r="AH205" s="58">
        <v>100</v>
      </c>
      <c r="AI205" s="3"/>
      <c r="AJ205" s="3"/>
      <c r="AK205" s="3"/>
      <c r="AL205" s="3"/>
      <c r="AM205" s="3"/>
      <c r="AN205" s="3"/>
      <c r="AO205" s="3"/>
      <c r="AP205" s="3"/>
      <c r="AQ205" s="3"/>
      <c r="AR205" s="3"/>
      <c r="AS205" s="3"/>
      <c r="AT205" s="3"/>
      <c r="AU205" s="3"/>
      <c r="AV205" s="3"/>
      <c r="AW205" s="3"/>
      <c r="AX205" s="3"/>
      <c r="AY205" s="3"/>
      <c r="AZ205" s="4" t="s">
        <v>411</v>
      </c>
      <c r="BA205" s="3"/>
      <c r="BB205" s="1"/>
      <c r="BC205" s="1"/>
    </row>
    <row r="206" spans="1:55" s="78" customFormat="1" ht="15" customHeight="1" x14ac:dyDescent="0.25">
      <c r="A206" s="52" t="s">
        <v>4215</v>
      </c>
      <c r="B206" s="34" t="s">
        <v>59</v>
      </c>
      <c r="C206" s="53">
        <v>2026</v>
      </c>
      <c r="D206" s="53">
        <v>2026</v>
      </c>
      <c r="E206" s="54" t="s">
        <v>3064</v>
      </c>
      <c r="F206" s="55" t="s">
        <v>50</v>
      </c>
      <c r="G206" s="55" t="s">
        <v>50</v>
      </c>
      <c r="H206" s="45" t="s">
        <v>698</v>
      </c>
      <c r="I206" s="56" t="s">
        <v>52</v>
      </c>
      <c r="J206" s="56"/>
      <c r="K206" s="55" t="s">
        <v>313</v>
      </c>
      <c r="L206" s="55" t="s">
        <v>317</v>
      </c>
      <c r="M206" s="55" t="s">
        <v>113</v>
      </c>
      <c r="N206" s="56" t="s">
        <v>55</v>
      </c>
      <c r="O206" s="56" t="s">
        <v>699</v>
      </c>
      <c r="P206" s="56" t="s">
        <v>314</v>
      </c>
      <c r="Q206" s="61" t="s">
        <v>57</v>
      </c>
      <c r="R206" s="55"/>
      <c r="S206" s="56" t="s">
        <v>58</v>
      </c>
      <c r="T206" s="55" t="s">
        <v>81</v>
      </c>
      <c r="U206" s="57">
        <v>120000</v>
      </c>
      <c r="V206" s="57" t="s">
        <v>101</v>
      </c>
      <c r="W206" s="55" t="s">
        <v>2319</v>
      </c>
      <c r="X206" s="54" t="s">
        <v>4215</v>
      </c>
      <c r="Y206" s="52"/>
      <c r="Z206" s="2" t="s">
        <v>61</v>
      </c>
      <c r="AA206" s="1" t="s">
        <v>700</v>
      </c>
      <c r="AB206" s="1"/>
      <c r="AC206" s="1"/>
      <c r="AD206" s="3" t="s">
        <v>62</v>
      </c>
      <c r="AE206" s="2" t="s">
        <v>63</v>
      </c>
      <c r="AF206" s="1" t="s">
        <v>701</v>
      </c>
      <c r="AG206" s="1" t="s">
        <v>702</v>
      </c>
      <c r="AH206" s="2">
        <v>100</v>
      </c>
      <c r="AI206" s="1"/>
      <c r="AJ206" s="1"/>
      <c r="AK206" s="1"/>
      <c r="AL206" s="1"/>
      <c r="AM206" s="1"/>
      <c r="AN206" s="1"/>
      <c r="AO206" s="1"/>
      <c r="AP206" s="1"/>
      <c r="AQ206" s="1"/>
      <c r="AR206" s="1"/>
      <c r="AS206" s="1"/>
      <c r="AT206" s="1"/>
      <c r="AU206" s="1"/>
      <c r="AV206" s="1"/>
      <c r="AW206" s="1"/>
      <c r="AX206" s="1"/>
      <c r="AY206" s="1"/>
      <c r="AZ206" s="4" t="s">
        <v>697</v>
      </c>
      <c r="BA206" s="1"/>
      <c r="BB206" s="1"/>
      <c r="BC206" s="1"/>
    </row>
    <row r="207" spans="1:55" s="78" customFormat="1" ht="15" customHeight="1" x14ac:dyDescent="0.25">
      <c r="A207" s="52" t="s">
        <v>4216</v>
      </c>
      <c r="B207" s="34" t="s">
        <v>59</v>
      </c>
      <c r="C207" s="53">
        <v>2026</v>
      </c>
      <c r="D207" s="53">
        <v>2026</v>
      </c>
      <c r="E207" s="54" t="s">
        <v>3065</v>
      </c>
      <c r="F207" s="55" t="s">
        <v>50</v>
      </c>
      <c r="G207" s="55" t="s">
        <v>50</v>
      </c>
      <c r="H207" s="45" t="s">
        <v>703</v>
      </c>
      <c r="I207" s="45" t="s">
        <v>52</v>
      </c>
      <c r="J207" s="56"/>
      <c r="K207" s="55" t="s">
        <v>442</v>
      </c>
      <c r="L207" s="55"/>
      <c r="M207" s="55"/>
      <c r="N207" s="55" t="s">
        <v>704</v>
      </c>
      <c r="O207" s="55"/>
      <c r="P207" s="55" t="s">
        <v>142</v>
      </c>
      <c r="Q207" s="55" t="s">
        <v>57</v>
      </c>
      <c r="R207" s="55"/>
      <c r="S207" s="56" t="s">
        <v>58</v>
      </c>
      <c r="T207" s="55" t="s">
        <v>81</v>
      </c>
      <c r="U207" s="57">
        <v>-999</v>
      </c>
      <c r="V207" s="57" t="s">
        <v>59</v>
      </c>
      <c r="W207" s="55" t="s">
        <v>2319</v>
      </c>
      <c r="X207" s="54" t="s">
        <v>4216</v>
      </c>
      <c r="Y207" s="52"/>
      <c r="Z207" s="3" t="s">
        <v>61</v>
      </c>
      <c r="AA207" s="3" t="s">
        <v>705</v>
      </c>
      <c r="AB207" s="3"/>
      <c r="AC207" s="3"/>
      <c r="AD207" s="3" t="s">
        <v>62</v>
      </c>
      <c r="AE207" s="3" t="s">
        <v>115</v>
      </c>
      <c r="AF207" s="3"/>
      <c r="AG207" s="3" t="s">
        <v>706</v>
      </c>
      <c r="AH207" s="58">
        <v>100</v>
      </c>
      <c r="AI207" s="3"/>
      <c r="AJ207" s="3"/>
      <c r="AK207" s="3"/>
      <c r="AL207" s="3"/>
      <c r="AM207" s="3"/>
      <c r="AN207" s="3"/>
      <c r="AO207" s="3"/>
      <c r="AP207" s="3"/>
      <c r="AQ207" s="3"/>
      <c r="AR207" s="3"/>
      <c r="AS207" s="3"/>
      <c r="AT207" s="3"/>
      <c r="AU207" s="3"/>
      <c r="AV207" s="3"/>
      <c r="AW207" s="3"/>
      <c r="AX207" s="3"/>
      <c r="AY207" s="3"/>
      <c r="AZ207" s="4" t="s">
        <v>440</v>
      </c>
      <c r="BA207" s="3"/>
      <c r="BB207" s="1"/>
      <c r="BC207" s="1"/>
    </row>
    <row r="208" spans="1:55" s="78" customFormat="1" ht="15" customHeight="1" x14ac:dyDescent="0.25">
      <c r="A208" s="52" t="s">
        <v>4217</v>
      </c>
      <c r="B208" s="34" t="s">
        <v>59</v>
      </c>
      <c r="C208" s="53">
        <v>2026</v>
      </c>
      <c r="D208" s="53">
        <v>2026</v>
      </c>
      <c r="E208" s="54" t="s">
        <v>3065</v>
      </c>
      <c r="F208" s="55" t="s">
        <v>50</v>
      </c>
      <c r="G208" s="55" t="s">
        <v>50</v>
      </c>
      <c r="H208" s="45" t="s">
        <v>703</v>
      </c>
      <c r="I208" s="56" t="s">
        <v>52</v>
      </c>
      <c r="J208" s="56"/>
      <c r="K208" s="56" t="s">
        <v>140</v>
      </c>
      <c r="L208" s="55" t="s">
        <v>54</v>
      </c>
      <c r="M208" s="55"/>
      <c r="N208" s="55" t="s">
        <v>141</v>
      </c>
      <c r="O208" s="55"/>
      <c r="P208" s="55" t="s">
        <v>142</v>
      </c>
      <c r="Q208" s="55" t="s">
        <v>57</v>
      </c>
      <c r="R208" s="55"/>
      <c r="S208" s="56" t="s">
        <v>58</v>
      </c>
      <c r="T208" s="55" t="s">
        <v>81</v>
      </c>
      <c r="U208" s="57">
        <v>9600</v>
      </c>
      <c r="V208" s="57" t="s">
        <v>101</v>
      </c>
      <c r="W208" s="55" t="s">
        <v>2319</v>
      </c>
      <c r="X208" s="54" t="s">
        <v>4217</v>
      </c>
      <c r="Y208" s="52"/>
      <c r="Z208" s="1" t="s">
        <v>61</v>
      </c>
      <c r="AA208" s="3" t="s">
        <v>705</v>
      </c>
      <c r="AB208" s="3"/>
      <c r="AC208" s="3"/>
      <c r="AD208" s="3" t="s">
        <v>62</v>
      </c>
      <c r="AE208" s="1" t="s">
        <v>115</v>
      </c>
      <c r="AF208" s="1"/>
      <c r="AG208" s="3" t="s">
        <v>706</v>
      </c>
      <c r="AH208" s="2">
        <v>100</v>
      </c>
      <c r="AI208" s="3"/>
      <c r="AJ208" s="3"/>
      <c r="AK208" s="3"/>
      <c r="AL208" s="3"/>
      <c r="AM208" s="3"/>
      <c r="AN208" s="3"/>
      <c r="AO208" s="3"/>
      <c r="AP208" s="3"/>
      <c r="AQ208" s="3"/>
      <c r="AR208" s="3"/>
      <c r="AS208" s="3"/>
      <c r="AT208" s="3"/>
      <c r="AU208" s="3"/>
      <c r="AV208" s="3"/>
      <c r="AW208" s="3"/>
      <c r="AX208" s="3"/>
      <c r="AY208" s="3"/>
      <c r="AZ208" s="4" t="s">
        <v>139</v>
      </c>
      <c r="BA208" s="3"/>
      <c r="BB208" s="1"/>
      <c r="BC208" s="1"/>
    </row>
    <row r="209" spans="1:55" s="78" customFormat="1" ht="15" customHeight="1" x14ac:dyDescent="0.25">
      <c r="A209" s="52" t="s">
        <v>4218</v>
      </c>
      <c r="B209" s="34" t="s">
        <v>59</v>
      </c>
      <c r="C209" s="53">
        <v>2026</v>
      </c>
      <c r="D209" s="53">
        <v>2026</v>
      </c>
      <c r="E209" s="54" t="s">
        <v>3066</v>
      </c>
      <c r="F209" s="55" t="s">
        <v>50</v>
      </c>
      <c r="G209" s="55" t="s">
        <v>50</v>
      </c>
      <c r="H209" s="45" t="s">
        <v>707</v>
      </c>
      <c r="I209" s="56" t="s">
        <v>78</v>
      </c>
      <c r="J209" s="56"/>
      <c r="K209" s="55" t="s">
        <v>71</v>
      </c>
      <c r="L209" s="55" t="s">
        <v>88</v>
      </c>
      <c r="M209" s="55"/>
      <c r="N209" s="55" t="s">
        <v>181</v>
      </c>
      <c r="O209" s="55"/>
      <c r="P209" s="55" t="s">
        <v>73</v>
      </c>
      <c r="Q209" s="55" t="s">
        <v>57</v>
      </c>
      <c r="R209" s="55"/>
      <c r="S209" s="56" t="s">
        <v>58</v>
      </c>
      <c r="T209" s="55" t="str">
        <f>IF(ISNUMBER(SEARCH(",",N209)),"Y","N")</f>
        <v>N</v>
      </c>
      <c r="U209" s="57">
        <v>25.381</v>
      </c>
      <c r="V209" s="57" t="s">
        <v>101</v>
      </c>
      <c r="W209" s="55"/>
      <c r="X209" s="54" t="s">
        <v>4218</v>
      </c>
      <c r="Y209" s="52"/>
      <c r="Z209" s="1" t="s">
        <v>61</v>
      </c>
      <c r="AA209" s="3" t="s">
        <v>430</v>
      </c>
      <c r="AB209" s="3"/>
      <c r="AC209" s="3"/>
      <c r="AD209" s="3" t="s">
        <v>62</v>
      </c>
      <c r="AE209" s="3" t="s">
        <v>83</v>
      </c>
      <c r="AF209" s="1" t="s">
        <v>431</v>
      </c>
      <c r="AG209" s="1" t="s">
        <v>432</v>
      </c>
      <c r="AH209" s="53">
        <v>61.5</v>
      </c>
      <c r="AI209" s="1" t="s">
        <v>433</v>
      </c>
      <c r="AJ209" s="59">
        <v>38.5</v>
      </c>
      <c r="AK209" s="3"/>
      <c r="AL209" s="53"/>
      <c r="AM209" s="3"/>
      <c r="AN209" s="53"/>
      <c r="AO209" s="3"/>
      <c r="AP209" s="53"/>
      <c r="AQ209" s="3"/>
      <c r="AR209" s="53"/>
      <c r="AS209" s="3"/>
      <c r="AT209" s="53"/>
      <c r="AU209" s="3"/>
      <c r="AV209" s="53"/>
      <c r="AW209" s="3"/>
      <c r="AX209" s="53"/>
      <c r="AY209" s="3"/>
      <c r="AZ209" s="4" t="s">
        <v>3825</v>
      </c>
      <c r="BA209" s="5" t="s">
        <v>3836</v>
      </c>
      <c r="BB209" s="1"/>
      <c r="BC209" s="1"/>
    </row>
    <row r="210" spans="1:55" s="78" customFormat="1" ht="15" customHeight="1" x14ac:dyDescent="0.25">
      <c r="A210" s="52" t="s">
        <v>4219</v>
      </c>
      <c r="B210" s="34" t="s">
        <v>59</v>
      </c>
      <c r="C210" s="53">
        <v>2026</v>
      </c>
      <c r="D210" s="53">
        <v>2026</v>
      </c>
      <c r="E210" s="54" t="s">
        <v>3066</v>
      </c>
      <c r="F210" s="55" t="s">
        <v>50</v>
      </c>
      <c r="G210" s="55" t="s">
        <v>50</v>
      </c>
      <c r="H210" s="45" t="s">
        <v>707</v>
      </c>
      <c r="I210" s="56" t="s">
        <v>78</v>
      </c>
      <c r="J210" s="56"/>
      <c r="K210" s="55" t="s">
        <v>74</v>
      </c>
      <c r="L210" s="55" t="s">
        <v>88</v>
      </c>
      <c r="M210" s="55"/>
      <c r="N210" s="55" t="s">
        <v>181</v>
      </c>
      <c r="O210" s="55"/>
      <c r="P210" s="55" t="s">
        <v>75</v>
      </c>
      <c r="Q210" s="56" t="s">
        <v>57</v>
      </c>
      <c r="R210" s="55"/>
      <c r="S210" s="56" t="s">
        <v>58</v>
      </c>
      <c r="T210" s="55" t="str">
        <f>IF(ISNUMBER(SEARCH(",",N210)),"Y","N")</f>
        <v>N</v>
      </c>
      <c r="U210" s="57">
        <v>1.681</v>
      </c>
      <c r="V210" s="57" t="s">
        <v>101</v>
      </c>
      <c r="W210" s="55"/>
      <c r="X210" s="54" t="s">
        <v>4219</v>
      </c>
      <c r="Y210" s="52"/>
      <c r="Z210" s="1" t="s">
        <v>61</v>
      </c>
      <c r="AA210" s="3" t="s">
        <v>430</v>
      </c>
      <c r="AB210" s="3"/>
      <c r="AC210" s="3"/>
      <c r="AD210" s="3" t="s">
        <v>62</v>
      </c>
      <c r="AE210" s="3" t="s">
        <v>83</v>
      </c>
      <c r="AF210" s="1" t="s">
        <v>431</v>
      </c>
      <c r="AG210" s="1" t="s">
        <v>432</v>
      </c>
      <c r="AH210" s="59">
        <v>61.5</v>
      </c>
      <c r="AI210" s="1" t="s">
        <v>433</v>
      </c>
      <c r="AJ210" s="59">
        <v>38.5</v>
      </c>
      <c r="AK210" s="3"/>
      <c r="AL210" s="53"/>
      <c r="AM210" s="3"/>
      <c r="AN210" s="53"/>
      <c r="AO210" s="3"/>
      <c r="AP210" s="53"/>
      <c r="AQ210" s="3"/>
      <c r="AR210" s="53"/>
      <c r="AS210" s="3"/>
      <c r="AT210" s="53"/>
      <c r="AU210" s="3"/>
      <c r="AV210" s="53"/>
      <c r="AW210" s="3"/>
      <c r="AX210" s="53"/>
      <c r="AY210" s="3"/>
      <c r="AZ210" s="4" t="s">
        <v>295</v>
      </c>
      <c r="BA210" s="5" t="s">
        <v>3836</v>
      </c>
      <c r="BB210" s="1"/>
      <c r="BC210" s="1"/>
    </row>
    <row r="211" spans="1:55" s="78" customFormat="1" ht="15" customHeight="1" x14ac:dyDescent="0.25">
      <c r="A211" s="52" t="s">
        <v>4220</v>
      </c>
      <c r="B211" s="34" t="s">
        <v>59</v>
      </c>
      <c r="C211" s="53">
        <v>2026</v>
      </c>
      <c r="D211" s="53">
        <v>2026</v>
      </c>
      <c r="E211" s="54" t="s">
        <v>3067</v>
      </c>
      <c r="F211" s="55" t="s">
        <v>50</v>
      </c>
      <c r="G211" s="55" t="s">
        <v>50</v>
      </c>
      <c r="H211" s="45" t="s">
        <v>709</v>
      </c>
      <c r="I211" s="56" t="s">
        <v>78</v>
      </c>
      <c r="J211" s="56"/>
      <c r="K211" s="56" t="s">
        <v>53</v>
      </c>
      <c r="L211" s="55" t="s">
        <v>88</v>
      </c>
      <c r="M211" s="55"/>
      <c r="N211" s="56" t="s">
        <v>5386</v>
      </c>
      <c r="O211" s="56"/>
      <c r="P211" s="55" t="s">
        <v>56</v>
      </c>
      <c r="Q211" s="55" t="s">
        <v>57</v>
      </c>
      <c r="R211" s="55"/>
      <c r="S211" s="56" t="s">
        <v>81</v>
      </c>
      <c r="T211" s="55" t="str">
        <f>IF(ISNUMBER(SEARCH(",",N211)),"Y","N")</f>
        <v>N</v>
      </c>
      <c r="U211" s="57">
        <v>30000</v>
      </c>
      <c r="V211" s="57" t="s">
        <v>101</v>
      </c>
      <c r="W211" s="55" t="s">
        <v>2319</v>
      </c>
      <c r="X211" s="54" t="s">
        <v>4220</v>
      </c>
      <c r="Y211" s="52"/>
      <c r="Z211" s="1" t="s">
        <v>61</v>
      </c>
      <c r="AA211" s="1" t="s">
        <v>710</v>
      </c>
      <c r="AB211" s="1"/>
      <c r="AC211" s="1"/>
      <c r="AD211" s="3" t="s">
        <v>62</v>
      </c>
      <c r="AE211" s="1" t="s">
        <v>108</v>
      </c>
      <c r="AF211" s="1"/>
      <c r="AG211" s="56" t="s">
        <v>711</v>
      </c>
      <c r="AH211" s="45">
        <v>100</v>
      </c>
      <c r="AI211" s="1"/>
      <c r="AJ211" s="1"/>
      <c r="AK211" s="1"/>
      <c r="AL211" s="1"/>
      <c r="AM211" s="1"/>
      <c r="AN211" s="1"/>
      <c r="AO211" s="1"/>
      <c r="AP211" s="1"/>
      <c r="AQ211" s="1"/>
      <c r="AR211" s="1"/>
      <c r="AS211" s="1"/>
      <c r="AT211" s="1"/>
      <c r="AU211" s="1"/>
      <c r="AV211" s="1"/>
      <c r="AW211" s="1"/>
      <c r="AX211" s="1"/>
      <c r="AY211" s="1"/>
      <c r="AZ211" s="4" t="s">
        <v>708</v>
      </c>
      <c r="BA211" s="1"/>
      <c r="BB211" s="1"/>
      <c r="BC211" s="1"/>
    </row>
    <row r="212" spans="1:55" s="78" customFormat="1" ht="15" customHeight="1" x14ac:dyDescent="0.25">
      <c r="A212" s="52" t="s">
        <v>4221</v>
      </c>
      <c r="B212" s="34" t="s">
        <v>59</v>
      </c>
      <c r="C212" s="53">
        <v>2026</v>
      </c>
      <c r="D212" s="53">
        <v>2026</v>
      </c>
      <c r="E212" s="54" t="s">
        <v>3068</v>
      </c>
      <c r="F212" s="55" t="s">
        <v>50</v>
      </c>
      <c r="G212" s="55" t="s">
        <v>50</v>
      </c>
      <c r="H212" s="45" t="s">
        <v>712</v>
      </c>
      <c r="I212" s="56" t="s">
        <v>52</v>
      </c>
      <c r="J212" s="56"/>
      <c r="K212" s="56" t="s">
        <v>53</v>
      </c>
      <c r="L212" s="55" t="s">
        <v>54</v>
      </c>
      <c r="M212" s="55"/>
      <c r="N212" s="56" t="s">
        <v>327</v>
      </c>
      <c r="O212" s="56"/>
      <c r="P212" s="55" t="s">
        <v>56</v>
      </c>
      <c r="Q212" s="55" t="s">
        <v>57</v>
      </c>
      <c r="R212" s="55"/>
      <c r="S212" s="56" t="s">
        <v>81</v>
      </c>
      <c r="T212" s="55" t="str">
        <f>IF(ISNUMBER(SEARCH(",",N212)),"Y","N")</f>
        <v>N</v>
      </c>
      <c r="U212" s="57">
        <v>30000</v>
      </c>
      <c r="V212" s="57" t="s">
        <v>101</v>
      </c>
      <c r="W212" s="55" t="s">
        <v>2319</v>
      </c>
      <c r="X212" s="54" t="s">
        <v>4221</v>
      </c>
      <c r="Y212" s="52"/>
      <c r="Z212" s="56" t="s">
        <v>61</v>
      </c>
      <c r="AA212" s="56" t="s">
        <v>710</v>
      </c>
      <c r="AB212" s="56"/>
      <c r="AC212" s="56"/>
      <c r="AD212" s="3" t="s">
        <v>62</v>
      </c>
      <c r="AE212" s="1" t="s">
        <v>108</v>
      </c>
      <c r="AF212" s="56"/>
      <c r="AG212" s="56" t="s">
        <v>711</v>
      </c>
      <c r="AH212" s="45">
        <v>100</v>
      </c>
      <c r="AI212" s="56"/>
      <c r="AJ212" s="56"/>
      <c r="AK212" s="56"/>
      <c r="AL212" s="56"/>
      <c r="AM212" s="56"/>
      <c r="AN212" s="56"/>
      <c r="AO212" s="56"/>
      <c r="AP212" s="56"/>
      <c r="AQ212" s="56"/>
      <c r="AR212" s="56"/>
      <c r="AS212" s="56"/>
      <c r="AT212" s="56"/>
      <c r="AU212" s="56"/>
      <c r="AV212" s="56"/>
      <c r="AW212" s="56"/>
      <c r="AX212" s="56"/>
      <c r="AY212" s="56"/>
      <c r="AZ212" s="4" t="s">
        <v>708</v>
      </c>
      <c r="BA212" s="56"/>
      <c r="BB212" s="1"/>
      <c r="BC212" s="1"/>
    </row>
    <row r="213" spans="1:55" s="78" customFormat="1" ht="14.65" customHeight="1" x14ac:dyDescent="0.25">
      <c r="A213" s="52" t="s">
        <v>4222</v>
      </c>
      <c r="B213" s="34" t="s">
        <v>59</v>
      </c>
      <c r="C213" s="53">
        <v>2026</v>
      </c>
      <c r="D213" s="53">
        <v>2026</v>
      </c>
      <c r="E213" s="54" t="s">
        <v>3069</v>
      </c>
      <c r="F213" s="55" t="s">
        <v>50</v>
      </c>
      <c r="G213" s="55" t="s">
        <v>50</v>
      </c>
      <c r="H213" s="45" t="s">
        <v>714</v>
      </c>
      <c r="I213" s="61" t="s">
        <v>78</v>
      </c>
      <c r="J213" s="56"/>
      <c r="K213" s="55" t="s">
        <v>715</v>
      </c>
      <c r="L213" s="55" t="str">
        <f>IF(K213="Mine or Quarry","Mine","")</f>
        <v/>
      </c>
      <c r="M213" s="55"/>
      <c r="N213" s="55" t="s">
        <v>181</v>
      </c>
      <c r="O213" s="55"/>
      <c r="P213" s="55" t="s">
        <v>716</v>
      </c>
      <c r="Q213" s="55" t="s">
        <v>5353</v>
      </c>
      <c r="R213" s="55"/>
      <c r="S213" s="56" t="s">
        <v>81</v>
      </c>
      <c r="T213" s="55" t="str">
        <f>IF(ISNUMBER(SEARCH(",",N213)),"Y","N")</f>
        <v>N</v>
      </c>
      <c r="U213" s="57">
        <v>87000</v>
      </c>
      <c r="V213" s="57" t="s">
        <v>101</v>
      </c>
      <c r="W213" s="55" t="s">
        <v>2319</v>
      </c>
      <c r="X213" s="54" t="s">
        <v>4222</v>
      </c>
      <c r="Y213" s="52"/>
      <c r="Z213" s="3" t="s">
        <v>61</v>
      </c>
      <c r="AA213" s="3" t="s">
        <v>717</v>
      </c>
      <c r="AB213" s="3"/>
      <c r="AC213" s="3"/>
      <c r="AD213" s="3" t="s">
        <v>62</v>
      </c>
      <c r="AE213" s="3" t="s">
        <v>718</v>
      </c>
      <c r="AF213" s="3"/>
      <c r="AG213" s="3" t="s">
        <v>719</v>
      </c>
      <c r="AH213" s="58">
        <v>100</v>
      </c>
      <c r="AI213" s="3"/>
      <c r="AJ213" s="3"/>
      <c r="AK213" s="3"/>
      <c r="AL213" s="3"/>
      <c r="AM213" s="3"/>
      <c r="AN213" s="3"/>
      <c r="AO213" s="3"/>
      <c r="AP213" s="3"/>
      <c r="AQ213" s="3"/>
      <c r="AR213" s="3"/>
      <c r="AS213" s="3"/>
      <c r="AT213" s="3"/>
      <c r="AU213" s="3"/>
      <c r="AV213" s="3"/>
      <c r="AW213" s="3"/>
      <c r="AX213" s="3"/>
      <c r="AY213" s="3"/>
      <c r="AZ213" s="4" t="s">
        <v>713</v>
      </c>
      <c r="BA213" s="3"/>
      <c r="BB213" s="1"/>
      <c r="BC213" s="1"/>
    </row>
    <row r="214" spans="1:55" s="78" customFormat="1" ht="15" customHeight="1" x14ac:dyDescent="0.25">
      <c r="A214" s="52" t="s">
        <v>4223</v>
      </c>
      <c r="B214" s="34" t="s">
        <v>59</v>
      </c>
      <c r="C214" s="53">
        <v>2026</v>
      </c>
      <c r="D214" s="53">
        <v>2026</v>
      </c>
      <c r="E214" s="54" t="s">
        <v>3070</v>
      </c>
      <c r="F214" s="55" t="s">
        <v>50</v>
      </c>
      <c r="G214" s="55" t="s">
        <v>50</v>
      </c>
      <c r="H214" s="45" t="s">
        <v>720</v>
      </c>
      <c r="I214" s="56" t="s">
        <v>52</v>
      </c>
      <c r="J214" s="56"/>
      <c r="K214" s="55" t="s">
        <v>715</v>
      </c>
      <c r="L214" s="55"/>
      <c r="M214" s="55"/>
      <c r="N214" s="55" t="s">
        <v>358</v>
      </c>
      <c r="O214" s="55"/>
      <c r="P214" s="55" t="s">
        <v>716</v>
      </c>
      <c r="Q214" s="55" t="s">
        <v>5353</v>
      </c>
      <c r="R214" s="55"/>
      <c r="S214" s="56" t="s">
        <v>81</v>
      </c>
      <c r="T214" s="55" t="s">
        <v>81</v>
      </c>
      <c r="U214" s="57">
        <v>87000</v>
      </c>
      <c r="V214" s="57" t="s">
        <v>101</v>
      </c>
      <c r="W214" s="55" t="s">
        <v>2319</v>
      </c>
      <c r="X214" s="54" t="s">
        <v>4223</v>
      </c>
      <c r="Y214" s="52"/>
      <c r="Z214" s="3" t="s">
        <v>61</v>
      </c>
      <c r="AA214" s="3" t="s">
        <v>717</v>
      </c>
      <c r="AB214" s="3"/>
      <c r="AC214" s="3"/>
      <c r="AD214" s="3" t="s">
        <v>62</v>
      </c>
      <c r="AE214" s="3" t="s">
        <v>718</v>
      </c>
      <c r="AF214" s="3"/>
      <c r="AG214" s="3" t="s">
        <v>719</v>
      </c>
      <c r="AH214" s="58">
        <v>100</v>
      </c>
      <c r="AI214" s="3"/>
      <c r="AJ214" s="3"/>
      <c r="AK214" s="3"/>
      <c r="AL214" s="3"/>
      <c r="AM214" s="3"/>
      <c r="AN214" s="3"/>
      <c r="AO214" s="3"/>
      <c r="AP214" s="3"/>
      <c r="AQ214" s="3"/>
      <c r="AR214" s="3"/>
      <c r="AS214" s="3"/>
      <c r="AT214" s="3"/>
      <c r="AU214" s="3"/>
      <c r="AV214" s="3"/>
      <c r="AW214" s="3"/>
      <c r="AX214" s="3"/>
      <c r="AY214" s="3"/>
      <c r="AZ214" s="4" t="s">
        <v>713</v>
      </c>
      <c r="BA214" s="3"/>
      <c r="BB214" s="1"/>
      <c r="BC214" s="1"/>
    </row>
    <row r="215" spans="1:55" s="78" customFormat="1" ht="15" customHeight="1" x14ac:dyDescent="0.25">
      <c r="A215" s="52" t="s">
        <v>4224</v>
      </c>
      <c r="B215" s="34" t="s">
        <v>59</v>
      </c>
      <c r="C215" s="53">
        <v>2026</v>
      </c>
      <c r="D215" s="53">
        <v>2026</v>
      </c>
      <c r="E215" s="54" t="s">
        <v>3071</v>
      </c>
      <c r="F215" s="55" t="s">
        <v>50</v>
      </c>
      <c r="G215" s="55" t="s">
        <v>50</v>
      </c>
      <c r="H215" s="45" t="s">
        <v>722</v>
      </c>
      <c r="I215" s="56" t="s">
        <v>52</v>
      </c>
      <c r="J215" s="56"/>
      <c r="K215" s="55" t="s">
        <v>715</v>
      </c>
      <c r="L215" s="55"/>
      <c r="M215" s="55"/>
      <c r="N215" s="55" t="s">
        <v>358</v>
      </c>
      <c r="O215" s="55" t="s">
        <v>723</v>
      </c>
      <c r="P215" s="55" t="s">
        <v>716</v>
      </c>
      <c r="Q215" s="55" t="s">
        <v>5353</v>
      </c>
      <c r="R215" s="55"/>
      <c r="S215" s="56" t="s">
        <v>81</v>
      </c>
      <c r="T215" s="55" t="str">
        <f>IF(ISNUMBER(SEARCH(",",N215)),"Y","N")</f>
        <v>N</v>
      </c>
      <c r="U215" s="57">
        <v>700000</v>
      </c>
      <c r="V215" s="57" t="s">
        <v>101</v>
      </c>
      <c r="W215" s="55" t="s">
        <v>2319</v>
      </c>
      <c r="X215" s="54" t="s">
        <v>4224</v>
      </c>
      <c r="Y215" s="52"/>
      <c r="Z215" s="3" t="s">
        <v>61</v>
      </c>
      <c r="AA215" s="3" t="s">
        <v>717</v>
      </c>
      <c r="AB215" s="3"/>
      <c r="AC215" s="3"/>
      <c r="AD215" s="3" t="s">
        <v>62</v>
      </c>
      <c r="AE215" s="3" t="s">
        <v>718</v>
      </c>
      <c r="AF215" s="3"/>
      <c r="AG215" s="3" t="s">
        <v>361</v>
      </c>
      <c r="AH215" s="58">
        <v>100</v>
      </c>
      <c r="AI215" s="3"/>
      <c r="AJ215" s="3"/>
      <c r="AK215" s="3"/>
      <c r="AL215" s="3"/>
      <c r="AM215" s="3"/>
      <c r="AN215" s="3"/>
      <c r="AO215" s="3"/>
      <c r="AP215" s="3"/>
      <c r="AQ215" s="3"/>
      <c r="AR215" s="3"/>
      <c r="AS215" s="3"/>
      <c r="AT215" s="3"/>
      <c r="AU215" s="3"/>
      <c r="AV215" s="3"/>
      <c r="AW215" s="3"/>
      <c r="AX215" s="3"/>
      <c r="AY215" s="3"/>
      <c r="AZ215" s="4" t="s">
        <v>721</v>
      </c>
      <c r="BA215" s="3"/>
      <c r="BB215" s="1"/>
      <c r="BC215" s="1"/>
    </row>
    <row r="216" spans="1:55" s="78" customFormat="1" ht="15" customHeight="1" x14ac:dyDescent="0.25">
      <c r="A216" s="52" t="s">
        <v>4225</v>
      </c>
      <c r="B216" s="34" t="s">
        <v>59</v>
      </c>
      <c r="C216" s="53">
        <v>2026</v>
      </c>
      <c r="D216" s="53">
        <v>2026</v>
      </c>
      <c r="E216" s="54" t="s">
        <v>3072</v>
      </c>
      <c r="F216" s="55" t="s">
        <v>50</v>
      </c>
      <c r="G216" s="55" t="s">
        <v>50</v>
      </c>
      <c r="H216" s="45" t="s">
        <v>724</v>
      </c>
      <c r="I216" s="56" t="s">
        <v>78</v>
      </c>
      <c r="J216" s="56"/>
      <c r="K216" s="55" t="s">
        <v>715</v>
      </c>
      <c r="L216" s="55" t="str">
        <f>IF(K216="Mine or Quarry","Mine","")</f>
        <v/>
      </c>
      <c r="M216" s="55"/>
      <c r="N216" s="55" t="s">
        <v>181</v>
      </c>
      <c r="O216" s="55"/>
      <c r="P216" s="55" t="s">
        <v>716</v>
      </c>
      <c r="Q216" s="55" t="s">
        <v>5353</v>
      </c>
      <c r="R216" s="55"/>
      <c r="S216" s="56" t="s">
        <v>81</v>
      </c>
      <c r="T216" s="55" t="str">
        <f>IF(ISNUMBER(SEARCH(",",N216)),"Y","N")</f>
        <v>N</v>
      </c>
      <c r="U216" s="57">
        <v>229518</v>
      </c>
      <c r="V216" s="57" t="s">
        <v>101</v>
      </c>
      <c r="W216" s="55" t="s">
        <v>2319</v>
      </c>
      <c r="X216" s="54" t="s">
        <v>4225</v>
      </c>
      <c r="Y216" s="52"/>
      <c r="Z216" s="3" t="s">
        <v>2005</v>
      </c>
      <c r="AA216" s="3" t="s">
        <v>717</v>
      </c>
      <c r="AB216" s="3"/>
      <c r="AC216" s="3"/>
      <c r="AD216" s="3" t="s">
        <v>62</v>
      </c>
      <c r="AE216" s="3" t="s">
        <v>718</v>
      </c>
      <c r="AF216" s="3"/>
      <c r="AG216" s="3" t="s">
        <v>719</v>
      </c>
      <c r="AH216" s="58">
        <v>100</v>
      </c>
      <c r="AI216" s="3"/>
      <c r="AJ216" s="3"/>
      <c r="AK216" s="3"/>
      <c r="AL216" s="3"/>
      <c r="AM216" s="3"/>
      <c r="AN216" s="3"/>
      <c r="AO216" s="3"/>
      <c r="AP216" s="3"/>
      <c r="AQ216" s="3"/>
      <c r="AR216" s="3"/>
      <c r="AS216" s="3"/>
      <c r="AT216" s="3"/>
      <c r="AU216" s="3"/>
      <c r="AV216" s="3"/>
      <c r="AW216" s="3"/>
      <c r="AX216" s="3"/>
      <c r="AY216" s="3"/>
      <c r="AZ216" s="4" t="s">
        <v>713</v>
      </c>
      <c r="BA216" s="3"/>
      <c r="BB216" s="1"/>
      <c r="BC216" s="1"/>
    </row>
    <row r="217" spans="1:55" s="78" customFormat="1" ht="15" customHeight="1" x14ac:dyDescent="0.25">
      <c r="A217" s="52" t="s">
        <v>4226</v>
      </c>
      <c r="B217" s="34" t="s">
        <v>59</v>
      </c>
      <c r="C217" s="53">
        <v>2026</v>
      </c>
      <c r="D217" s="53">
        <v>2026</v>
      </c>
      <c r="E217" s="54" t="s">
        <v>3073</v>
      </c>
      <c r="F217" s="55" t="s">
        <v>50</v>
      </c>
      <c r="G217" s="55" t="s">
        <v>50</v>
      </c>
      <c r="H217" s="45" t="s">
        <v>726</v>
      </c>
      <c r="I217" s="56" t="s">
        <v>52</v>
      </c>
      <c r="J217" s="56" t="s">
        <v>291</v>
      </c>
      <c r="K217" s="55" t="s">
        <v>291</v>
      </c>
      <c r="L217" s="55"/>
      <c r="M217" s="55"/>
      <c r="N217" s="56" t="s">
        <v>300</v>
      </c>
      <c r="O217" s="55"/>
      <c r="P217" s="56" t="s">
        <v>89</v>
      </c>
      <c r="Q217" s="56" t="s">
        <v>89</v>
      </c>
      <c r="R217" s="55"/>
      <c r="S217" s="56" t="s">
        <v>81</v>
      </c>
      <c r="T217" s="55" t="s">
        <v>81</v>
      </c>
      <c r="U217" s="57">
        <v>-999</v>
      </c>
      <c r="V217" s="57" t="s">
        <v>59</v>
      </c>
      <c r="W217" s="55" t="s">
        <v>2319</v>
      </c>
      <c r="X217" s="54" t="s">
        <v>4226</v>
      </c>
      <c r="Y217" s="52"/>
      <c r="Z217" s="3" t="s">
        <v>61</v>
      </c>
      <c r="AA217" s="3" t="s">
        <v>727</v>
      </c>
      <c r="AB217" s="3"/>
      <c r="AC217" s="3"/>
      <c r="AD217" s="3" t="s">
        <v>62</v>
      </c>
      <c r="AE217" s="3" t="s">
        <v>524</v>
      </c>
      <c r="AF217" s="3"/>
      <c r="AG217" s="3" t="s">
        <v>728</v>
      </c>
      <c r="AH217" s="58">
        <v>100</v>
      </c>
      <c r="AI217" s="3"/>
      <c r="AJ217" s="3"/>
      <c r="AK217" s="3"/>
      <c r="AL217" s="3"/>
      <c r="AM217" s="3"/>
      <c r="AN217" s="3"/>
      <c r="AO217" s="3"/>
      <c r="AP217" s="3"/>
      <c r="AQ217" s="3"/>
      <c r="AR217" s="3"/>
      <c r="AS217" s="3"/>
      <c r="AT217" s="3"/>
      <c r="AU217" s="3"/>
      <c r="AV217" s="3"/>
      <c r="AW217" s="3"/>
      <c r="AX217" s="3"/>
      <c r="AY217" s="3"/>
      <c r="AZ217" s="4" t="s">
        <v>725</v>
      </c>
      <c r="BA217" s="3"/>
      <c r="BB217" s="1"/>
      <c r="BC217" s="1"/>
    </row>
    <row r="218" spans="1:55" s="78" customFormat="1" ht="15" customHeight="1" x14ac:dyDescent="0.25">
      <c r="A218" s="52" t="s">
        <v>4227</v>
      </c>
      <c r="B218" s="34" t="s">
        <v>59</v>
      </c>
      <c r="C218" s="53">
        <v>2026</v>
      </c>
      <c r="D218" s="53">
        <v>2026</v>
      </c>
      <c r="E218" s="54" t="s">
        <v>3074</v>
      </c>
      <c r="F218" s="55" t="s">
        <v>50</v>
      </c>
      <c r="G218" s="55" t="s">
        <v>50</v>
      </c>
      <c r="H218" s="45" t="s">
        <v>729</v>
      </c>
      <c r="I218" s="45" t="s">
        <v>52</v>
      </c>
      <c r="J218" s="56" t="s">
        <v>165</v>
      </c>
      <c r="K218" s="56" t="s">
        <v>166</v>
      </c>
      <c r="L218" s="55"/>
      <c r="M218" s="55"/>
      <c r="N218" s="56" t="s">
        <v>280</v>
      </c>
      <c r="O218" s="56"/>
      <c r="P218" s="56" t="s">
        <v>89</v>
      </c>
      <c r="Q218" s="56" t="s">
        <v>89</v>
      </c>
      <c r="R218" s="55"/>
      <c r="S218" s="56" t="s">
        <v>81</v>
      </c>
      <c r="T218" s="55" t="s">
        <v>58</v>
      </c>
      <c r="U218" s="57">
        <v>-999</v>
      </c>
      <c r="V218" s="57" t="s">
        <v>59</v>
      </c>
      <c r="W218" s="55" t="s">
        <v>2319</v>
      </c>
      <c r="X218" s="54" t="s">
        <v>4227</v>
      </c>
      <c r="Y218" s="52"/>
      <c r="Z218" s="1" t="s">
        <v>61</v>
      </c>
      <c r="AA218" s="1" t="s">
        <v>730</v>
      </c>
      <c r="AB218" s="1"/>
      <c r="AC218" s="1"/>
      <c r="AD218" s="3" t="s">
        <v>62</v>
      </c>
      <c r="AE218" s="3" t="s">
        <v>262</v>
      </c>
      <c r="AF218" s="3"/>
      <c r="AG218" s="3" t="s">
        <v>731</v>
      </c>
      <c r="AH218" s="58">
        <v>100</v>
      </c>
      <c r="AI218" s="1"/>
      <c r="AJ218" s="1"/>
      <c r="AK218" s="1"/>
      <c r="AL218" s="1"/>
      <c r="AM218" s="1"/>
      <c r="AN218" s="1"/>
      <c r="AO218" s="1"/>
      <c r="AP218" s="1"/>
      <c r="AQ218" s="1"/>
      <c r="AR218" s="1"/>
      <c r="AS218" s="1"/>
      <c r="AT218" s="1"/>
      <c r="AU218" s="1"/>
      <c r="AV218" s="1"/>
      <c r="AW218" s="1"/>
      <c r="AX218" s="1"/>
      <c r="AY218" s="1"/>
      <c r="AZ218" s="4" t="s">
        <v>163</v>
      </c>
      <c r="BA218" s="1"/>
      <c r="BB218" s="1"/>
      <c r="BC218" s="1"/>
    </row>
    <row r="219" spans="1:55" s="78" customFormat="1" ht="15" customHeight="1" x14ac:dyDescent="0.25">
      <c r="A219" s="52" t="s">
        <v>4228</v>
      </c>
      <c r="B219" s="34" t="s">
        <v>59</v>
      </c>
      <c r="C219" s="53">
        <v>2026</v>
      </c>
      <c r="D219" s="53">
        <v>2026</v>
      </c>
      <c r="E219" s="54" t="s">
        <v>3074</v>
      </c>
      <c r="F219" s="55" t="s">
        <v>50</v>
      </c>
      <c r="G219" s="55" t="s">
        <v>50</v>
      </c>
      <c r="H219" s="45" t="s">
        <v>729</v>
      </c>
      <c r="I219" s="45" t="s">
        <v>52</v>
      </c>
      <c r="J219" s="56" t="s">
        <v>165</v>
      </c>
      <c r="K219" s="56" t="s">
        <v>166</v>
      </c>
      <c r="L219" s="55"/>
      <c r="M219" s="55"/>
      <c r="N219" s="56" t="s">
        <v>80</v>
      </c>
      <c r="O219" s="56"/>
      <c r="P219" s="56" t="s">
        <v>89</v>
      </c>
      <c r="Q219" s="56" t="s">
        <v>89</v>
      </c>
      <c r="R219" s="55"/>
      <c r="S219" s="56" t="s">
        <v>81</v>
      </c>
      <c r="T219" s="55" t="s">
        <v>58</v>
      </c>
      <c r="U219" s="57">
        <v>-999</v>
      </c>
      <c r="V219" s="57" t="s">
        <v>59</v>
      </c>
      <c r="W219" s="55" t="s">
        <v>2319</v>
      </c>
      <c r="X219" s="54" t="s">
        <v>4228</v>
      </c>
      <c r="Y219" s="52"/>
      <c r="Z219" s="1" t="s">
        <v>61</v>
      </c>
      <c r="AA219" s="1" t="s">
        <v>730</v>
      </c>
      <c r="AB219" s="1"/>
      <c r="AC219" s="1"/>
      <c r="AD219" s="3" t="s">
        <v>62</v>
      </c>
      <c r="AE219" s="3" t="s">
        <v>262</v>
      </c>
      <c r="AF219" s="3"/>
      <c r="AG219" s="3" t="s">
        <v>731</v>
      </c>
      <c r="AH219" s="58">
        <v>100</v>
      </c>
      <c r="AI219" s="1"/>
      <c r="AJ219" s="1"/>
      <c r="AK219" s="1"/>
      <c r="AL219" s="1"/>
      <c r="AM219" s="1"/>
      <c r="AN219" s="1"/>
      <c r="AO219" s="1"/>
      <c r="AP219" s="1"/>
      <c r="AQ219" s="1"/>
      <c r="AR219" s="1"/>
      <c r="AS219" s="1"/>
      <c r="AT219" s="1"/>
      <c r="AU219" s="1"/>
      <c r="AV219" s="1"/>
      <c r="AW219" s="1"/>
      <c r="AX219" s="1"/>
      <c r="AY219" s="1"/>
      <c r="AZ219" s="4" t="s">
        <v>163</v>
      </c>
      <c r="BA219" s="1"/>
      <c r="BB219" s="1"/>
      <c r="BC219" s="1"/>
    </row>
    <row r="220" spans="1:55" s="78" customFormat="1" ht="15" customHeight="1" x14ac:dyDescent="0.25">
      <c r="A220" s="52" t="s">
        <v>4229</v>
      </c>
      <c r="B220" s="34" t="s">
        <v>59</v>
      </c>
      <c r="C220" s="53">
        <v>2026</v>
      </c>
      <c r="D220" s="53">
        <v>2026</v>
      </c>
      <c r="E220" s="54" t="s">
        <v>3075</v>
      </c>
      <c r="F220" s="55" t="s">
        <v>50</v>
      </c>
      <c r="G220" s="55" t="s">
        <v>50</v>
      </c>
      <c r="H220" s="45" t="s">
        <v>733</v>
      </c>
      <c r="I220" s="45" t="s">
        <v>52</v>
      </c>
      <c r="J220" s="56"/>
      <c r="K220" s="55" t="s">
        <v>582</v>
      </c>
      <c r="L220" s="55" t="s">
        <v>317</v>
      </c>
      <c r="M220" s="55" t="s">
        <v>113</v>
      </c>
      <c r="N220" s="55" t="s">
        <v>141</v>
      </c>
      <c r="O220" s="55"/>
      <c r="P220" s="61" t="s">
        <v>583</v>
      </c>
      <c r="Q220" s="61" t="s">
        <v>57</v>
      </c>
      <c r="R220" s="55"/>
      <c r="S220" s="56" t="s">
        <v>81</v>
      </c>
      <c r="T220" s="55" t="s">
        <v>81</v>
      </c>
      <c r="U220" s="57">
        <v>-999</v>
      </c>
      <c r="V220" s="57" t="s">
        <v>59</v>
      </c>
      <c r="W220" s="55" t="s">
        <v>2319</v>
      </c>
      <c r="X220" s="54" t="s">
        <v>4229</v>
      </c>
      <c r="Y220" s="52"/>
      <c r="Z220" s="3" t="s">
        <v>61</v>
      </c>
      <c r="AA220" s="65" t="s">
        <v>734</v>
      </c>
      <c r="AB220" s="65"/>
      <c r="AC220" s="65"/>
      <c r="AD220" s="3" t="s">
        <v>62</v>
      </c>
      <c r="AE220" s="3" t="s">
        <v>108</v>
      </c>
      <c r="AF220" s="3" t="s">
        <v>735</v>
      </c>
      <c r="AG220" s="3" t="s">
        <v>735</v>
      </c>
      <c r="AH220" s="58">
        <v>100</v>
      </c>
      <c r="AI220" s="1"/>
      <c r="AJ220" s="1"/>
      <c r="AK220" s="1"/>
      <c r="AL220" s="1"/>
      <c r="AM220" s="1"/>
      <c r="AN220" s="1"/>
      <c r="AO220" s="1"/>
      <c r="AP220" s="1"/>
      <c r="AQ220" s="1"/>
      <c r="AR220" s="1"/>
      <c r="AS220" s="1"/>
      <c r="AT220" s="1"/>
      <c r="AU220" s="1"/>
      <c r="AV220" s="1"/>
      <c r="AW220" s="1"/>
      <c r="AX220" s="1"/>
      <c r="AY220" s="1"/>
      <c r="AZ220" s="4" t="s">
        <v>732</v>
      </c>
      <c r="BA220" s="1"/>
      <c r="BB220" s="1"/>
      <c r="BC220" s="1"/>
    </row>
    <row r="221" spans="1:55" s="78" customFormat="1" ht="15" customHeight="1" x14ac:dyDescent="0.25">
      <c r="A221" s="52" t="s">
        <v>4230</v>
      </c>
      <c r="B221" s="34" t="s">
        <v>59</v>
      </c>
      <c r="C221" s="53">
        <v>2026</v>
      </c>
      <c r="D221" s="53">
        <v>2026</v>
      </c>
      <c r="E221" s="54" t="s">
        <v>3076</v>
      </c>
      <c r="F221" s="55" t="s">
        <v>50</v>
      </c>
      <c r="G221" s="55" t="s">
        <v>50</v>
      </c>
      <c r="H221" s="45" t="s">
        <v>737</v>
      </c>
      <c r="I221" s="56" t="s">
        <v>78</v>
      </c>
      <c r="J221" s="56"/>
      <c r="K221" s="55" t="s">
        <v>74</v>
      </c>
      <c r="L221" s="55" t="str">
        <f>IF(K221="Mines and Quarries","Mine","")</f>
        <v/>
      </c>
      <c r="M221" s="55"/>
      <c r="N221" s="55" t="s">
        <v>181</v>
      </c>
      <c r="O221" s="55"/>
      <c r="P221" s="55" t="s">
        <v>75</v>
      </c>
      <c r="Q221" s="56" t="s">
        <v>57</v>
      </c>
      <c r="R221" s="55"/>
      <c r="S221" s="56" t="s">
        <v>58</v>
      </c>
      <c r="T221" s="55" t="str">
        <f>IF(ISNUMBER(SEARCH(",",N221)),"Y","N")</f>
        <v>N</v>
      </c>
      <c r="U221" s="57">
        <v>-999</v>
      </c>
      <c r="V221" s="57" t="s">
        <v>59</v>
      </c>
      <c r="W221" s="55" t="s">
        <v>2797</v>
      </c>
      <c r="X221" s="54" t="s">
        <v>4230</v>
      </c>
      <c r="Y221" s="52"/>
      <c r="Z221" s="2" t="s">
        <v>61</v>
      </c>
      <c r="AA221" s="3" t="s">
        <v>738</v>
      </c>
      <c r="AB221" s="3"/>
      <c r="AC221" s="3"/>
      <c r="AD221" s="3" t="s">
        <v>62</v>
      </c>
      <c r="AE221" s="2" t="s">
        <v>464</v>
      </c>
      <c r="AF221" s="3" t="s">
        <v>739</v>
      </c>
      <c r="AG221" s="3" t="s">
        <v>739</v>
      </c>
      <c r="AH221" s="53">
        <v>100</v>
      </c>
      <c r="AI221" s="3"/>
      <c r="AJ221" s="53"/>
      <c r="AK221" s="3"/>
      <c r="AL221" s="53"/>
      <c r="AM221" s="3"/>
      <c r="AN221" s="53"/>
      <c r="AO221" s="3"/>
      <c r="AP221" s="53"/>
      <c r="AQ221" s="3"/>
      <c r="AR221" s="53"/>
      <c r="AS221" s="3"/>
      <c r="AT221" s="53"/>
      <c r="AU221" s="3"/>
      <c r="AV221" s="53"/>
      <c r="AW221" s="3"/>
      <c r="AX221" s="53"/>
      <c r="AY221" s="3"/>
      <c r="AZ221" s="4" t="s">
        <v>736</v>
      </c>
      <c r="BA221" s="32"/>
      <c r="BB221" s="1"/>
      <c r="BC221" s="1"/>
    </row>
    <row r="222" spans="1:55" s="78" customFormat="1" ht="15" customHeight="1" x14ac:dyDescent="0.25">
      <c r="A222" s="52" t="s">
        <v>4231</v>
      </c>
      <c r="B222" s="34" t="s">
        <v>59</v>
      </c>
      <c r="C222" s="53">
        <v>2026</v>
      </c>
      <c r="D222" s="53">
        <v>2026</v>
      </c>
      <c r="E222" s="54" t="s">
        <v>3076</v>
      </c>
      <c r="F222" s="55" t="s">
        <v>50</v>
      </c>
      <c r="G222" s="55" t="s">
        <v>50</v>
      </c>
      <c r="H222" s="45" t="s">
        <v>737</v>
      </c>
      <c r="I222" s="56" t="s">
        <v>78</v>
      </c>
      <c r="J222" s="56"/>
      <c r="K222" s="55" t="s">
        <v>71</v>
      </c>
      <c r="L222" s="55" t="str">
        <f>IF(K222="Mine or Quarry","Mine","")</f>
        <v/>
      </c>
      <c r="M222" s="55"/>
      <c r="N222" s="55" t="s">
        <v>181</v>
      </c>
      <c r="O222" s="55"/>
      <c r="P222" s="55" t="s">
        <v>73</v>
      </c>
      <c r="Q222" s="55" t="s">
        <v>57</v>
      </c>
      <c r="R222" s="55"/>
      <c r="S222" s="56" t="s">
        <v>58</v>
      </c>
      <c r="T222" s="55" t="s">
        <v>81</v>
      </c>
      <c r="U222" s="73">
        <v>6.18</v>
      </c>
      <c r="V222" s="57" t="s">
        <v>101</v>
      </c>
      <c r="W222" s="55"/>
      <c r="X222" s="54" t="s">
        <v>4231</v>
      </c>
      <c r="Y222" s="52"/>
      <c r="Z222" s="3" t="s">
        <v>61</v>
      </c>
      <c r="AA222" s="3" t="s">
        <v>738</v>
      </c>
      <c r="AB222" s="3"/>
      <c r="AC222" s="3"/>
      <c r="AD222" s="3" t="s">
        <v>62</v>
      </c>
      <c r="AE222" s="3" t="s">
        <v>464</v>
      </c>
      <c r="AF222" s="3" t="s">
        <v>740</v>
      </c>
      <c r="AG222" s="3" t="s">
        <v>739</v>
      </c>
      <c r="AH222" s="53">
        <v>100</v>
      </c>
      <c r="AI222" s="3"/>
      <c r="AJ222" s="53"/>
      <c r="AK222" s="3"/>
      <c r="AL222" s="53"/>
      <c r="AM222" s="3"/>
      <c r="AN222" s="53"/>
      <c r="AO222" s="3"/>
      <c r="AP222" s="53"/>
      <c r="AQ222" s="3"/>
      <c r="AR222" s="53"/>
      <c r="AS222" s="3"/>
      <c r="AT222" s="53"/>
      <c r="AU222" s="3"/>
      <c r="AV222" s="53"/>
      <c r="AW222" s="3"/>
      <c r="AX222" s="53"/>
      <c r="AY222" s="3"/>
      <c r="AZ222" s="4" t="s">
        <v>736</v>
      </c>
      <c r="BA222" s="32"/>
      <c r="BB222" s="1"/>
      <c r="BC222" s="1"/>
    </row>
    <row r="223" spans="1:55" s="78" customFormat="1" ht="15" customHeight="1" x14ac:dyDescent="0.25">
      <c r="A223" s="52" t="s">
        <v>4232</v>
      </c>
      <c r="B223" s="34" t="s">
        <v>59</v>
      </c>
      <c r="C223" s="53">
        <v>2026</v>
      </c>
      <c r="D223" s="53">
        <v>2026</v>
      </c>
      <c r="E223" s="54" t="s">
        <v>3077</v>
      </c>
      <c r="F223" s="55" t="s">
        <v>50</v>
      </c>
      <c r="G223" s="55" t="s">
        <v>50</v>
      </c>
      <c r="H223" s="45" t="s">
        <v>741</v>
      </c>
      <c r="I223" s="56" t="s">
        <v>52</v>
      </c>
      <c r="J223" s="56"/>
      <c r="K223" s="55" t="s">
        <v>74</v>
      </c>
      <c r="L223" s="55"/>
      <c r="M223" s="55"/>
      <c r="N223" s="55" t="s">
        <v>110</v>
      </c>
      <c r="O223" s="56" t="s">
        <v>296</v>
      </c>
      <c r="P223" s="55" t="s">
        <v>75</v>
      </c>
      <c r="Q223" s="55" t="s">
        <v>57</v>
      </c>
      <c r="R223" s="55"/>
      <c r="S223" s="56" t="s">
        <v>58</v>
      </c>
      <c r="T223" s="55" t="s">
        <v>81</v>
      </c>
      <c r="U223" s="57">
        <v>-999</v>
      </c>
      <c r="V223" s="57" t="s">
        <v>59</v>
      </c>
      <c r="W223" s="55" t="s">
        <v>2797</v>
      </c>
      <c r="X223" s="54" t="s">
        <v>4232</v>
      </c>
      <c r="Y223" s="52"/>
      <c r="Z223" s="3" t="s">
        <v>61</v>
      </c>
      <c r="AA223" s="3" t="s">
        <v>738</v>
      </c>
      <c r="AB223" s="3"/>
      <c r="AC223" s="3"/>
      <c r="AD223" s="3" t="s">
        <v>62</v>
      </c>
      <c r="AE223" s="3" t="s">
        <v>464</v>
      </c>
      <c r="AF223" s="3" t="s">
        <v>739</v>
      </c>
      <c r="AG223" s="3" t="s">
        <v>739</v>
      </c>
      <c r="AH223" s="53">
        <v>100</v>
      </c>
      <c r="AI223" s="3"/>
      <c r="AJ223" s="3"/>
      <c r="AK223" s="3"/>
      <c r="AL223" s="3"/>
      <c r="AM223" s="3"/>
      <c r="AN223" s="3"/>
      <c r="AO223" s="3"/>
      <c r="AP223" s="3"/>
      <c r="AQ223" s="3"/>
      <c r="AR223" s="3"/>
      <c r="AS223" s="3"/>
      <c r="AT223" s="3"/>
      <c r="AU223" s="3"/>
      <c r="AV223" s="3"/>
      <c r="AW223" s="3"/>
      <c r="AX223" s="3"/>
      <c r="AY223" s="3"/>
      <c r="AZ223" s="4" t="s">
        <v>736</v>
      </c>
      <c r="BA223" s="3"/>
      <c r="BB223" s="1"/>
      <c r="BC223" s="1"/>
    </row>
    <row r="224" spans="1:55" s="78" customFormat="1" ht="15" customHeight="1" x14ac:dyDescent="0.25">
      <c r="A224" s="52" t="s">
        <v>4233</v>
      </c>
      <c r="B224" s="34" t="s">
        <v>59</v>
      </c>
      <c r="C224" s="53">
        <v>2026</v>
      </c>
      <c r="D224" s="53">
        <v>2026</v>
      </c>
      <c r="E224" s="54" t="s">
        <v>3077</v>
      </c>
      <c r="F224" s="55" t="s">
        <v>50</v>
      </c>
      <c r="G224" s="55" t="s">
        <v>50</v>
      </c>
      <c r="H224" s="45" t="s">
        <v>741</v>
      </c>
      <c r="I224" s="56" t="s">
        <v>52</v>
      </c>
      <c r="J224" s="56"/>
      <c r="K224" s="55" t="s">
        <v>71</v>
      </c>
      <c r="L224" s="55" t="str">
        <f>IF(K224="Mine or Quarry","Mine","")</f>
        <v/>
      </c>
      <c r="M224" s="55"/>
      <c r="N224" s="55" t="s">
        <v>110</v>
      </c>
      <c r="O224" s="45" t="s">
        <v>296</v>
      </c>
      <c r="P224" s="55" t="s">
        <v>73</v>
      </c>
      <c r="Q224" s="55" t="s">
        <v>57</v>
      </c>
      <c r="R224" s="55"/>
      <c r="S224" s="56" t="s">
        <v>58</v>
      </c>
      <c r="T224" s="55" t="s">
        <v>81</v>
      </c>
      <c r="U224" s="73">
        <v>6.18</v>
      </c>
      <c r="V224" s="57" t="s">
        <v>101</v>
      </c>
      <c r="W224" s="55"/>
      <c r="X224" s="54" t="s">
        <v>4233</v>
      </c>
      <c r="Y224" s="52"/>
      <c r="Z224" s="2" t="s">
        <v>61</v>
      </c>
      <c r="AA224" s="3" t="s">
        <v>738</v>
      </c>
      <c r="AB224" s="3"/>
      <c r="AC224" s="3"/>
      <c r="AD224" s="3" t="s">
        <v>62</v>
      </c>
      <c r="AE224" s="2" t="s">
        <v>464</v>
      </c>
      <c r="AF224" s="3" t="s">
        <v>740</v>
      </c>
      <c r="AG224" s="3" t="s">
        <v>739</v>
      </c>
      <c r="AH224" s="53">
        <v>100</v>
      </c>
      <c r="AI224" s="3"/>
      <c r="AJ224" s="53"/>
      <c r="AK224" s="3"/>
      <c r="AL224" s="53"/>
      <c r="AM224" s="3"/>
      <c r="AN224" s="53"/>
      <c r="AO224" s="3"/>
      <c r="AP224" s="53"/>
      <c r="AQ224" s="3"/>
      <c r="AR224" s="53"/>
      <c r="AS224" s="3"/>
      <c r="AT224" s="53"/>
      <c r="AU224" s="3"/>
      <c r="AV224" s="53"/>
      <c r="AW224" s="3"/>
      <c r="AX224" s="53"/>
      <c r="AY224" s="3"/>
      <c r="AZ224" s="4" t="s">
        <v>736</v>
      </c>
      <c r="BA224" s="32"/>
      <c r="BB224" s="1"/>
      <c r="BC224" s="1"/>
    </row>
    <row r="225" spans="1:55" s="78" customFormat="1" ht="15" customHeight="1" x14ac:dyDescent="0.25">
      <c r="A225" s="52" t="s">
        <v>4234</v>
      </c>
      <c r="B225" s="34" t="s">
        <v>59</v>
      </c>
      <c r="C225" s="53">
        <v>2026</v>
      </c>
      <c r="D225" s="53">
        <v>2026</v>
      </c>
      <c r="E225" s="54" t="s">
        <v>3078</v>
      </c>
      <c r="F225" s="55" t="s">
        <v>50</v>
      </c>
      <c r="G225" s="55" t="s">
        <v>50</v>
      </c>
      <c r="H225" s="45" t="s">
        <v>743</v>
      </c>
      <c r="I225" s="56" t="s">
        <v>52</v>
      </c>
      <c r="J225" s="56"/>
      <c r="K225" s="55" t="s">
        <v>744</v>
      </c>
      <c r="L225" s="55" t="str">
        <f>IF(K225="Mine or Quarry","Mine","")</f>
        <v/>
      </c>
      <c r="M225" s="55"/>
      <c r="N225" s="56"/>
      <c r="O225" s="56"/>
      <c r="P225" s="56" t="s">
        <v>745</v>
      </c>
      <c r="Q225" s="56" t="s">
        <v>57</v>
      </c>
      <c r="R225" s="55"/>
      <c r="S225" s="56" t="s">
        <v>81</v>
      </c>
      <c r="T225" s="55" t="str">
        <f>IF(ISNUMBER(SEARCH(",",N225)),"Y","N")</f>
        <v>N</v>
      </c>
      <c r="U225" s="57">
        <v>36000</v>
      </c>
      <c r="V225" s="57" t="s">
        <v>101</v>
      </c>
      <c r="W225" s="55" t="s">
        <v>2319</v>
      </c>
      <c r="X225" s="54" t="s">
        <v>4234</v>
      </c>
      <c r="Y225" s="52"/>
      <c r="Z225" s="1" t="s">
        <v>61</v>
      </c>
      <c r="AA225" s="1" t="s">
        <v>746</v>
      </c>
      <c r="AB225" s="1"/>
      <c r="AC225" s="1"/>
      <c r="AD225" s="3" t="s">
        <v>62</v>
      </c>
      <c r="AE225" s="1" t="s">
        <v>366</v>
      </c>
      <c r="AF225" s="1"/>
      <c r="AG225" s="1" t="s">
        <v>747</v>
      </c>
      <c r="AH225" s="2">
        <v>100</v>
      </c>
      <c r="AI225" s="1"/>
      <c r="AJ225" s="1"/>
      <c r="AK225" s="1"/>
      <c r="AL225" s="1"/>
      <c r="AM225" s="1"/>
      <c r="AN225" s="1"/>
      <c r="AO225" s="1"/>
      <c r="AP225" s="1"/>
      <c r="AQ225" s="1"/>
      <c r="AR225" s="1"/>
      <c r="AS225" s="1"/>
      <c r="AT225" s="1"/>
      <c r="AU225" s="1"/>
      <c r="AV225" s="1"/>
      <c r="AW225" s="1"/>
      <c r="AX225" s="1"/>
      <c r="AY225" s="1"/>
      <c r="AZ225" s="4" t="s">
        <v>742</v>
      </c>
      <c r="BA225" s="1"/>
      <c r="BB225" s="1"/>
      <c r="BC225" s="1"/>
    </row>
    <row r="226" spans="1:55" s="78" customFormat="1" ht="15" customHeight="1" x14ac:dyDescent="0.25">
      <c r="A226" s="52" t="s">
        <v>4235</v>
      </c>
      <c r="B226" s="34" t="s">
        <v>59</v>
      </c>
      <c r="C226" s="53">
        <v>2026</v>
      </c>
      <c r="D226" s="53">
        <v>2026</v>
      </c>
      <c r="E226" s="54" t="s">
        <v>3079</v>
      </c>
      <c r="F226" s="55" t="s">
        <v>50</v>
      </c>
      <c r="G226" s="55" t="s">
        <v>50</v>
      </c>
      <c r="H226" s="45" t="s">
        <v>749</v>
      </c>
      <c r="I226" s="56" t="s">
        <v>78</v>
      </c>
      <c r="J226" s="56"/>
      <c r="K226" s="56" t="s">
        <v>79</v>
      </c>
      <c r="L226" s="55" t="str">
        <f>IF(K226="Mine or Quarry","Mine","")</f>
        <v/>
      </c>
      <c r="M226" s="55"/>
      <c r="N226" s="56" t="s">
        <v>80</v>
      </c>
      <c r="O226" s="56"/>
      <c r="P226" s="56" t="s">
        <v>89</v>
      </c>
      <c r="Q226" s="56" t="s">
        <v>89</v>
      </c>
      <c r="R226" s="55"/>
      <c r="S226" s="56" t="s">
        <v>81</v>
      </c>
      <c r="T226" s="55" t="str">
        <f>IF(ISNUMBER(SEARCH(",",N226)),"Y","N")</f>
        <v>N</v>
      </c>
      <c r="U226" s="57">
        <v>-999</v>
      </c>
      <c r="V226" s="57" t="s">
        <v>59</v>
      </c>
      <c r="W226" s="55" t="s">
        <v>2319</v>
      </c>
      <c r="X226" s="54" t="s">
        <v>4235</v>
      </c>
      <c r="Y226" s="52"/>
      <c r="Z226" s="1" t="s">
        <v>61</v>
      </c>
      <c r="AA226" s="1" t="s">
        <v>750</v>
      </c>
      <c r="AB226" s="1"/>
      <c r="AC226" s="1"/>
      <c r="AD226" s="3" t="s">
        <v>62</v>
      </c>
      <c r="AE226" s="1" t="s">
        <v>251</v>
      </c>
      <c r="AF226" s="1" t="s">
        <v>751</v>
      </c>
      <c r="AG226" s="1" t="s">
        <v>752</v>
      </c>
      <c r="AH226" s="1"/>
      <c r="AI226" s="1"/>
      <c r="AJ226" s="1"/>
      <c r="AK226" s="1"/>
      <c r="AL226" s="1"/>
      <c r="AM226" s="1"/>
      <c r="AN226" s="1"/>
      <c r="AO226" s="1"/>
      <c r="AP226" s="1"/>
      <c r="AQ226" s="1"/>
      <c r="AR226" s="1"/>
      <c r="AS226" s="1"/>
      <c r="AT226" s="1"/>
      <c r="AU226" s="1"/>
      <c r="AV226" s="1"/>
      <c r="AW226" s="1"/>
      <c r="AX226" s="1"/>
      <c r="AY226" s="1"/>
      <c r="AZ226" s="5" t="s">
        <v>748</v>
      </c>
      <c r="BA226" s="5"/>
      <c r="BB226" s="1"/>
      <c r="BC226" s="1"/>
    </row>
    <row r="227" spans="1:55" s="78" customFormat="1" ht="15" customHeight="1" x14ac:dyDescent="0.25">
      <c r="A227" s="52" t="s">
        <v>4236</v>
      </c>
      <c r="B227" s="34" t="s">
        <v>59</v>
      </c>
      <c r="C227" s="53">
        <v>2026</v>
      </c>
      <c r="D227" s="53">
        <v>2026</v>
      </c>
      <c r="E227" s="54" t="s">
        <v>3080</v>
      </c>
      <c r="F227" s="55" t="s">
        <v>50</v>
      </c>
      <c r="G227" s="55" t="s">
        <v>50</v>
      </c>
      <c r="H227" s="45" t="s">
        <v>754</v>
      </c>
      <c r="I227" s="56" t="s">
        <v>78</v>
      </c>
      <c r="J227" s="56"/>
      <c r="K227" s="55" t="s">
        <v>71</v>
      </c>
      <c r="L227" s="55" t="str">
        <f>IF(K227="Mine or Quarry","Mine","")</f>
        <v/>
      </c>
      <c r="M227" s="55"/>
      <c r="N227" s="55" t="s">
        <v>55</v>
      </c>
      <c r="O227" s="55" t="s">
        <v>755</v>
      </c>
      <c r="P227" s="55" t="s">
        <v>73</v>
      </c>
      <c r="Q227" s="55" t="s">
        <v>57</v>
      </c>
      <c r="R227" s="55"/>
      <c r="S227" s="56" t="s">
        <v>81</v>
      </c>
      <c r="T227" s="55" t="s">
        <v>58</v>
      </c>
      <c r="U227" s="57">
        <v>0.48499999999999999</v>
      </c>
      <c r="V227" s="57" t="s">
        <v>101</v>
      </c>
      <c r="W227" s="55" t="s">
        <v>2319</v>
      </c>
      <c r="X227" s="54" t="s">
        <v>4236</v>
      </c>
      <c r="Y227" s="52"/>
      <c r="Z227" s="3" t="s">
        <v>2005</v>
      </c>
      <c r="AA227" s="3" t="s">
        <v>756</v>
      </c>
      <c r="AB227" s="3"/>
      <c r="AC227" s="3"/>
      <c r="AD227" s="3" t="s">
        <v>62</v>
      </c>
      <c r="AE227" s="3" t="s">
        <v>519</v>
      </c>
      <c r="AF227" s="3" t="s">
        <v>757</v>
      </c>
      <c r="AG227" s="3" t="s">
        <v>757</v>
      </c>
      <c r="AH227" s="58">
        <v>100</v>
      </c>
      <c r="AI227" s="3"/>
      <c r="AJ227" s="3"/>
      <c r="AK227" s="3"/>
      <c r="AL227" s="3"/>
      <c r="AM227" s="3"/>
      <c r="AN227" s="3"/>
      <c r="AO227" s="3"/>
      <c r="AP227" s="3"/>
      <c r="AQ227" s="3"/>
      <c r="AR227" s="3"/>
      <c r="AS227" s="3"/>
      <c r="AT227" s="3"/>
      <c r="AU227" s="3"/>
      <c r="AV227" s="3"/>
      <c r="AW227" s="3"/>
      <c r="AX227" s="3"/>
      <c r="AY227" s="3"/>
      <c r="AZ227" s="4" t="s">
        <v>753</v>
      </c>
      <c r="BA227" s="4"/>
      <c r="BB227" s="1"/>
      <c r="BC227" s="1"/>
    </row>
    <row r="228" spans="1:55" s="78" customFormat="1" ht="15" customHeight="1" x14ac:dyDescent="0.25">
      <c r="A228" s="52" t="s">
        <v>4237</v>
      </c>
      <c r="B228" s="34" t="s">
        <v>59</v>
      </c>
      <c r="C228" s="53">
        <v>2026</v>
      </c>
      <c r="D228" s="53">
        <v>2026</v>
      </c>
      <c r="E228" s="54" t="s">
        <v>3081</v>
      </c>
      <c r="F228" s="55" t="s">
        <v>50</v>
      </c>
      <c r="G228" s="55" t="s">
        <v>50</v>
      </c>
      <c r="H228" s="45" t="s">
        <v>759</v>
      </c>
      <c r="I228" s="56" t="s">
        <v>52</v>
      </c>
      <c r="J228" s="56"/>
      <c r="K228" s="55" t="s">
        <v>173</v>
      </c>
      <c r="L228" s="55"/>
      <c r="M228" s="55"/>
      <c r="N228" s="56" t="s">
        <v>55</v>
      </c>
      <c r="O228" s="56" t="s">
        <v>760</v>
      </c>
      <c r="P228" s="55" t="s">
        <v>444</v>
      </c>
      <c r="Q228" s="55" t="s">
        <v>57</v>
      </c>
      <c r="R228" s="55"/>
      <c r="S228" s="56" t="s">
        <v>81</v>
      </c>
      <c r="T228" s="55" t="s">
        <v>81</v>
      </c>
      <c r="U228" s="57">
        <v>20000</v>
      </c>
      <c r="V228" s="57" t="s">
        <v>101</v>
      </c>
      <c r="W228" s="55" t="s">
        <v>2319</v>
      </c>
      <c r="X228" s="54" t="s">
        <v>4237</v>
      </c>
      <c r="Y228" s="52"/>
      <c r="Z228" s="2" t="s">
        <v>61</v>
      </c>
      <c r="AA228" s="1" t="s">
        <v>761</v>
      </c>
      <c r="AB228" s="1"/>
      <c r="AC228" s="1"/>
      <c r="AD228" s="3" t="s">
        <v>62</v>
      </c>
      <c r="AE228" s="2" t="s">
        <v>695</v>
      </c>
      <c r="AF228" s="2"/>
      <c r="AG228" s="1" t="s">
        <v>762</v>
      </c>
      <c r="AH228" s="2">
        <v>100</v>
      </c>
      <c r="AI228" s="1"/>
      <c r="AJ228" s="1"/>
      <c r="AK228" s="1"/>
      <c r="AL228" s="1"/>
      <c r="AM228" s="1"/>
      <c r="AN228" s="1"/>
      <c r="AO228" s="1"/>
      <c r="AP228" s="1"/>
      <c r="AQ228" s="1"/>
      <c r="AR228" s="1"/>
      <c r="AS228" s="1"/>
      <c r="AT228" s="1"/>
      <c r="AU228" s="1"/>
      <c r="AV228" s="1"/>
      <c r="AW228" s="1"/>
      <c r="AX228" s="1"/>
      <c r="AY228" s="1"/>
      <c r="AZ228" s="4" t="s">
        <v>758</v>
      </c>
      <c r="BA228" s="1"/>
      <c r="BB228" s="1"/>
      <c r="BC228" s="1"/>
    </row>
    <row r="229" spans="1:55" s="78" customFormat="1" ht="15" customHeight="1" x14ac:dyDescent="0.25">
      <c r="A229" s="52" t="s">
        <v>4238</v>
      </c>
      <c r="B229" s="34" t="s">
        <v>59</v>
      </c>
      <c r="C229" s="53">
        <v>2026</v>
      </c>
      <c r="D229" s="53">
        <v>2026</v>
      </c>
      <c r="E229" s="54" t="s">
        <v>3082</v>
      </c>
      <c r="F229" s="55" t="s">
        <v>50</v>
      </c>
      <c r="G229" s="55" t="s">
        <v>50</v>
      </c>
      <c r="H229" s="45" t="s">
        <v>763</v>
      </c>
      <c r="I229" s="56" t="s">
        <v>52</v>
      </c>
      <c r="J229" s="56"/>
      <c r="K229" s="56" t="s">
        <v>204</v>
      </c>
      <c r="L229" s="55"/>
      <c r="M229" s="55"/>
      <c r="N229" s="56"/>
      <c r="O229" s="56"/>
      <c r="P229" s="55" t="s">
        <v>89</v>
      </c>
      <c r="Q229" s="55" t="s">
        <v>89</v>
      </c>
      <c r="R229" s="55"/>
      <c r="S229" s="56" t="s">
        <v>81</v>
      </c>
      <c r="T229" s="55" t="s">
        <v>81</v>
      </c>
      <c r="U229" s="57">
        <v>-999</v>
      </c>
      <c r="V229" s="57" t="s">
        <v>59</v>
      </c>
      <c r="W229" s="55" t="s">
        <v>2319</v>
      </c>
      <c r="X229" s="54" t="s">
        <v>4238</v>
      </c>
      <c r="Y229" s="52"/>
      <c r="Z229" s="2" t="s">
        <v>61</v>
      </c>
      <c r="AA229" s="1" t="s">
        <v>764</v>
      </c>
      <c r="AB229" s="1"/>
      <c r="AC229" s="1"/>
      <c r="AD229" s="3" t="s">
        <v>62</v>
      </c>
      <c r="AE229" s="2" t="s">
        <v>262</v>
      </c>
      <c r="AF229" s="3" t="s">
        <v>765</v>
      </c>
      <c r="AG229" s="3" t="s">
        <v>766</v>
      </c>
      <c r="AH229" s="58"/>
      <c r="AI229" s="1"/>
      <c r="AJ229" s="1"/>
      <c r="AK229" s="1"/>
      <c r="AL229" s="1"/>
      <c r="AM229" s="1"/>
      <c r="AN229" s="1"/>
      <c r="AO229" s="1"/>
      <c r="AP229" s="1"/>
      <c r="AQ229" s="1"/>
      <c r="AR229" s="1"/>
      <c r="AS229" s="1"/>
      <c r="AT229" s="1"/>
      <c r="AU229" s="1"/>
      <c r="AV229" s="1"/>
      <c r="AW229" s="1"/>
      <c r="AX229" s="1"/>
      <c r="AY229" s="1"/>
      <c r="AZ229" s="4" t="s">
        <v>202</v>
      </c>
      <c r="BA229" s="1"/>
      <c r="BB229" s="1"/>
      <c r="BC229" s="1"/>
    </row>
    <row r="230" spans="1:55" s="78" customFormat="1" ht="15" customHeight="1" x14ac:dyDescent="0.25">
      <c r="A230" s="52" t="s">
        <v>4239</v>
      </c>
      <c r="B230" s="34" t="s">
        <v>59</v>
      </c>
      <c r="C230" s="53">
        <v>2026</v>
      </c>
      <c r="D230" s="53">
        <v>2026</v>
      </c>
      <c r="E230" s="54" t="s">
        <v>3083</v>
      </c>
      <c r="F230" s="55" t="s">
        <v>50</v>
      </c>
      <c r="G230" s="55" t="s">
        <v>50</v>
      </c>
      <c r="H230" s="45" t="s">
        <v>768</v>
      </c>
      <c r="I230" s="56" t="s">
        <v>52</v>
      </c>
      <c r="J230" s="56"/>
      <c r="K230" s="55" t="s">
        <v>313</v>
      </c>
      <c r="L230" s="55" t="s">
        <v>54</v>
      </c>
      <c r="M230" s="55" t="s">
        <v>491</v>
      </c>
      <c r="N230" s="56" t="s">
        <v>55</v>
      </c>
      <c r="O230" s="56" t="s">
        <v>699</v>
      </c>
      <c r="P230" s="56" t="s">
        <v>314</v>
      </c>
      <c r="Q230" s="61" t="s">
        <v>57</v>
      </c>
      <c r="R230" s="55"/>
      <c r="S230" s="56" t="s">
        <v>58</v>
      </c>
      <c r="T230" s="55" t="s">
        <v>81</v>
      </c>
      <c r="U230" s="57">
        <v>-999</v>
      </c>
      <c r="V230" s="57" t="s">
        <v>59</v>
      </c>
      <c r="W230" s="55" t="s">
        <v>2319</v>
      </c>
      <c r="X230" s="54" t="s">
        <v>4239</v>
      </c>
      <c r="Y230" s="52"/>
      <c r="Z230" s="2" t="s">
        <v>61</v>
      </c>
      <c r="AA230" s="1" t="s">
        <v>769</v>
      </c>
      <c r="AB230" s="1"/>
      <c r="AC230" s="1"/>
      <c r="AD230" s="3" t="s">
        <v>62</v>
      </c>
      <c r="AE230" s="2" t="s">
        <v>695</v>
      </c>
      <c r="AF230" s="2"/>
      <c r="AG230" s="1" t="s">
        <v>770</v>
      </c>
      <c r="AH230" s="2">
        <v>100</v>
      </c>
      <c r="AI230" s="1"/>
      <c r="AJ230" s="1"/>
      <c r="AK230" s="1"/>
      <c r="AL230" s="1"/>
      <c r="AM230" s="1"/>
      <c r="AN230" s="1"/>
      <c r="AO230" s="1"/>
      <c r="AP230" s="1"/>
      <c r="AQ230" s="1"/>
      <c r="AR230" s="1"/>
      <c r="AS230" s="1"/>
      <c r="AT230" s="1"/>
      <c r="AU230" s="1"/>
      <c r="AV230" s="1"/>
      <c r="AW230" s="1"/>
      <c r="AX230" s="1"/>
      <c r="AY230" s="1"/>
      <c r="AZ230" s="4" t="s">
        <v>767</v>
      </c>
      <c r="BA230" s="1"/>
      <c r="BB230" s="1"/>
      <c r="BC230" s="1"/>
    </row>
    <row r="231" spans="1:55" s="78" customFormat="1" ht="15" customHeight="1" x14ac:dyDescent="0.25">
      <c r="A231" s="52" t="s">
        <v>4240</v>
      </c>
      <c r="B231" s="34" t="s">
        <v>59</v>
      </c>
      <c r="C231" s="53">
        <v>2026</v>
      </c>
      <c r="D231" s="53">
        <v>2026</v>
      </c>
      <c r="E231" s="54" t="s">
        <v>3083</v>
      </c>
      <c r="F231" s="55" t="s">
        <v>50</v>
      </c>
      <c r="G231" s="55" t="s">
        <v>50</v>
      </c>
      <c r="H231" s="45" t="s">
        <v>768</v>
      </c>
      <c r="I231" s="56" t="s">
        <v>52</v>
      </c>
      <c r="J231" s="56" t="s">
        <v>316</v>
      </c>
      <c r="K231" s="55" t="s">
        <v>316</v>
      </c>
      <c r="L231" s="55" t="s">
        <v>54</v>
      </c>
      <c r="M231" s="55" t="s">
        <v>491</v>
      </c>
      <c r="N231" s="55" t="s">
        <v>55</v>
      </c>
      <c r="O231" s="56" t="s">
        <v>141</v>
      </c>
      <c r="P231" s="55" t="s">
        <v>318</v>
      </c>
      <c r="Q231" s="55" t="s">
        <v>57</v>
      </c>
      <c r="R231" s="55"/>
      <c r="S231" s="56" t="s">
        <v>58</v>
      </c>
      <c r="T231" s="55" t="s">
        <v>81</v>
      </c>
      <c r="U231" s="57">
        <v>50000</v>
      </c>
      <c r="V231" s="57" t="s">
        <v>101</v>
      </c>
      <c r="W231" s="55" t="s">
        <v>2319</v>
      </c>
      <c r="X231" s="54" t="s">
        <v>4240</v>
      </c>
      <c r="Y231" s="52"/>
      <c r="Z231" s="2" t="s">
        <v>61</v>
      </c>
      <c r="AA231" s="1" t="s">
        <v>769</v>
      </c>
      <c r="AB231" s="1"/>
      <c r="AC231" s="1"/>
      <c r="AD231" s="3" t="s">
        <v>62</v>
      </c>
      <c r="AE231" s="2" t="s">
        <v>695</v>
      </c>
      <c r="AF231" s="2"/>
      <c r="AG231" s="1" t="s">
        <v>770</v>
      </c>
      <c r="AH231" s="2">
        <v>100</v>
      </c>
      <c r="AI231" s="1"/>
      <c r="AJ231" s="1"/>
      <c r="AK231" s="1"/>
      <c r="AL231" s="1"/>
      <c r="AM231" s="1"/>
      <c r="AN231" s="1"/>
      <c r="AO231" s="1"/>
      <c r="AP231" s="1"/>
      <c r="AQ231" s="1"/>
      <c r="AR231" s="1"/>
      <c r="AS231" s="1"/>
      <c r="AT231" s="1"/>
      <c r="AU231" s="1"/>
      <c r="AV231" s="1"/>
      <c r="AW231" s="1"/>
      <c r="AX231" s="1"/>
      <c r="AY231" s="1"/>
      <c r="AZ231" s="4" t="s">
        <v>771</v>
      </c>
      <c r="BA231" s="1"/>
      <c r="BB231" s="1"/>
      <c r="BC231" s="1"/>
    </row>
    <row r="232" spans="1:55" s="78" customFormat="1" ht="15" customHeight="1" x14ac:dyDescent="0.25">
      <c r="A232" s="52" t="s">
        <v>4241</v>
      </c>
      <c r="B232" s="34" t="s">
        <v>59</v>
      </c>
      <c r="C232" s="53">
        <v>2026</v>
      </c>
      <c r="D232" s="53">
        <v>2026</v>
      </c>
      <c r="E232" s="54" t="s">
        <v>3084</v>
      </c>
      <c r="F232" s="55" t="s">
        <v>50</v>
      </c>
      <c r="G232" s="55" t="s">
        <v>50</v>
      </c>
      <c r="H232" s="45" t="s">
        <v>773</v>
      </c>
      <c r="I232" s="56" t="s">
        <v>78</v>
      </c>
      <c r="J232" s="56"/>
      <c r="K232" s="56" t="s">
        <v>79</v>
      </c>
      <c r="L232" s="55" t="str">
        <f>IF(K232="Mine or Quarry","Mine","")</f>
        <v/>
      </c>
      <c r="M232" s="55"/>
      <c r="N232" s="56" t="s">
        <v>80</v>
      </c>
      <c r="O232" s="56"/>
      <c r="P232" s="56" t="s">
        <v>89</v>
      </c>
      <c r="Q232" s="56" t="s">
        <v>89</v>
      </c>
      <c r="R232" s="55"/>
      <c r="S232" s="56" t="s">
        <v>81</v>
      </c>
      <c r="T232" s="55" t="str">
        <f>IF(ISNUMBER(SEARCH(",",N232)),"Y","N")</f>
        <v>N</v>
      </c>
      <c r="U232" s="57">
        <v>-999</v>
      </c>
      <c r="V232" s="57" t="s">
        <v>59</v>
      </c>
      <c r="W232" s="55" t="s">
        <v>2319</v>
      </c>
      <c r="X232" s="54" t="s">
        <v>4241</v>
      </c>
      <c r="Y232" s="52"/>
      <c r="Z232" s="1" t="s">
        <v>514</v>
      </c>
      <c r="AA232" s="1" t="s">
        <v>774</v>
      </c>
      <c r="AB232" s="1"/>
      <c r="AC232" s="1"/>
      <c r="AD232" s="3" t="s">
        <v>62</v>
      </c>
      <c r="AE232" s="1" t="s">
        <v>184</v>
      </c>
      <c r="AF232" s="1" t="s">
        <v>775</v>
      </c>
      <c r="AG232" s="1" t="s">
        <v>776</v>
      </c>
      <c r="AH232" s="59">
        <v>100</v>
      </c>
      <c r="AI232" s="1"/>
      <c r="AJ232" s="1"/>
      <c r="AK232" s="1"/>
      <c r="AL232" s="1"/>
      <c r="AM232" s="1"/>
      <c r="AN232" s="1"/>
      <c r="AO232" s="1"/>
      <c r="AP232" s="1"/>
      <c r="AQ232" s="1"/>
      <c r="AR232" s="1"/>
      <c r="AS232" s="1"/>
      <c r="AT232" s="1"/>
      <c r="AU232" s="1"/>
      <c r="AV232" s="1"/>
      <c r="AW232" s="1"/>
      <c r="AX232" s="1"/>
      <c r="AY232" s="1"/>
      <c r="AZ232" s="5" t="s">
        <v>772</v>
      </c>
      <c r="BA232" s="5"/>
      <c r="BB232" s="1"/>
      <c r="BC232" s="1"/>
    </row>
    <row r="233" spans="1:55" s="78" customFormat="1" ht="15" customHeight="1" x14ac:dyDescent="0.25">
      <c r="A233" s="52" t="s">
        <v>4242</v>
      </c>
      <c r="B233" s="34" t="s">
        <v>59</v>
      </c>
      <c r="C233" s="53">
        <v>2026</v>
      </c>
      <c r="D233" s="53">
        <v>2026</v>
      </c>
      <c r="E233" s="54" t="s">
        <v>3085</v>
      </c>
      <c r="F233" s="55" t="s">
        <v>50</v>
      </c>
      <c r="G233" s="55" t="s">
        <v>50</v>
      </c>
      <c r="H233" s="45" t="s">
        <v>778</v>
      </c>
      <c r="I233" s="56" t="s">
        <v>52</v>
      </c>
      <c r="J233" s="56"/>
      <c r="K233" s="55" t="s">
        <v>313</v>
      </c>
      <c r="L233" s="55" t="s">
        <v>54</v>
      </c>
      <c r="M233" s="55" t="s">
        <v>113</v>
      </c>
      <c r="N233" s="56" t="s">
        <v>358</v>
      </c>
      <c r="O233" s="56" t="s">
        <v>351</v>
      </c>
      <c r="P233" s="56" t="s">
        <v>314</v>
      </c>
      <c r="Q233" s="61" t="s">
        <v>57</v>
      </c>
      <c r="R233" s="55"/>
      <c r="S233" s="56" t="s">
        <v>81</v>
      </c>
      <c r="T233" s="55" t="s">
        <v>81</v>
      </c>
      <c r="U233" s="57">
        <v>-999</v>
      </c>
      <c r="V233" s="57" t="s">
        <v>59</v>
      </c>
      <c r="W233" s="55" t="s">
        <v>2319</v>
      </c>
      <c r="X233" s="54" t="s">
        <v>4242</v>
      </c>
      <c r="Y233" s="52"/>
      <c r="Z233" s="2" t="s">
        <v>61</v>
      </c>
      <c r="AA233" s="1" t="s">
        <v>779</v>
      </c>
      <c r="AB233" s="1"/>
      <c r="AC233" s="1"/>
      <c r="AD233" s="3" t="s">
        <v>62</v>
      </c>
      <c r="AE233" s="2" t="s">
        <v>780</v>
      </c>
      <c r="AF233" s="1" t="s">
        <v>354</v>
      </c>
      <c r="AG233" s="1" t="s">
        <v>355</v>
      </c>
      <c r="AH233" s="2">
        <v>100</v>
      </c>
      <c r="AI233" s="1"/>
      <c r="AJ233" s="1"/>
      <c r="AK233" s="1"/>
      <c r="AL233" s="1"/>
      <c r="AM233" s="1"/>
      <c r="AN233" s="1"/>
      <c r="AO233" s="1"/>
      <c r="AP233" s="1"/>
      <c r="AQ233" s="1"/>
      <c r="AR233" s="1"/>
      <c r="AS233" s="1"/>
      <c r="AT233" s="1"/>
      <c r="AU233" s="1"/>
      <c r="AV233" s="1"/>
      <c r="AW233" s="1"/>
      <c r="AX233" s="1"/>
      <c r="AY233" s="1"/>
      <c r="AZ233" s="4" t="s">
        <v>777</v>
      </c>
      <c r="BA233" s="1"/>
      <c r="BB233" s="1"/>
      <c r="BC233" s="1"/>
    </row>
    <row r="234" spans="1:55" s="78" customFormat="1" ht="15" customHeight="1" x14ac:dyDescent="0.25">
      <c r="A234" s="52" t="s">
        <v>4243</v>
      </c>
      <c r="B234" s="34" t="s">
        <v>59</v>
      </c>
      <c r="C234" s="53">
        <v>2026</v>
      </c>
      <c r="D234" s="53">
        <v>2026</v>
      </c>
      <c r="E234" s="54" t="s">
        <v>3086</v>
      </c>
      <c r="F234" s="55" t="s">
        <v>50</v>
      </c>
      <c r="G234" s="55" t="s">
        <v>50</v>
      </c>
      <c r="H234" s="45" t="s">
        <v>782</v>
      </c>
      <c r="I234" s="45" t="s">
        <v>52</v>
      </c>
      <c r="J234" s="56"/>
      <c r="K234" s="55" t="s">
        <v>210</v>
      </c>
      <c r="L234" s="55" t="s">
        <v>54</v>
      </c>
      <c r="M234" s="55"/>
      <c r="N234" s="55" t="s">
        <v>783</v>
      </c>
      <c r="O234" s="55"/>
      <c r="P234" s="55" t="s">
        <v>89</v>
      </c>
      <c r="Q234" s="55" t="s">
        <v>89</v>
      </c>
      <c r="R234" s="55"/>
      <c r="S234" s="56" t="s">
        <v>81</v>
      </c>
      <c r="T234" s="55" t="s">
        <v>58</v>
      </c>
      <c r="U234" s="57">
        <v>33000</v>
      </c>
      <c r="V234" s="57" t="s">
        <v>101</v>
      </c>
      <c r="W234" s="55" t="s">
        <v>2319</v>
      </c>
      <c r="X234" s="54" t="s">
        <v>4243</v>
      </c>
      <c r="Y234" s="52"/>
      <c r="Z234" s="3" t="s">
        <v>61</v>
      </c>
      <c r="AA234" s="1" t="s">
        <v>779</v>
      </c>
      <c r="AB234" s="1"/>
      <c r="AC234" s="1"/>
      <c r="AD234" s="3" t="s">
        <v>62</v>
      </c>
      <c r="AE234" s="3" t="s">
        <v>780</v>
      </c>
      <c r="AF234" s="3"/>
      <c r="AG234" s="3" t="s">
        <v>170</v>
      </c>
      <c r="AH234" s="2">
        <v>100</v>
      </c>
      <c r="AI234" s="1"/>
      <c r="AJ234" s="2"/>
      <c r="AK234" s="3"/>
      <c r="AL234" s="3"/>
      <c r="AM234" s="3"/>
      <c r="AN234" s="3"/>
      <c r="AO234" s="3"/>
      <c r="AP234" s="3"/>
      <c r="AQ234" s="3"/>
      <c r="AR234" s="3"/>
      <c r="AS234" s="3"/>
      <c r="AT234" s="3"/>
      <c r="AU234" s="3"/>
      <c r="AV234" s="3"/>
      <c r="AW234" s="3"/>
      <c r="AX234" s="3"/>
      <c r="AY234" s="3"/>
      <c r="AZ234" s="4" t="s">
        <v>781</v>
      </c>
      <c r="BA234" s="3"/>
      <c r="BB234" s="1"/>
      <c r="BC234" s="1"/>
    </row>
    <row r="235" spans="1:55" s="78" customFormat="1" ht="15" customHeight="1" x14ac:dyDescent="0.25">
      <c r="A235" s="52" t="s">
        <v>4244</v>
      </c>
      <c r="B235" s="34" t="s">
        <v>59</v>
      </c>
      <c r="C235" s="53">
        <v>2026</v>
      </c>
      <c r="D235" s="53">
        <v>2026</v>
      </c>
      <c r="E235" s="54" t="s">
        <v>3086</v>
      </c>
      <c r="F235" s="55" t="s">
        <v>50</v>
      </c>
      <c r="G235" s="55" t="s">
        <v>50</v>
      </c>
      <c r="H235" s="45" t="s">
        <v>782</v>
      </c>
      <c r="I235" s="45" t="s">
        <v>52</v>
      </c>
      <c r="J235" s="56"/>
      <c r="K235" s="55" t="s">
        <v>210</v>
      </c>
      <c r="L235" s="55" t="s">
        <v>54</v>
      </c>
      <c r="M235" s="55"/>
      <c r="N235" s="55" t="s">
        <v>784</v>
      </c>
      <c r="O235" s="55"/>
      <c r="P235" s="55" t="s">
        <v>89</v>
      </c>
      <c r="Q235" s="55" t="s">
        <v>89</v>
      </c>
      <c r="R235" s="55"/>
      <c r="S235" s="56" t="s">
        <v>81</v>
      </c>
      <c r="T235" s="55" t="s">
        <v>58</v>
      </c>
      <c r="U235" s="57">
        <v>33000</v>
      </c>
      <c r="V235" s="57" t="s">
        <v>101</v>
      </c>
      <c r="W235" s="55" t="s">
        <v>2319</v>
      </c>
      <c r="X235" s="54" t="s">
        <v>4244</v>
      </c>
      <c r="Y235" s="52"/>
      <c r="Z235" s="3" t="s">
        <v>61</v>
      </c>
      <c r="AA235" s="1" t="s">
        <v>779</v>
      </c>
      <c r="AB235" s="1"/>
      <c r="AC235" s="1"/>
      <c r="AD235" s="3" t="s">
        <v>62</v>
      </c>
      <c r="AE235" s="3" t="s">
        <v>780</v>
      </c>
      <c r="AF235" s="3"/>
      <c r="AG235" s="3" t="s">
        <v>170</v>
      </c>
      <c r="AH235" s="2">
        <v>100</v>
      </c>
      <c r="AI235" s="1"/>
      <c r="AJ235" s="2"/>
      <c r="AK235" s="3"/>
      <c r="AL235" s="3"/>
      <c r="AM235" s="3"/>
      <c r="AN235" s="3"/>
      <c r="AO235" s="3"/>
      <c r="AP235" s="3"/>
      <c r="AQ235" s="3"/>
      <c r="AR235" s="3"/>
      <c r="AS235" s="3"/>
      <c r="AT235" s="3"/>
      <c r="AU235" s="3"/>
      <c r="AV235" s="3"/>
      <c r="AW235" s="3"/>
      <c r="AX235" s="3"/>
      <c r="AY235" s="3"/>
      <c r="AZ235" s="4" t="s">
        <v>781</v>
      </c>
      <c r="BA235" s="3"/>
      <c r="BB235" s="1"/>
      <c r="BC235" s="1"/>
    </row>
    <row r="236" spans="1:55" s="78" customFormat="1" ht="15" customHeight="1" x14ac:dyDescent="0.25">
      <c r="A236" s="52" t="s">
        <v>4245</v>
      </c>
      <c r="B236" s="34" t="s">
        <v>59</v>
      </c>
      <c r="C236" s="53">
        <v>2026</v>
      </c>
      <c r="D236" s="53">
        <v>2026</v>
      </c>
      <c r="E236" s="54" t="s">
        <v>3086</v>
      </c>
      <c r="F236" s="55" t="s">
        <v>50</v>
      </c>
      <c r="G236" s="55" t="s">
        <v>50</v>
      </c>
      <c r="H236" s="45" t="s">
        <v>782</v>
      </c>
      <c r="I236" s="45" t="s">
        <v>52</v>
      </c>
      <c r="J236" s="56"/>
      <c r="K236" s="55" t="s">
        <v>210</v>
      </c>
      <c r="L236" s="55" t="s">
        <v>54</v>
      </c>
      <c r="M236" s="55"/>
      <c r="N236" s="55" t="s">
        <v>785</v>
      </c>
      <c r="O236" s="55"/>
      <c r="P236" s="55" t="s">
        <v>89</v>
      </c>
      <c r="Q236" s="55" t="s">
        <v>89</v>
      </c>
      <c r="R236" s="55"/>
      <c r="S236" s="56" t="s">
        <v>81</v>
      </c>
      <c r="T236" s="55" t="s">
        <v>58</v>
      </c>
      <c r="U236" s="57">
        <v>40000</v>
      </c>
      <c r="V236" s="57" t="s">
        <v>101</v>
      </c>
      <c r="W236" s="55" t="s">
        <v>2319</v>
      </c>
      <c r="X236" s="54" t="s">
        <v>4245</v>
      </c>
      <c r="Y236" s="52"/>
      <c r="Z236" s="3" t="s">
        <v>61</v>
      </c>
      <c r="AA236" s="1" t="s">
        <v>779</v>
      </c>
      <c r="AB236" s="1"/>
      <c r="AC236" s="1"/>
      <c r="AD236" s="3" t="s">
        <v>62</v>
      </c>
      <c r="AE236" s="3" t="s">
        <v>780</v>
      </c>
      <c r="AF236" s="3"/>
      <c r="AG236" s="3" t="s">
        <v>170</v>
      </c>
      <c r="AH236" s="2">
        <v>100</v>
      </c>
      <c r="AI236" s="1"/>
      <c r="AJ236" s="2"/>
      <c r="AK236" s="3"/>
      <c r="AL236" s="3"/>
      <c r="AM236" s="3"/>
      <c r="AN236" s="3"/>
      <c r="AO236" s="3"/>
      <c r="AP236" s="3"/>
      <c r="AQ236" s="3"/>
      <c r="AR236" s="3"/>
      <c r="AS236" s="3"/>
      <c r="AT236" s="3"/>
      <c r="AU236" s="3"/>
      <c r="AV236" s="3"/>
      <c r="AW236" s="3"/>
      <c r="AX236" s="3"/>
      <c r="AY236" s="3"/>
      <c r="AZ236" s="4" t="s">
        <v>781</v>
      </c>
      <c r="BA236" s="3"/>
      <c r="BB236" s="1"/>
      <c r="BC236" s="1"/>
    </row>
    <row r="237" spans="1:55" s="78" customFormat="1" ht="15" customHeight="1" x14ac:dyDescent="0.25">
      <c r="A237" s="52" t="s">
        <v>4246</v>
      </c>
      <c r="B237" s="34" t="s">
        <v>59</v>
      </c>
      <c r="C237" s="53">
        <v>2026</v>
      </c>
      <c r="D237" s="53">
        <v>2026</v>
      </c>
      <c r="E237" s="54" t="s">
        <v>3086</v>
      </c>
      <c r="F237" s="55" t="s">
        <v>50</v>
      </c>
      <c r="G237" s="55" t="s">
        <v>50</v>
      </c>
      <c r="H237" s="45" t="s">
        <v>782</v>
      </c>
      <c r="I237" s="45" t="s">
        <v>52</v>
      </c>
      <c r="J237" s="56"/>
      <c r="K237" s="55" t="s">
        <v>210</v>
      </c>
      <c r="L237" s="55" t="s">
        <v>54</v>
      </c>
      <c r="M237" s="55"/>
      <c r="N237" s="55" t="s">
        <v>212</v>
      </c>
      <c r="O237" s="55"/>
      <c r="P237" s="55" t="s">
        <v>89</v>
      </c>
      <c r="Q237" s="55" t="s">
        <v>89</v>
      </c>
      <c r="R237" s="55"/>
      <c r="S237" s="56" t="s">
        <v>81</v>
      </c>
      <c r="T237" s="55" t="s">
        <v>58</v>
      </c>
      <c r="U237" s="57">
        <v>116000</v>
      </c>
      <c r="V237" s="57" t="s">
        <v>101</v>
      </c>
      <c r="W237" s="55" t="s">
        <v>2319</v>
      </c>
      <c r="X237" s="54" t="s">
        <v>4246</v>
      </c>
      <c r="Y237" s="52"/>
      <c r="Z237" s="3" t="s">
        <v>61</v>
      </c>
      <c r="AA237" s="1" t="s">
        <v>779</v>
      </c>
      <c r="AB237" s="1"/>
      <c r="AC237" s="1"/>
      <c r="AD237" s="3" t="s">
        <v>62</v>
      </c>
      <c r="AE237" s="3" t="s">
        <v>780</v>
      </c>
      <c r="AF237" s="3"/>
      <c r="AG237" s="3" t="s">
        <v>170</v>
      </c>
      <c r="AH237" s="2">
        <v>100</v>
      </c>
      <c r="AI237" s="1"/>
      <c r="AJ237" s="2"/>
      <c r="AK237" s="3"/>
      <c r="AL237" s="3"/>
      <c r="AM237" s="3"/>
      <c r="AN237" s="3"/>
      <c r="AO237" s="3"/>
      <c r="AP237" s="3"/>
      <c r="AQ237" s="3"/>
      <c r="AR237" s="3"/>
      <c r="AS237" s="3"/>
      <c r="AT237" s="3"/>
      <c r="AU237" s="3"/>
      <c r="AV237" s="3"/>
      <c r="AW237" s="3"/>
      <c r="AX237" s="3"/>
      <c r="AY237" s="3"/>
      <c r="AZ237" s="4" t="s">
        <v>781</v>
      </c>
      <c r="BA237" s="3"/>
      <c r="BB237" s="1"/>
      <c r="BC237" s="1"/>
    </row>
    <row r="238" spans="1:55" s="78" customFormat="1" ht="15" customHeight="1" x14ac:dyDescent="0.25">
      <c r="A238" s="52" t="s">
        <v>4247</v>
      </c>
      <c r="B238" s="34" t="s">
        <v>59</v>
      </c>
      <c r="C238" s="53">
        <v>2026</v>
      </c>
      <c r="D238" s="53">
        <v>2026</v>
      </c>
      <c r="E238" s="54" t="s">
        <v>3087</v>
      </c>
      <c r="F238" s="55" t="s">
        <v>50</v>
      </c>
      <c r="G238" s="55" t="s">
        <v>50</v>
      </c>
      <c r="H238" s="45" t="s">
        <v>787</v>
      </c>
      <c r="I238" s="56" t="s">
        <v>52</v>
      </c>
      <c r="J238" s="56"/>
      <c r="K238" s="56" t="s">
        <v>346</v>
      </c>
      <c r="L238" s="55" t="str">
        <f>IF(K238="Mine or Quarry","Mine","")</f>
        <v/>
      </c>
      <c r="M238" s="55"/>
      <c r="N238" s="56" t="s">
        <v>788</v>
      </c>
      <c r="O238" s="56" t="s">
        <v>789</v>
      </c>
      <c r="P238" s="56" t="s">
        <v>89</v>
      </c>
      <c r="Q238" s="56" t="s">
        <v>89</v>
      </c>
      <c r="R238" s="55"/>
      <c r="S238" s="56" t="s">
        <v>81</v>
      </c>
      <c r="T238" s="55" t="str">
        <f>IF(ISNUMBER(SEARCH(",",N238)),"Y","N")</f>
        <v>N</v>
      </c>
      <c r="U238" s="57">
        <v>-999</v>
      </c>
      <c r="V238" s="57" t="s">
        <v>59</v>
      </c>
      <c r="W238" s="55" t="s">
        <v>2319</v>
      </c>
      <c r="X238" s="54" t="s">
        <v>4247</v>
      </c>
      <c r="Y238" s="52"/>
      <c r="Z238" s="2" t="s">
        <v>61</v>
      </c>
      <c r="AA238" s="1" t="s">
        <v>790</v>
      </c>
      <c r="AB238" s="1"/>
      <c r="AC238" s="1"/>
      <c r="AD238" s="3" t="s">
        <v>62</v>
      </c>
      <c r="AE238" s="2" t="s">
        <v>780</v>
      </c>
      <c r="AF238" s="2" t="s">
        <v>791</v>
      </c>
      <c r="AG238" s="1" t="s">
        <v>792</v>
      </c>
      <c r="AH238" s="2">
        <v>100</v>
      </c>
      <c r="AI238" s="1"/>
      <c r="AJ238" s="1"/>
      <c r="AK238" s="1"/>
      <c r="AL238" s="1"/>
      <c r="AM238" s="1"/>
      <c r="AN238" s="1"/>
      <c r="AO238" s="1"/>
      <c r="AP238" s="1"/>
      <c r="AQ238" s="1"/>
      <c r="AR238" s="1"/>
      <c r="AS238" s="1"/>
      <c r="AT238" s="1"/>
      <c r="AU238" s="1"/>
      <c r="AV238" s="1"/>
      <c r="AW238" s="1"/>
      <c r="AX238" s="1"/>
      <c r="AY238" s="1"/>
      <c r="AZ238" s="4" t="s">
        <v>786</v>
      </c>
      <c r="BA238" s="1"/>
      <c r="BB238" s="1"/>
      <c r="BC238" s="1"/>
    </row>
    <row r="239" spans="1:55" s="78" customFormat="1" ht="15" customHeight="1" x14ac:dyDescent="0.25">
      <c r="A239" s="52" t="s">
        <v>4248</v>
      </c>
      <c r="B239" s="34" t="s">
        <v>59</v>
      </c>
      <c r="C239" s="53">
        <v>2026</v>
      </c>
      <c r="D239" s="53">
        <v>2026</v>
      </c>
      <c r="E239" s="54" t="s">
        <v>3088</v>
      </c>
      <c r="F239" s="55" t="s">
        <v>50</v>
      </c>
      <c r="G239" s="55" t="s">
        <v>50</v>
      </c>
      <c r="H239" s="45" t="s">
        <v>793</v>
      </c>
      <c r="I239" s="56" t="s">
        <v>52</v>
      </c>
      <c r="J239" s="56"/>
      <c r="K239" s="56" t="s">
        <v>346</v>
      </c>
      <c r="L239" s="55" t="str">
        <f>IF(K239="Mine or Quarry","Mine","")</f>
        <v/>
      </c>
      <c r="M239" s="55"/>
      <c r="N239" s="56" t="s">
        <v>788</v>
      </c>
      <c r="O239" s="56" t="s">
        <v>789</v>
      </c>
      <c r="P239" s="56" t="s">
        <v>89</v>
      </c>
      <c r="Q239" s="56" t="s">
        <v>89</v>
      </c>
      <c r="R239" s="55"/>
      <c r="S239" s="56" t="s">
        <v>81</v>
      </c>
      <c r="T239" s="55" t="str">
        <f>IF(ISNUMBER(SEARCH(",",N239)),"Y","N")</f>
        <v>N</v>
      </c>
      <c r="U239" s="57">
        <v>-999</v>
      </c>
      <c r="V239" s="57" t="s">
        <v>59</v>
      </c>
      <c r="W239" s="55" t="s">
        <v>2319</v>
      </c>
      <c r="X239" s="54" t="s">
        <v>4248</v>
      </c>
      <c r="Y239" s="52"/>
      <c r="Z239" s="2" t="s">
        <v>61</v>
      </c>
      <c r="AA239" s="1" t="s">
        <v>790</v>
      </c>
      <c r="AB239" s="1"/>
      <c r="AC239" s="1"/>
      <c r="AD239" s="3" t="s">
        <v>62</v>
      </c>
      <c r="AE239" s="2" t="s">
        <v>780</v>
      </c>
      <c r="AF239" s="2" t="s">
        <v>791</v>
      </c>
      <c r="AG239" s="1" t="s">
        <v>792</v>
      </c>
      <c r="AH239" s="2">
        <v>100</v>
      </c>
      <c r="AI239" s="1"/>
      <c r="AJ239" s="1"/>
      <c r="AK239" s="1"/>
      <c r="AL239" s="1"/>
      <c r="AM239" s="1"/>
      <c r="AN239" s="1"/>
      <c r="AO239" s="1"/>
      <c r="AP239" s="1"/>
      <c r="AQ239" s="1"/>
      <c r="AR239" s="1"/>
      <c r="AS239" s="1"/>
      <c r="AT239" s="1"/>
      <c r="AU239" s="1"/>
      <c r="AV239" s="1"/>
      <c r="AW239" s="1"/>
      <c r="AX239" s="1"/>
      <c r="AY239" s="1"/>
      <c r="AZ239" s="4" t="s">
        <v>786</v>
      </c>
      <c r="BA239" s="1"/>
      <c r="BB239" s="1"/>
      <c r="BC239" s="1"/>
    </row>
    <row r="240" spans="1:55" s="78" customFormat="1" ht="15" customHeight="1" x14ac:dyDescent="0.25">
      <c r="A240" s="52" t="s">
        <v>4249</v>
      </c>
      <c r="B240" s="34" t="s">
        <v>59</v>
      </c>
      <c r="C240" s="53">
        <v>2026</v>
      </c>
      <c r="D240" s="53">
        <v>2026</v>
      </c>
      <c r="E240" s="54" t="s">
        <v>3089</v>
      </c>
      <c r="F240" s="55" t="s">
        <v>50</v>
      </c>
      <c r="G240" s="55" t="s">
        <v>50</v>
      </c>
      <c r="H240" s="45" t="s">
        <v>794</v>
      </c>
      <c r="I240" s="56" t="s">
        <v>52</v>
      </c>
      <c r="J240" s="56"/>
      <c r="K240" s="55" t="s">
        <v>313</v>
      </c>
      <c r="L240" s="55" t="s">
        <v>317</v>
      </c>
      <c r="M240" s="55" t="s">
        <v>113</v>
      </c>
      <c r="N240" s="56" t="s">
        <v>55</v>
      </c>
      <c r="O240" s="56" t="s">
        <v>795</v>
      </c>
      <c r="P240" s="56" t="s">
        <v>314</v>
      </c>
      <c r="Q240" s="61" t="s">
        <v>57</v>
      </c>
      <c r="R240" s="55"/>
      <c r="S240" s="56" t="s">
        <v>81</v>
      </c>
      <c r="T240" s="55" t="s">
        <v>58</v>
      </c>
      <c r="U240" s="57">
        <v>75000</v>
      </c>
      <c r="V240" s="57" t="s">
        <v>101</v>
      </c>
      <c r="W240" s="55" t="s">
        <v>2319</v>
      </c>
      <c r="X240" s="54" t="s">
        <v>4249</v>
      </c>
      <c r="Y240" s="52"/>
      <c r="Z240" s="2" t="s">
        <v>61</v>
      </c>
      <c r="AA240" s="1" t="s">
        <v>779</v>
      </c>
      <c r="AB240" s="1"/>
      <c r="AC240" s="1"/>
      <c r="AD240" s="3" t="s">
        <v>62</v>
      </c>
      <c r="AE240" s="2" t="s">
        <v>780</v>
      </c>
      <c r="AF240" s="2"/>
      <c r="AG240" s="1" t="s">
        <v>796</v>
      </c>
      <c r="AH240" s="2">
        <v>100</v>
      </c>
      <c r="AI240" s="1"/>
      <c r="AJ240" s="1"/>
      <c r="AK240" s="1"/>
      <c r="AL240" s="1"/>
      <c r="AM240" s="1"/>
      <c r="AN240" s="1"/>
      <c r="AO240" s="1"/>
      <c r="AP240" s="1"/>
      <c r="AQ240" s="1"/>
      <c r="AR240" s="1"/>
      <c r="AS240" s="1"/>
      <c r="AT240" s="1"/>
      <c r="AU240" s="1"/>
      <c r="AV240" s="1"/>
      <c r="AW240" s="1"/>
      <c r="AX240" s="1"/>
      <c r="AY240" s="1"/>
      <c r="AZ240" s="4" t="s">
        <v>3837</v>
      </c>
      <c r="BA240" s="1" t="s">
        <v>3838</v>
      </c>
      <c r="BB240" s="1"/>
      <c r="BC240" s="1"/>
    </row>
    <row r="241" spans="1:55" s="78" customFormat="1" ht="15" customHeight="1" x14ac:dyDescent="0.25">
      <c r="A241" s="52" t="s">
        <v>4250</v>
      </c>
      <c r="B241" s="34" t="s">
        <v>59</v>
      </c>
      <c r="C241" s="53">
        <v>2026</v>
      </c>
      <c r="D241" s="53">
        <v>2026</v>
      </c>
      <c r="E241" s="54" t="s">
        <v>3090</v>
      </c>
      <c r="F241" s="55" t="s">
        <v>50</v>
      </c>
      <c r="G241" s="55" t="s">
        <v>50</v>
      </c>
      <c r="H241" s="45" t="s">
        <v>797</v>
      </c>
      <c r="I241" s="56" t="s">
        <v>78</v>
      </c>
      <c r="J241" s="56"/>
      <c r="K241" s="56" t="s">
        <v>53</v>
      </c>
      <c r="L241" s="55" t="s">
        <v>88</v>
      </c>
      <c r="M241" s="55"/>
      <c r="N241" s="56" t="s">
        <v>5386</v>
      </c>
      <c r="O241" s="56"/>
      <c r="P241" s="55" t="s">
        <v>56</v>
      </c>
      <c r="Q241" s="55" t="s">
        <v>57</v>
      </c>
      <c r="R241" s="55"/>
      <c r="S241" s="56" t="s">
        <v>58</v>
      </c>
      <c r="T241" s="55" t="s">
        <v>81</v>
      </c>
      <c r="U241" s="57">
        <v>140000</v>
      </c>
      <c r="V241" s="57" t="s">
        <v>101</v>
      </c>
      <c r="W241" s="55"/>
      <c r="X241" s="54" t="s">
        <v>4250</v>
      </c>
      <c r="Y241" s="52"/>
      <c r="Z241" s="1" t="s">
        <v>61</v>
      </c>
      <c r="AA241" s="1" t="s">
        <v>798</v>
      </c>
      <c r="AB241" s="1"/>
      <c r="AC241" s="1"/>
      <c r="AD241" s="3" t="s">
        <v>62</v>
      </c>
      <c r="AE241" s="1" t="s">
        <v>718</v>
      </c>
      <c r="AF241" s="1"/>
      <c r="AG241" s="3" t="s">
        <v>109</v>
      </c>
      <c r="AH241" s="58">
        <v>100</v>
      </c>
      <c r="AI241" s="1"/>
      <c r="AJ241" s="1"/>
      <c r="AK241" s="1"/>
      <c r="AL241" s="1"/>
      <c r="AM241" s="1"/>
      <c r="AN241" s="1"/>
      <c r="AO241" s="1"/>
      <c r="AP241" s="1"/>
      <c r="AQ241" s="1"/>
      <c r="AR241" s="1"/>
      <c r="AS241" s="1"/>
      <c r="AT241" s="1"/>
      <c r="AU241" s="1"/>
      <c r="AV241" s="1"/>
      <c r="AW241" s="1"/>
      <c r="AX241" s="1"/>
      <c r="AY241" s="1"/>
      <c r="AZ241" s="4" t="s">
        <v>320</v>
      </c>
      <c r="BA241" s="1"/>
      <c r="BB241" s="1"/>
      <c r="BC241" s="1"/>
    </row>
    <row r="242" spans="1:55" s="78" customFormat="1" ht="15" customHeight="1" x14ac:dyDescent="0.25">
      <c r="A242" s="52" t="s">
        <v>4251</v>
      </c>
      <c r="B242" s="34" t="s">
        <v>59</v>
      </c>
      <c r="C242" s="53">
        <v>2026</v>
      </c>
      <c r="D242" s="53">
        <v>2026</v>
      </c>
      <c r="E242" s="54" t="s">
        <v>3090</v>
      </c>
      <c r="F242" s="55" t="s">
        <v>50</v>
      </c>
      <c r="G242" s="55" t="s">
        <v>50</v>
      </c>
      <c r="H242" s="45" t="s">
        <v>797</v>
      </c>
      <c r="I242" s="56" t="s">
        <v>78</v>
      </c>
      <c r="J242" s="56"/>
      <c r="K242" s="56" t="s">
        <v>71</v>
      </c>
      <c r="L242" s="55"/>
      <c r="M242" s="55"/>
      <c r="N242" s="56" t="s">
        <v>110</v>
      </c>
      <c r="O242" s="56"/>
      <c r="P242" s="55" t="s">
        <v>73</v>
      </c>
      <c r="Q242" s="55" t="s">
        <v>57</v>
      </c>
      <c r="R242" s="55"/>
      <c r="S242" s="56" t="s">
        <v>58</v>
      </c>
      <c r="T242" s="55" t="str">
        <f>IF(ISNUMBER(SEARCH(",",N242)),"Y","N")</f>
        <v>N</v>
      </c>
      <c r="U242" s="57">
        <v>-999</v>
      </c>
      <c r="V242" s="57" t="s">
        <v>59</v>
      </c>
      <c r="W242" s="55" t="s">
        <v>2319</v>
      </c>
      <c r="X242" s="54" t="s">
        <v>4251</v>
      </c>
      <c r="Y242" s="52"/>
      <c r="Z242" s="3" t="s">
        <v>61</v>
      </c>
      <c r="AA242" s="1" t="s">
        <v>798</v>
      </c>
      <c r="AB242" s="1"/>
      <c r="AC242" s="1"/>
      <c r="AD242" s="3" t="s">
        <v>62</v>
      </c>
      <c r="AE242" s="1" t="s">
        <v>718</v>
      </c>
      <c r="AF242" s="1" t="s">
        <v>109</v>
      </c>
      <c r="AG242" s="1" t="s">
        <v>109</v>
      </c>
      <c r="AH242" s="59">
        <v>100</v>
      </c>
      <c r="AI242" s="1"/>
      <c r="AJ242" s="59"/>
      <c r="AK242" s="1"/>
      <c r="AL242" s="59"/>
      <c r="AM242" s="1"/>
      <c r="AN242" s="60"/>
      <c r="AO242" s="1"/>
      <c r="AP242" s="60"/>
      <c r="AQ242" s="1"/>
      <c r="AR242" s="60"/>
      <c r="AS242" s="1"/>
      <c r="AT242" s="60"/>
      <c r="AU242" s="1"/>
      <c r="AV242" s="60"/>
      <c r="AW242" s="1"/>
      <c r="AX242" s="60"/>
      <c r="AY242" s="1"/>
      <c r="AZ242" s="4" t="s">
        <v>799</v>
      </c>
      <c r="BA242" s="5"/>
      <c r="BB242" s="1"/>
      <c r="BC242" s="1"/>
    </row>
    <row r="243" spans="1:55" s="78" customFormat="1" ht="15" customHeight="1" x14ac:dyDescent="0.25">
      <c r="A243" s="52" t="s">
        <v>4252</v>
      </c>
      <c r="B243" s="34" t="s">
        <v>59</v>
      </c>
      <c r="C243" s="53">
        <v>2026</v>
      </c>
      <c r="D243" s="53">
        <v>2026</v>
      </c>
      <c r="E243" s="54" t="s">
        <v>3090</v>
      </c>
      <c r="F243" s="55" t="s">
        <v>50</v>
      </c>
      <c r="G243" s="55" t="s">
        <v>50</v>
      </c>
      <c r="H243" s="45" t="s">
        <v>797</v>
      </c>
      <c r="I243" s="56" t="s">
        <v>78</v>
      </c>
      <c r="J243" s="56"/>
      <c r="K243" s="56" t="s">
        <v>74</v>
      </c>
      <c r="L243" s="55"/>
      <c r="M243" s="55"/>
      <c r="N243" s="55" t="s">
        <v>110</v>
      </c>
      <c r="O243" s="55"/>
      <c r="P243" s="55" t="s">
        <v>75</v>
      </c>
      <c r="Q243" s="56" t="s">
        <v>57</v>
      </c>
      <c r="R243" s="55"/>
      <c r="S243" s="56" t="s">
        <v>58</v>
      </c>
      <c r="T243" s="55" t="s">
        <v>81</v>
      </c>
      <c r="U243" s="57">
        <v>-999</v>
      </c>
      <c r="V243" s="57" t="s">
        <v>59</v>
      </c>
      <c r="W243" s="55" t="s">
        <v>2319</v>
      </c>
      <c r="X243" s="54" t="s">
        <v>4252</v>
      </c>
      <c r="Y243" s="52"/>
      <c r="Z243" s="3" t="s">
        <v>61</v>
      </c>
      <c r="AA243" s="1" t="s">
        <v>798</v>
      </c>
      <c r="AB243" s="1"/>
      <c r="AC243" s="1"/>
      <c r="AD243" s="3" t="s">
        <v>62</v>
      </c>
      <c r="AE243" s="3" t="s">
        <v>718</v>
      </c>
      <c r="AF243" s="1" t="s">
        <v>109</v>
      </c>
      <c r="AG243" s="1" t="s">
        <v>109</v>
      </c>
      <c r="AH243" s="59">
        <v>100</v>
      </c>
      <c r="AI243" s="1"/>
      <c r="AJ243" s="59"/>
      <c r="AK243" s="1"/>
      <c r="AL243" s="59"/>
      <c r="AM243" s="3"/>
      <c r="AN243" s="53"/>
      <c r="AO243" s="3"/>
      <c r="AP243" s="53"/>
      <c r="AQ243" s="3"/>
      <c r="AR243" s="53"/>
      <c r="AS243" s="3"/>
      <c r="AT243" s="53"/>
      <c r="AU243" s="3"/>
      <c r="AV243" s="53"/>
      <c r="AW243" s="3"/>
      <c r="AX243" s="53"/>
      <c r="AY243" s="3"/>
      <c r="AZ243" s="4" t="s">
        <v>799</v>
      </c>
      <c r="BA243" s="32"/>
      <c r="BB243" s="1"/>
      <c r="BC243" s="1"/>
    </row>
    <row r="244" spans="1:55" s="78" customFormat="1" ht="15" customHeight="1" x14ac:dyDescent="0.25">
      <c r="A244" s="52" t="s">
        <v>4253</v>
      </c>
      <c r="B244" s="34" t="s">
        <v>59</v>
      </c>
      <c r="C244" s="53">
        <v>2026</v>
      </c>
      <c r="D244" s="53">
        <v>2026</v>
      </c>
      <c r="E244" s="54" t="s">
        <v>3091</v>
      </c>
      <c r="F244" s="55" t="s">
        <v>50</v>
      </c>
      <c r="G244" s="55" t="s">
        <v>50</v>
      </c>
      <c r="H244" s="45" t="s">
        <v>801</v>
      </c>
      <c r="I244" s="56" t="s">
        <v>52</v>
      </c>
      <c r="J244" s="45" t="s">
        <v>65</v>
      </c>
      <c r="K244" s="56" t="s">
        <v>66</v>
      </c>
      <c r="L244" s="55" t="s">
        <v>54</v>
      </c>
      <c r="M244" s="55"/>
      <c r="N244" s="56" t="s">
        <v>55</v>
      </c>
      <c r="O244" s="56"/>
      <c r="P244" s="56" t="s">
        <v>67</v>
      </c>
      <c r="Q244" s="55" t="s">
        <v>57</v>
      </c>
      <c r="R244" s="55"/>
      <c r="S244" s="56" t="s">
        <v>58</v>
      </c>
      <c r="T244" s="55" t="str">
        <f>IF(ISNUMBER(SEARCH(",",N244)),"Y","N")</f>
        <v>N</v>
      </c>
      <c r="U244" s="57">
        <v>-999</v>
      </c>
      <c r="V244" s="57" t="s">
        <v>59</v>
      </c>
      <c r="W244" s="55" t="s">
        <v>2319</v>
      </c>
      <c r="X244" s="54" t="s">
        <v>4253</v>
      </c>
      <c r="Y244" s="52"/>
      <c r="Z244" s="1" t="s">
        <v>61</v>
      </c>
      <c r="AA244" s="1" t="s">
        <v>802</v>
      </c>
      <c r="AB244" s="1"/>
      <c r="AC244" s="1"/>
      <c r="AD244" s="3" t="s">
        <v>62</v>
      </c>
      <c r="AE244" s="1" t="s">
        <v>464</v>
      </c>
      <c r="AF244" s="1"/>
      <c r="AG244" s="1" t="s">
        <v>803</v>
      </c>
      <c r="AH244" s="2">
        <v>100</v>
      </c>
      <c r="AI244" s="1"/>
      <c r="AJ244" s="1"/>
      <c r="AK244" s="1"/>
      <c r="AL244" s="1"/>
      <c r="AM244" s="1"/>
      <c r="AN244" s="1"/>
      <c r="AO244" s="1"/>
      <c r="AP244" s="1"/>
      <c r="AQ244" s="1"/>
      <c r="AR244" s="1"/>
      <c r="AS244" s="1"/>
      <c r="AT244" s="1"/>
      <c r="AU244" s="1"/>
      <c r="AV244" s="1"/>
      <c r="AW244" s="1"/>
      <c r="AX244" s="1"/>
      <c r="AY244" s="1"/>
      <c r="AZ244" s="4" t="s">
        <v>800</v>
      </c>
      <c r="BA244" s="1"/>
      <c r="BB244" s="1"/>
      <c r="BC244" s="1"/>
    </row>
    <row r="245" spans="1:55" s="78" customFormat="1" ht="15" customHeight="1" x14ac:dyDescent="0.25">
      <c r="A245" s="52" t="s">
        <v>4254</v>
      </c>
      <c r="B245" s="34" t="s">
        <v>59</v>
      </c>
      <c r="C245" s="53">
        <v>2026</v>
      </c>
      <c r="D245" s="53">
        <v>2026</v>
      </c>
      <c r="E245" s="54" t="s">
        <v>3091</v>
      </c>
      <c r="F245" s="55" t="s">
        <v>50</v>
      </c>
      <c r="G245" s="55" t="s">
        <v>50</v>
      </c>
      <c r="H245" s="45" t="s">
        <v>801</v>
      </c>
      <c r="I245" s="56" t="s">
        <v>52</v>
      </c>
      <c r="J245" s="45" t="s">
        <v>65</v>
      </c>
      <c r="K245" s="56" t="s">
        <v>68</v>
      </c>
      <c r="L245" s="55" t="s">
        <v>54</v>
      </c>
      <c r="M245" s="55"/>
      <c r="N245" s="56" t="s">
        <v>55</v>
      </c>
      <c r="O245" s="56"/>
      <c r="P245" s="55" t="s">
        <v>69</v>
      </c>
      <c r="Q245" s="55" t="s">
        <v>57</v>
      </c>
      <c r="R245" s="55"/>
      <c r="S245" s="56" t="s">
        <v>58</v>
      </c>
      <c r="T245" s="55" t="str">
        <f>IF(ISNUMBER(SEARCH(",",N245)),"Y","N")</f>
        <v>N</v>
      </c>
      <c r="U245" s="57">
        <v>-999</v>
      </c>
      <c r="V245" s="57" t="s">
        <v>59</v>
      </c>
      <c r="W245" s="55" t="s">
        <v>2319</v>
      </c>
      <c r="X245" s="54" t="s">
        <v>4254</v>
      </c>
      <c r="Y245" s="52"/>
      <c r="Z245" s="1" t="s">
        <v>61</v>
      </c>
      <c r="AA245" s="1" t="s">
        <v>802</v>
      </c>
      <c r="AB245" s="1"/>
      <c r="AC245" s="1"/>
      <c r="AD245" s="3" t="s">
        <v>62</v>
      </c>
      <c r="AE245" s="1" t="s">
        <v>464</v>
      </c>
      <c r="AF245" s="1"/>
      <c r="AG245" s="1" t="s">
        <v>803</v>
      </c>
      <c r="AH245" s="2">
        <v>100</v>
      </c>
      <c r="AI245" s="1"/>
      <c r="AJ245" s="1"/>
      <c r="AK245" s="1"/>
      <c r="AL245" s="1"/>
      <c r="AM245" s="1"/>
      <c r="AN245" s="1"/>
      <c r="AO245" s="1"/>
      <c r="AP245" s="1"/>
      <c r="AQ245" s="1"/>
      <c r="AR245" s="1"/>
      <c r="AS245" s="1"/>
      <c r="AT245" s="1"/>
      <c r="AU245" s="1"/>
      <c r="AV245" s="1"/>
      <c r="AW245" s="1"/>
      <c r="AX245" s="1"/>
      <c r="AY245" s="1"/>
      <c r="AZ245" s="4" t="s">
        <v>800</v>
      </c>
      <c r="BA245" s="1"/>
      <c r="BB245" s="1"/>
      <c r="BC245" s="1"/>
    </row>
    <row r="246" spans="1:55" s="78" customFormat="1" ht="15" customHeight="1" x14ac:dyDescent="0.25">
      <c r="A246" s="52" t="s">
        <v>4255</v>
      </c>
      <c r="B246" s="34" t="s">
        <v>59</v>
      </c>
      <c r="C246" s="53">
        <v>2026</v>
      </c>
      <c r="D246" s="53">
        <v>2026</v>
      </c>
      <c r="E246" s="54" t="s">
        <v>3092</v>
      </c>
      <c r="F246" s="55" t="s">
        <v>50</v>
      </c>
      <c r="G246" s="55" t="s">
        <v>50</v>
      </c>
      <c r="H246" s="45" t="s">
        <v>804</v>
      </c>
      <c r="I246" s="56" t="s">
        <v>52</v>
      </c>
      <c r="J246" s="56"/>
      <c r="K246" s="55" t="s">
        <v>53</v>
      </c>
      <c r="L246" s="55" t="s">
        <v>54</v>
      </c>
      <c r="M246" s="55"/>
      <c r="N246" s="55" t="s">
        <v>327</v>
      </c>
      <c r="O246" s="55"/>
      <c r="P246" s="55" t="s">
        <v>56</v>
      </c>
      <c r="Q246" s="55" t="s">
        <v>57</v>
      </c>
      <c r="R246" s="55"/>
      <c r="S246" s="56" t="s">
        <v>58</v>
      </c>
      <c r="T246" s="55" t="s">
        <v>58</v>
      </c>
      <c r="U246" s="57">
        <v>68000</v>
      </c>
      <c r="V246" s="57" t="s">
        <v>101</v>
      </c>
      <c r="W246" s="55"/>
      <c r="X246" s="54" t="s">
        <v>4255</v>
      </c>
      <c r="Y246" s="52"/>
      <c r="Z246" s="3" t="s">
        <v>61</v>
      </c>
      <c r="AA246" s="1" t="s">
        <v>798</v>
      </c>
      <c r="AB246" s="1"/>
      <c r="AC246" s="1"/>
      <c r="AD246" s="3" t="s">
        <v>62</v>
      </c>
      <c r="AE246" s="3" t="s">
        <v>718</v>
      </c>
      <c r="AF246" s="3"/>
      <c r="AG246" s="3" t="s">
        <v>109</v>
      </c>
      <c r="AH246" s="58">
        <v>100</v>
      </c>
      <c r="AI246" s="3"/>
      <c r="AJ246" s="3"/>
      <c r="AK246" s="3"/>
      <c r="AL246" s="3"/>
      <c r="AM246" s="3"/>
      <c r="AN246" s="3"/>
      <c r="AO246" s="3"/>
      <c r="AP246" s="3"/>
      <c r="AQ246" s="3"/>
      <c r="AR246" s="3"/>
      <c r="AS246" s="3"/>
      <c r="AT246" s="3"/>
      <c r="AU246" s="3"/>
      <c r="AV246" s="3"/>
      <c r="AW246" s="3"/>
      <c r="AX246" s="3"/>
      <c r="AY246" s="3"/>
      <c r="AZ246" s="4" t="s">
        <v>799</v>
      </c>
      <c r="BA246" s="3"/>
      <c r="BB246" s="1"/>
      <c r="BC246" s="1"/>
    </row>
    <row r="247" spans="1:55" s="78" customFormat="1" ht="15" customHeight="1" x14ac:dyDescent="0.25">
      <c r="A247" s="52" t="s">
        <v>4256</v>
      </c>
      <c r="B247" s="34" t="s">
        <v>59</v>
      </c>
      <c r="C247" s="53">
        <v>2026</v>
      </c>
      <c r="D247" s="53">
        <v>2026</v>
      </c>
      <c r="E247" s="54" t="s">
        <v>3093</v>
      </c>
      <c r="F247" s="55" t="s">
        <v>50</v>
      </c>
      <c r="G247" s="55" t="s">
        <v>50</v>
      </c>
      <c r="H247" s="45" t="s">
        <v>806</v>
      </c>
      <c r="I247" s="61" t="s">
        <v>78</v>
      </c>
      <c r="J247" s="56"/>
      <c r="K247" s="45" t="s">
        <v>180</v>
      </c>
      <c r="L247" s="55"/>
      <c r="M247" s="55"/>
      <c r="N247" s="55" t="s">
        <v>181</v>
      </c>
      <c r="O247" s="55"/>
      <c r="P247" s="55" t="s">
        <v>182</v>
      </c>
      <c r="Q247" s="55" t="s">
        <v>5353</v>
      </c>
      <c r="R247" s="55"/>
      <c r="S247" s="56" t="s">
        <v>81</v>
      </c>
      <c r="T247" s="55" t="str">
        <f>IF(ISNUMBER(SEARCH(",",N247)),"Y","N")</f>
        <v>N</v>
      </c>
      <c r="U247" s="57">
        <v>1860</v>
      </c>
      <c r="V247" s="57" t="s">
        <v>101</v>
      </c>
      <c r="W247" s="55"/>
      <c r="X247" s="54" t="s">
        <v>4256</v>
      </c>
      <c r="Y247" s="52"/>
      <c r="Z247" s="3" t="s">
        <v>61</v>
      </c>
      <c r="AA247" s="3" t="s">
        <v>807</v>
      </c>
      <c r="AB247" s="3"/>
      <c r="AC247" s="3"/>
      <c r="AD247" s="3" t="s">
        <v>62</v>
      </c>
      <c r="AE247" s="3" t="s">
        <v>387</v>
      </c>
      <c r="AF247" s="3"/>
      <c r="AG247" s="3" t="s">
        <v>450</v>
      </c>
      <c r="AH247" s="58">
        <v>100</v>
      </c>
      <c r="AI247" s="3"/>
      <c r="AJ247" s="53"/>
      <c r="AK247" s="3"/>
      <c r="AL247" s="3"/>
      <c r="AM247" s="3"/>
      <c r="AN247" s="3"/>
      <c r="AO247" s="3"/>
      <c r="AP247" s="3"/>
      <c r="AQ247" s="3"/>
      <c r="AR247" s="3"/>
      <c r="AS247" s="3"/>
      <c r="AT247" s="3"/>
      <c r="AU247" s="3"/>
      <c r="AV247" s="3"/>
      <c r="AW247" s="3"/>
      <c r="AX247" s="3"/>
      <c r="AY247" s="3"/>
      <c r="AZ247" s="4" t="s">
        <v>805</v>
      </c>
      <c r="BA247" s="3"/>
      <c r="BB247" s="1"/>
      <c r="BC247" s="1"/>
    </row>
    <row r="248" spans="1:55" s="78" customFormat="1" ht="15" customHeight="1" x14ac:dyDescent="0.25">
      <c r="A248" s="52" t="s">
        <v>4257</v>
      </c>
      <c r="B248" s="34" t="s">
        <v>59</v>
      </c>
      <c r="C248" s="53">
        <v>2026</v>
      </c>
      <c r="D248" s="53">
        <v>2026</v>
      </c>
      <c r="E248" s="54" t="s">
        <v>3094</v>
      </c>
      <c r="F248" s="55" t="s">
        <v>50</v>
      </c>
      <c r="G248" s="55" t="s">
        <v>50</v>
      </c>
      <c r="H248" s="45" t="s">
        <v>809</v>
      </c>
      <c r="I248" s="45" t="s">
        <v>52</v>
      </c>
      <c r="J248" s="56"/>
      <c r="K248" s="55" t="s">
        <v>218</v>
      </c>
      <c r="L248" s="55"/>
      <c r="M248" s="55"/>
      <c r="N248" s="55" t="s">
        <v>810</v>
      </c>
      <c r="O248" s="55"/>
      <c r="P248" s="55" t="s">
        <v>811</v>
      </c>
      <c r="Q248" s="55" t="s">
        <v>5353</v>
      </c>
      <c r="R248" s="55"/>
      <c r="S248" s="56" t="s">
        <v>81</v>
      </c>
      <c r="T248" s="55" t="s">
        <v>81</v>
      </c>
      <c r="U248" s="57">
        <v>3000</v>
      </c>
      <c r="V248" s="57" t="s">
        <v>101</v>
      </c>
      <c r="W248" s="55" t="s">
        <v>2319</v>
      </c>
      <c r="X248" s="54" t="s">
        <v>4257</v>
      </c>
      <c r="Y248" s="52"/>
      <c r="Z248" s="3" t="s">
        <v>61</v>
      </c>
      <c r="AA248" s="3" t="s">
        <v>812</v>
      </c>
      <c r="AB248" s="3"/>
      <c r="AC248" s="3"/>
      <c r="AD248" s="3" t="s">
        <v>62</v>
      </c>
      <c r="AE248" s="3" t="s">
        <v>464</v>
      </c>
      <c r="AF248" s="3"/>
      <c r="AG248" s="3" t="s">
        <v>813</v>
      </c>
      <c r="AH248" s="58">
        <v>100</v>
      </c>
      <c r="AI248" s="3"/>
      <c r="AJ248" s="3"/>
      <c r="AK248" s="3"/>
      <c r="AL248" s="3"/>
      <c r="AM248" s="3"/>
      <c r="AN248" s="3"/>
      <c r="AO248" s="3"/>
      <c r="AP248" s="3"/>
      <c r="AQ248" s="3"/>
      <c r="AR248" s="3"/>
      <c r="AS248" s="3"/>
      <c r="AT248" s="3"/>
      <c r="AU248" s="3"/>
      <c r="AV248" s="3"/>
      <c r="AW248" s="3"/>
      <c r="AX248" s="3"/>
      <c r="AY248" s="3"/>
      <c r="AZ248" s="4" t="s">
        <v>808</v>
      </c>
      <c r="BA248" s="3"/>
      <c r="BB248" s="1"/>
      <c r="BC248" s="1"/>
    </row>
    <row r="249" spans="1:55" s="78" customFormat="1" ht="15" customHeight="1" x14ac:dyDescent="0.25">
      <c r="A249" s="52" t="s">
        <v>4258</v>
      </c>
      <c r="B249" s="34" t="s">
        <v>59</v>
      </c>
      <c r="C249" s="53">
        <v>2026</v>
      </c>
      <c r="D249" s="53">
        <v>2026</v>
      </c>
      <c r="E249" s="54" t="s">
        <v>3095</v>
      </c>
      <c r="F249" s="55" t="s">
        <v>50</v>
      </c>
      <c r="G249" s="55" t="s">
        <v>50</v>
      </c>
      <c r="H249" s="45" t="s">
        <v>815</v>
      </c>
      <c r="I249" s="45" t="s">
        <v>52</v>
      </c>
      <c r="J249" s="56"/>
      <c r="K249" s="55" t="s">
        <v>582</v>
      </c>
      <c r="L249" s="55" t="s">
        <v>317</v>
      </c>
      <c r="M249" s="55" t="s">
        <v>113</v>
      </c>
      <c r="N249" s="56" t="s">
        <v>55</v>
      </c>
      <c r="O249" s="56" t="s">
        <v>816</v>
      </c>
      <c r="P249" s="61" t="s">
        <v>583</v>
      </c>
      <c r="Q249" s="61" t="s">
        <v>57</v>
      </c>
      <c r="R249" s="55"/>
      <c r="S249" s="56" t="s">
        <v>81</v>
      </c>
      <c r="T249" s="55" t="s">
        <v>58</v>
      </c>
      <c r="U249" s="57">
        <v>120000</v>
      </c>
      <c r="V249" s="57" t="s">
        <v>101</v>
      </c>
      <c r="W249" s="55" t="s">
        <v>2319</v>
      </c>
      <c r="X249" s="54" t="s">
        <v>4258</v>
      </c>
      <c r="Y249" s="52"/>
      <c r="Z249" s="1" t="s">
        <v>2005</v>
      </c>
      <c r="AA249" s="3" t="s">
        <v>817</v>
      </c>
      <c r="AB249" s="3"/>
      <c r="AC249" s="3"/>
      <c r="AD249" s="3" t="s">
        <v>62</v>
      </c>
      <c r="AE249" s="3" t="s">
        <v>464</v>
      </c>
      <c r="AF249" s="3" t="s">
        <v>735</v>
      </c>
      <c r="AG249" s="3" t="s">
        <v>735</v>
      </c>
      <c r="AH249" s="58">
        <v>100</v>
      </c>
      <c r="AI249" s="3"/>
      <c r="AJ249" s="3"/>
      <c r="AK249" s="3"/>
      <c r="AL249" s="3"/>
      <c r="AM249" s="3"/>
      <c r="AN249" s="3"/>
      <c r="AO249" s="3"/>
      <c r="AP249" s="3"/>
      <c r="AQ249" s="3"/>
      <c r="AR249" s="3"/>
      <c r="AS249" s="3"/>
      <c r="AT249" s="3"/>
      <c r="AU249" s="3"/>
      <c r="AV249" s="3"/>
      <c r="AW249" s="3"/>
      <c r="AX249" s="3"/>
      <c r="AY249" s="3"/>
      <c r="AZ249" s="4" t="s">
        <v>814</v>
      </c>
      <c r="BA249" s="32"/>
      <c r="BB249" s="1"/>
      <c r="BC249" s="1"/>
    </row>
    <row r="250" spans="1:55" s="78" customFormat="1" ht="15" customHeight="1" x14ac:dyDescent="0.25">
      <c r="A250" s="52" t="s">
        <v>4259</v>
      </c>
      <c r="B250" s="34" t="s">
        <v>59</v>
      </c>
      <c r="C250" s="53">
        <v>2026</v>
      </c>
      <c r="D250" s="53">
        <v>2026</v>
      </c>
      <c r="E250" s="54" t="s">
        <v>3096</v>
      </c>
      <c r="F250" s="55" t="s">
        <v>50</v>
      </c>
      <c r="G250" s="55" t="s">
        <v>50</v>
      </c>
      <c r="H250" s="45" t="s">
        <v>819</v>
      </c>
      <c r="I250" s="56" t="s">
        <v>52</v>
      </c>
      <c r="J250" s="56"/>
      <c r="K250" s="56" t="s">
        <v>346</v>
      </c>
      <c r="L250" s="55" t="str">
        <f>IF(K250="Mine or Quarry","Mine","")</f>
        <v/>
      </c>
      <c r="M250" s="55"/>
      <c r="N250" s="56" t="s">
        <v>788</v>
      </c>
      <c r="O250" s="56" t="s">
        <v>789</v>
      </c>
      <c r="P250" s="56" t="s">
        <v>89</v>
      </c>
      <c r="Q250" s="56" t="s">
        <v>89</v>
      </c>
      <c r="R250" s="55"/>
      <c r="S250" s="56" t="s">
        <v>81</v>
      </c>
      <c r="T250" s="55" t="str">
        <f>IF(ISNUMBER(SEARCH(",",N250)),"Y","N")</f>
        <v>N</v>
      </c>
      <c r="U250" s="57">
        <v>5000</v>
      </c>
      <c r="V250" s="57" t="s">
        <v>101</v>
      </c>
      <c r="W250" s="55" t="s">
        <v>2319</v>
      </c>
      <c r="X250" s="54" t="s">
        <v>4259</v>
      </c>
      <c r="Y250" s="52"/>
      <c r="Z250" s="2" t="s">
        <v>61</v>
      </c>
      <c r="AA250" s="1" t="s">
        <v>820</v>
      </c>
      <c r="AB250" s="1"/>
      <c r="AC250" s="1"/>
      <c r="AD250" s="3" t="s">
        <v>62</v>
      </c>
      <c r="AE250" s="2" t="s">
        <v>175</v>
      </c>
      <c r="AF250" s="2"/>
      <c r="AG250" s="1" t="s">
        <v>821</v>
      </c>
      <c r="AH250" s="2">
        <v>100</v>
      </c>
      <c r="AI250" s="1"/>
      <c r="AJ250" s="1"/>
      <c r="AK250" s="1"/>
      <c r="AL250" s="1"/>
      <c r="AM250" s="1"/>
      <c r="AN250" s="1"/>
      <c r="AO250" s="1"/>
      <c r="AP250" s="1"/>
      <c r="AQ250" s="1"/>
      <c r="AR250" s="1"/>
      <c r="AS250" s="1"/>
      <c r="AT250" s="1"/>
      <c r="AU250" s="1"/>
      <c r="AV250" s="1"/>
      <c r="AW250" s="1"/>
      <c r="AX250" s="1"/>
      <c r="AY250" s="1"/>
      <c r="AZ250" s="4" t="s">
        <v>818</v>
      </c>
      <c r="BA250" s="1"/>
      <c r="BB250" s="1"/>
      <c r="BC250" s="1"/>
    </row>
    <row r="251" spans="1:55" s="78" customFormat="1" ht="15" customHeight="1" x14ac:dyDescent="0.25">
      <c r="A251" s="52" t="s">
        <v>4260</v>
      </c>
      <c r="B251" s="34" t="s">
        <v>59</v>
      </c>
      <c r="C251" s="53">
        <v>2026</v>
      </c>
      <c r="D251" s="53">
        <v>2026</v>
      </c>
      <c r="E251" s="54" t="s">
        <v>3097</v>
      </c>
      <c r="F251" s="55" t="s">
        <v>50</v>
      </c>
      <c r="G251" s="55" t="s">
        <v>50</v>
      </c>
      <c r="H251" s="45" t="s">
        <v>823</v>
      </c>
      <c r="I251" s="56" t="s">
        <v>52</v>
      </c>
      <c r="J251" s="56"/>
      <c r="K251" s="55" t="s">
        <v>313</v>
      </c>
      <c r="L251" s="55"/>
      <c r="M251" s="55" t="s">
        <v>491</v>
      </c>
      <c r="N251" s="56" t="s">
        <v>149</v>
      </c>
      <c r="O251" s="56" t="s">
        <v>824</v>
      </c>
      <c r="P251" s="56" t="s">
        <v>314</v>
      </c>
      <c r="Q251" s="61" t="s">
        <v>57</v>
      </c>
      <c r="R251" s="55"/>
      <c r="S251" s="56" t="s">
        <v>81</v>
      </c>
      <c r="T251" s="55" t="s">
        <v>81</v>
      </c>
      <c r="U251" s="57">
        <v>-999</v>
      </c>
      <c r="V251" s="57" t="s">
        <v>59</v>
      </c>
      <c r="W251" s="55" t="s">
        <v>2319</v>
      </c>
      <c r="X251" s="54" t="s">
        <v>4260</v>
      </c>
      <c r="Y251" s="52"/>
      <c r="Z251" s="2" t="s">
        <v>61</v>
      </c>
      <c r="AA251" s="1" t="s">
        <v>825</v>
      </c>
      <c r="AB251" s="1"/>
      <c r="AC251" s="1"/>
      <c r="AD251" s="3" t="s">
        <v>62</v>
      </c>
      <c r="AE251" s="2" t="s">
        <v>695</v>
      </c>
      <c r="AF251" s="2"/>
      <c r="AG251" s="1" t="s">
        <v>826</v>
      </c>
      <c r="AH251" s="2">
        <v>100</v>
      </c>
      <c r="AI251" s="1"/>
      <c r="AJ251" s="1"/>
      <c r="AK251" s="1"/>
      <c r="AL251" s="1"/>
      <c r="AM251" s="1"/>
      <c r="AN251" s="1"/>
      <c r="AO251" s="1"/>
      <c r="AP251" s="1"/>
      <c r="AQ251" s="1"/>
      <c r="AR251" s="1"/>
      <c r="AS251" s="1"/>
      <c r="AT251" s="1"/>
      <c r="AU251" s="1"/>
      <c r="AV251" s="1"/>
      <c r="AW251" s="1"/>
      <c r="AX251" s="1"/>
      <c r="AY251" s="1"/>
      <c r="AZ251" s="4" t="s">
        <v>822</v>
      </c>
      <c r="BA251" s="1"/>
      <c r="BB251" s="1"/>
      <c r="BC251" s="1"/>
    </row>
    <row r="252" spans="1:55" s="78" customFormat="1" ht="15" customHeight="1" x14ac:dyDescent="0.25">
      <c r="A252" s="52" t="s">
        <v>4261</v>
      </c>
      <c r="B252" s="34" t="s">
        <v>59</v>
      </c>
      <c r="C252" s="53">
        <v>2026</v>
      </c>
      <c r="D252" s="53">
        <v>2026</v>
      </c>
      <c r="E252" s="54" t="s">
        <v>3098</v>
      </c>
      <c r="F252" s="55" t="s">
        <v>50</v>
      </c>
      <c r="G252" s="55" t="s">
        <v>50</v>
      </c>
      <c r="H252" s="45" t="s">
        <v>827</v>
      </c>
      <c r="I252" s="45" t="s">
        <v>52</v>
      </c>
      <c r="J252" s="56"/>
      <c r="K252" s="55" t="s">
        <v>53</v>
      </c>
      <c r="L252" s="55" t="s">
        <v>54</v>
      </c>
      <c r="M252" s="55"/>
      <c r="N252" s="55"/>
      <c r="O252" s="55"/>
      <c r="P252" s="55" t="s">
        <v>56</v>
      </c>
      <c r="Q252" s="55" t="s">
        <v>57</v>
      </c>
      <c r="R252" s="55"/>
      <c r="S252" s="56" t="s">
        <v>58</v>
      </c>
      <c r="T252" s="55" t="s">
        <v>81</v>
      </c>
      <c r="U252" s="57">
        <v>35000</v>
      </c>
      <c r="V252" s="57" t="s">
        <v>101</v>
      </c>
      <c r="W252" s="55"/>
      <c r="X252" s="54" t="s">
        <v>4261</v>
      </c>
      <c r="Y252" s="52"/>
      <c r="Z252" s="1" t="s">
        <v>61</v>
      </c>
      <c r="AA252" s="1" t="s">
        <v>825</v>
      </c>
      <c r="AB252" s="1"/>
      <c r="AC252" s="1"/>
      <c r="AD252" s="3" t="s">
        <v>62</v>
      </c>
      <c r="AE252" s="3" t="s">
        <v>695</v>
      </c>
      <c r="AF252" s="1" t="s">
        <v>828</v>
      </c>
      <c r="AG252" s="1" t="s">
        <v>828</v>
      </c>
      <c r="AH252" s="59">
        <v>10</v>
      </c>
      <c r="AI252" s="1" t="s">
        <v>829</v>
      </c>
      <c r="AJ252" s="59">
        <v>40</v>
      </c>
      <c r="AK252" s="2" t="s">
        <v>830</v>
      </c>
      <c r="AL252" s="53">
        <v>30</v>
      </c>
      <c r="AM252" s="3"/>
      <c r="AN252" s="53"/>
      <c r="AO252" s="3"/>
      <c r="AP252" s="53"/>
      <c r="AQ252" s="3"/>
      <c r="AR252" s="53"/>
      <c r="AS252" s="3"/>
      <c r="AT252" s="53"/>
      <c r="AU252" s="3"/>
      <c r="AV252" s="53"/>
      <c r="AW252" s="3"/>
      <c r="AX252" s="53"/>
      <c r="AY252" s="3"/>
      <c r="AZ252" s="4" t="s">
        <v>3839</v>
      </c>
      <c r="BA252" s="4" t="s">
        <v>3840</v>
      </c>
      <c r="BB252" s="1"/>
      <c r="BC252" s="1"/>
    </row>
    <row r="253" spans="1:55" s="78" customFormat="1" ht="15" customHeight="1" x14ac:dyDescent="0.25">
      <c r="A253" s="52" t="s">
        <v>4262</v>
      </c>
      <c r="B253" s="34" t="s">
        <v>59</v>
      </c>
      <c r="C253" s="53">
        <v>2026</v>
      </c>
      <c r="D253" s="53">
        <v>2026</v>
      </c>
      <c r="E253" s="54" t="s">
        <v>3098</v>
      </c>
      <c r="F253" s="55" t="s">
        <v>50</v>
      </c>
      <c r="G253" s="55" t="s">
        <v>50</v>
      </c>
      <c r="H253" s="45" t="s">
        <v>827</v>
      </c>
      <c r="I253" s="45" t="s">
        <v>52</v>
      </c>
      <c r="J253" s="56"/>
      <c r="K253" s="55" t="s">
        <v>831</v>
      </c>
      <c r="L253" s="55" t="s">
        <v>54</v>
      </c>
      <c r="M253" s="55"/>
      <c r="N253" s="55"/>
      <c r="O253" s="55"/>
      <c r="P253" s="55" t="s">
        <v>832</v>
      </c>
      <c r="Q253" s="55" t="s">
        <v>57</v>
      </c>
      <c r="R253" s="55"/>
      <c r="S253" s="56" t="s">
        <v>58</v>
      </c>
      <c r="T253" s="55" t="s">
        <v>58</v>
      </c>
      <c r="U253" s="57">
        <v>44</v>
      </c>
      <c r="V253" s="57" t="s">
        <v>101</v>
      </c>
      <c r="W253" s="55"/>
      <c r="X253" s="54" t="s">
        <v>4262</v>
      </c>
      <c r="Y253" s="52"/>
      <c r="Z253" s="1" t="s">
        <v>61</v>
      </c>
      <c r="AA253" s="3" t="s">
        <v>825</v>
      </c>
      <c r="AB253" s="3"/>
      <c r="AC253" s="3"/>
      <c r="AD253" s="3" t="s">
        <v>62</v>
      </c>
      <c r="AE253" s="3" t="s">
        <v>695</v>
      </c>
      <c r="AF253" s="1" t="s">
        <v>828</v>
      </c>
      <c r="AG253" s="1" t="s">
        <v>828</v>
      </c>
      <c r="AH253" s="59">
        <v>10</v>
      </c>
      <c r="AI253" s="1" t="s">
        <v>829</v>
      </c>
      <c r="AJ253" s="59">
        <v>40</v>
      </c>
      <c r="AK253" s="2" t="s">
        <v>830</v>
      </c>
      <c r="AL253" s="53">
        <v>30</v>
      </c>
      <c r="AM253" s="3"/>
      <c r="AN253" s="53"/>
      <c r="AO253" s="3"/>
      <c r="AP253" s="53"/>
      <c r="AQ253" s="3"/>
      <c r="AR253" s="53"/>
      <c r="AS253" s="3"/>
      <c r="AT253" s="53"/>
      <c r="AU253" s="3"/>
      <c r="AV253" s="53"/>
      <c r="AW253" s="3"/>
      <c r="AX253" s="53"/>
      <c r="AY253" s="3"/>
      <c r="AZ253" s="4" t="s">
        <v>3839</v>
      </c>
      <c r="BA253" s="4" t="s">
        <v>3840</v>
      </c>
      <c r="BB253" s="1"/>
      <c r="BC253" s="1"/>
    </row>
    <row r="254" spans="1:55" s="78" customFormat="1" ht="15" customHeight="1" x14ac:dyDescent="0.25">
      <c r="A254" s="52" t="s">
        <v>4263</v>
      </c>
      <c r="B254" s="34" t="s">
        <v>59</v>
      </c>
      <c r="C254" s="53">
        <v>2026</v>
      </c>
      <c r="D254" s="53">
        <v>2026</v>
      </c>
      <c r="E254" s="54" t="s">
        <v>3098</v>
      </c>
      <c r="F254" s="55" t="s">
        <v>50</v>
      </c>
      <c r="G254" s="55" t="s">
        <v>50</v>
      </c>
      <c r="H254" s="45" t="s">
        <v>827</v>
      </c>
      <c r="I254" s="45" t="s">
        <v>52</v>
      </c>
      <c r="J254" s="56"/>
      <c r="K254" s="55" t="s">
        <v>490</v>
      </c>
      <c r="L254" s="55" t="s">
        <v>54</v>
      </c>
      <c r="M254" s="55"/>
      <c r="N254" s="55"/>
      <c r="O254" s="55"/>
      <c r="P254" s="55" t="s">
        <v>492</v>
      </c>
      <c r="Q254" s="55" t="s">
        <v>57</v>
      </c>
      <c r="R254" s="55"/>
      <c r="S254" s="56" t="s">
        <v>58</v>
      </c>
      <c r="T254" s="55" t="s">
        <v>81</v>
      </c>
      <c r="U254" s="57">
        <v>54</v>
      </c>
      <c r="V254" s="57" t="s">
        <v>101</v>
      </c>
      <c r="W254" s="55"/>
      <c r="X254" s="54" t="s">
        <v>4263</v>
      </c>
      <c r="Y254" s="52"/>
      <c r="Z254" s="1" t="s">
        <v>61</v>
      </c>
      <c r="AA254" s="3" t="s">
        <v>825</v>
      </c>
      <c r="AB254" s="3"/>
      <c r="AC254" s="3"/>
      <c r="AD254" s="3" t="s">
        <v>62</v>
      </c>
      <c r="AE254" s="3" t="s">
        <v>695</v>
      </c>
      <c r="AF254" s="1" t="s">
        <v>828</v>
      </c>
      <c r="AG254" s="1" t="s">
        <v>828</v>
      </c>
      <c r="AH254" s="59">
        <v>10</v>
      </c>
      <c r="AI254" s="1" t="s">
        <v>829</v>
      </c>
      <c r="AJ254" s="59">
        <v>40</v>
      </c>
      <c r="AK254" s="2" t="s">
        <v>830</v>
      </c>
      <c r="AL254" s="53">
        <v>30</v>
      </c>
      <c r="AM254" s="3"/>
      <c r="AN254" s="53"/>
      <c r="AO254" s="3"/>
      <c r="AP254" s="53"/>
      <c r="AQ254" s="3"/>
      <c r="AR254" s="53"/>
      <c r="AS254" s="3"/>
      <c r="AT254" s="53"/>
      <c r="AU254" s="3"/>
      <c r="AV254" s="53"/>
      <c r="AW254" s="3"/>
      <c r="AX254" s="53"/>
      <c r="AY254" s="3"/>
      <c r="AZ254" s="4" t="s">
        <v>3839</v>
      </c>
      <c r="BA254" s="4" t="s">
        <v>3840</v>
      </c>
      <c r="BB254" s="1"/>
      <c r="BC254" s="1"/>
    </row>
    <row r="255" spans="1:55" s="78" customFormat="1" ht="15" customHeight="1" x14ac:dyDescent="0.25">
      <c r="A255" s="52" t="s">
        <v>4264</v>
      </c>
      <c r="B255" s="34" t="s">
        <v>59</v>
      </c>
      <c r="C255" s="53">
        <v>2026</v>
      </c>
      <c r="D255" s="53">
        <v>2026</v>
      </c>
      <c r="E255" s="54" t="s">
        <v>3098</v>
      </c>
      <c r="F255" s="55" t="s">
        <v>50</v>
      </c>
      <c r="G255" s="55" t="s">
        <v>50</v>
      </c>
      <c r="H255" s="45" t="s">
        <v>827</v>
      </c>
      <c r="I255" s="45" t="s">
        <v>52</v>
      </c>
      <c r="J255" s="56"/>
      <c r="K255" s="55" t="s">
        <v>834</v>
      </c>
      <c r="L255" s="55" t="s">
        <v>54</v>
      </c>
      <c r="M255" s="55" t="s">
        <v>113</v>
      </c>
      <c r="N255" s="55" t="s">
        <v>249</v>
      </c>
      <c r="O255" s="55"/>
      <c r="P255" s="55" t="s">
        <v>835</v>
      </c>
      <c r="Q255" s="55" t="s">
        <v>57</v>
      </c>
      <c r="R255" s="55"/>
      <c r="S255" s="56" t="s">
        <v>58</v>
      </c>
      <c r="T255" s="55" t="s">
        <v>81</v>
      </c>
      <c r="U255" s="57">
        <v>91</v>
      </c>
      <c r="V255" s="57" t="s">
        <v>101</v>
      </c>
      <c r="W255" s="55"/>
      <c r="X255" s="54" t="s">
        <v>4264</v>
      </c>
      <c r="Y255" s="52"/>
      <c r="Z255" s="1" t="s">
        <v>61</v>
      </c>
      <c r="AA255" s="1" t="s">
        <v>825</v>
      </c>
      <c r="AB255" s="1"/>
      <c r="AC255" s="1"/>
      <c r="AD255" s="3" t="s">
        <v>62</v>
      </c>
      <c r="AE255" s="3" t="s">
        <v>695</v>
      </c>
      <c r="AF255" s="1" t="s">
        <v>828</v>
      </c>
      <c r="AG255" s="1" t="s">
        <v>828</v>
      </c>
      <c r="AH255" s="59">
        <v>10</v>
      </c>
      <c r="AI255" s="1" t="s">
        <v>829</v>
      </c>
      <c r="AJ255" s="59">
        <v>40</v>
      </c>
      <c r="AK255" s="2" t="s">
        <v>830</v>
      </c>
      <c r="AL255" s="53">
        <v>30</v>
      </c>
      <c r="AM255" s="3"/>
      <c r="AN255" s="53"/>
      <c r="AO255" s="3"/>
      <c r="AP255" s="53"/>
      <c r="AQ255" s="3"/>
      <c r="AR255" s="53"/>
      <c r="AS255" s="3"/>
      <c r="AT255" s="53"/>
      <c r="AU255" s="3"/>
      <c r="AV255" s="53"/>
      <c r="AW255" s="3"/>
      <c r="AX255" s="53"/>
      <c r="AY255" s="3"/>
      <c r="AZ255" s="4" t="s">
        <v>3839</v>
      </c>
      <c r="BA255" s="4" t="s">
        <v>3840</v>
      </c>
      <c r="BB255" s="1"/>
      <c r="BC255" s="1"/>
    </row>
    <row r="256" spans="1:55" s="78" customFormat="1" ht="15" customHeight="1" x14ac:dyDescent="0.25">
      <c r="A256" s="52" t="s">
        <v>4265</v>
      </c>
      <c r="B256" s="34" t="s">
        <v>59</v>
      </c>
      <c r="C256" s="53">
        <v>2026</v>
      </c>
      <c r="D256" s="53">
        <v>2026</v>
      </c>
      <c r="E256" s="54" t="s">
        <v>3098</v>
      </c>
      <c r="F256" s="55" t="s">
        <v>50</v>
      </c>
      <c r="G256" s="55" t="s">
        <v>50</v>
      </c>
      <c r="H256" s="45" t="s">
        <v>827</v>
      </c>
      <c r="I256" s="45" t="s">
        <v>52</v>
      </c>
      <c r="J256" s="56"/>
      <c r="K256" s="55" t="s">
        <v>198</v>
      </c>
      <c r="L256" s="55" t="s">
        <v>54</v>
      </c>
      <c r="M256" s="55"/>
      <c r="N256" s="55"/>
      <c r="O256" s="55"/>
      <c r="P256" s="55" t="s">
        <v>199</v>
      </c>
      <c r="Q256" s="55" t="s">
        <v>57</v>
      </c>
      <c r="R256" s="55"/>
      <c r="S256" s="56" t="s">
        <v>58</v>
      </c>
      <c r="T256" s="55" t="s">
        <v>81</v>
      </c>
      <c r="U256" s="57">
        <v>110</v>
      </c>
      <c r="V256" s="57" t="s">
        <v>101</v>
      </c>
      <c r="W256" s="55"/>
      <c r="X256" s="54" t="s">
        <v>4265</v>
      </c>
      <c r="Y256" s="52"/>
      <c r="Z256" s="1" t="s">
        <v>61</v>
      </c>
      <c r="AA256" s="1" t="s">
        <v>825</v>
      </c>
      <c r="AB256" s="1"/>
      <c r="AC256" s="1"/>
      <c r="AD256" s="3" t="s">
        <v>62</v>
      </c>
      <c r="AE256" s="3" t="s">
        <v>695</v>
      </c>
      <c r="AF256" s="1" t="s">
        <v>828</v>
      </c>
      <c r="AG256" s="1" t="s">
        <v>828</v>
      </c>
      <c r="AH256" s="59">
        <v>10</v>
      </c>
      <c r="AI256" s="1" t="s">
        <v>829</v>
      </c>
      <c r="AJ256" s="59">
        <v>40</v>
      </c>
      <c r="AK256" s="2" t="s">
        <v>830</v>
      </c>
      <c r="AL256" s="53">
        <v>30</v>
      </c>
      <c r="AM256" s="3"/>
      <c r="AN256" s="53"/>
      <c r="AO256" s="3"/>
      <c r="AP256" s="53"/>
      <c r="AQ256" s="3"/>
      <c r="AR256" s="53"/>
      <c r="AS256" s="3"/>
      <c r="AT256" s="53"/>
      <c r="AU256" s="3"/>
      <c r="AV256" s="53"/>
      <c r="AW256" s="3"/>
      <c r="AX256" s="53"/>
      <c r="AY256" s="3"/>
      <c r="AZ256" s="4" t="s">
        <v>3839</v>
      </c>
      <c r="BA256" s="4" t="s">
        <v>3840</v>
      </c>
      <c r="BB256" s="1"/>
      <c r="BC256" s="1"/>
    </row>
    <row r="257" spans="1:55" s="78" customFormat="1" ht="15" customHeight="1" x14ac:dyDescent="0.25">
      <c r="A257" s="52" t="s">
        <v>4266</v>
      </c>
      <c r="B257" s="34" t="s">
        <v>59</v>
      </c>
      <c r="C257" s="53">
        <v>2026</v>
      </c>
      <c r="D257" s="53">
        <v>2026</v>
      </c>
      <c r="E257" s="54" t="s">
        <v>3098</v>
      </c>
      <c r="F257" s="55" t="s">
        <v>50</v>
      </c>
      <c r="G257" s="55" t="s">
        <v>50</v>
      </c>
      <c r="H257" s="45" t="s">
        <v>827</v>
      </c>
      <c r="I257" s="56" t="s">
        <v>52</v>
      </c>
      <c r="J257" s="56"/>
      <c r="K257" s="55" t="s">
        <v>836</v>
      </c>
      <c r="L257" s="55" t="s">
        <v>54</v>
      </c>
      <c r="M257" s="55"/>
      <c r="N257" s="56" t="s">
        <v>55</v>
      </c>
      <c r="O257" s="56" t="s">
        <v>837</v>
      </c>
      <c r="P257" s="56" t="s">
        <v>838</v>
      </c>
      <c r="Q257" s="56" t="s">
        <v>57</v>
      </c>
      <c r="R257" s="55"/>
      <c r="S257" s="56" t="s">
        <v>58</v>
      </c>
      <c r="T257" s="55" t="s">
        <v>58</v>
      </c>
      <c r="U257" s="57">
        <v>270</v>
      </c>
      <c r="V257" s="57" t="s">
        <v>101</v>
      </c>
      <c r="W257" s="55"/>
      <c r="X257" s="54" t="s">
        <v>4266</v>
      </c>
      <c r="Y257" s="52"/>
      <c r="Z257" s="1" t="s">
        <v>61</v>
      </c>
      <c r="AA257" s="1" t="s">
        <v>825</v>
      </c>
      <c r="AB257" s="1"/>
      <c r="AC257" s="1"/>
      <c r="AD257" s="3" t="s">
        <v>62</v>
      </c>
      <c r="AE257" s="1" t="s">
        <v>695</v>
      </c>
      <c r="AF257" s="1" t="s">
        <v>828</v>
      </c>
      <c r="AG257" s="1" t="s">
        <v>828</v>
      </c>
      <c r="AH257" s="59">
        <v>10</v>
      </c>
      <c r="AI257" s="1" t="s">
        <v>829</v>
      </c>
      <c r="AJ257" s="59">
        <v>40</v>
      </c>
      <c r="AK257" s="2" t="s">
        <v>830</v>
      </c>
      <c r="AL257" s="53">
        <v>30</v>
      </c>
      <c r="AM257" s="1"/>
      <c r="AN257" s="60"/>
      <c r="AO257" s="1"/>
      <c r="AP257" s="60"/>
      <c r="AQ257" s="1"/>
      <c r="AR257" s="60"/>
      <c r="AS257" s="1"/>
      <c r="AT257" s="60"/>
      <c r="AU257" s="1"/>
      <c r="AV257" s="60"/>
      <c r="AW257" s="1"/>
      <c r="AX257" s="60"/>
      <c r="AY257" s="1"/>
      <c r="AZ257" s="4" t="s">
        <v>1069</v>
      </c>
      <c r="BA257" s="4" t="s">
        <v>3956</v>
      </c>
      <c r="BB257" s="1"/>
      <c r="BC257" s="1"/>
    </row>
    <row r="258" spans="1:55" s="78" customFormat="1" ht="15" customHeight="1" x14ac:dyDescent="0.25">
      <c r="A258" s="52" t="s">
        <v>4267</v>
      </c>
      <c r="B258" s="34" t="s">
        <v>59</v>
      </c>
      <c r="C258" s="53">
        <v>2026</v>
      </c>
      <c r="D258" s="53">
        <v>2026</v>
      </c>
      <c r="E258" s="54" t="s">
        <v>3098</v>
      </c>
      <c r="F258" s="55" t="s">
        <v>50</v>
      </c>
      <c r="G258" s="55" t="s">
        <v>50</v>
      </c>
      <c r="H258" s="45" t="s">
        <v>827</v>
      </c>
      <c r="I258" s="45" t="s">
        <v>52</v>
      </c>
      <c r="J258" s="56"/>
      <c r="K258" s="55" t="s">
        <v>839</v>
      </c>
      <c r="L258" s="55" t="s">
        <v>54</v>
      </c>
      <c r="M258" s="55"/>
      <c r="N258" s="55"/>
      <c r="O258" s="55"/>
      <c r="P258" s="55" t="s">
        <v>840</v>
      </c>
      <c r="Q258" s="56" t="s">
        <v>57</v>
      </c>
      <c r="R258" s="55"/>
      <c r="S258" s="56" t="s">
        <v>58</v>
      </c>
      <c r="T258" s="55" t="s">
        <v>81</v>
      </c>
      <c r="U258" s="57">
        <v>430</v>
      </c>
      <c r="V258" s="57" t="s">
        <v>101</v>
      </c>
      <c r="W258" s="55"/>
      <c r="X258" s="54" t="s">
        <v>4267</v>
      </c>
      <c r="Y258" s="52"/>
      <c r="Z258" s="1" t="s">
        <v>61</v>
      </c>
      <c r="AA258" s="1" t="s">
        <v>825</v>
      </c>
      <c r="AB258" s="1"/>
      <c r="AC258" s="1"/>
      <c r="AD258" s="3" t="s">
        <v>62</v>
      </c>
      <c r="AE258" s="3" t="s">
        <v>695</v>
      </c>
      <c r="AF258" s="1" t="s">
        <v>828</v>
      </c>
      <c r="AG258" s="1" t="s">
        <v>828</v>
      </c>
      <c r="AH258" s="59">
        <v>10</v>
      </c>
      <c r="AI258" s="1" t="s">
        <v>829</v>
      </c>
      <c r="AJ258" s="59">
        <v>40</v>
      </c>
      <c r="AK258" s="2" t="s">
        <v>830</v>
      </c>
      <c r="AL258" s="53">
        <v>30</v>
      </c>
      <c r="AM258" s="3"/>
      <c r="AN258" s="53"/>
      <c r="AO258" s="3"/>
      <c r="AP258" s="53"/>
      <c r="AQ258" s="3"/>
      <c r="AR258" s="53"/>
      <c r="AS258" s="3"/>
      <c r="AT258" s="53"/>
      <c r="AU258" s="3"/>
      <c r="AV258" s="53"/>
      <c r="AW258" s="3"/>
      <c r="AX258" s="53"/>
      <c r="AY258" s="3"/>
      <c r="AZ258" s="4" t="s">
        <v>3839</v>
      </c>
      <c r="BA258" s="4" t="s">
        <v>3840</v>
      </c>
      <c r="BB258" s="1"/>
      <c r="BC258" s="1"/>
    </row>
    <row r="259" spans="1:55" s="78" customFormat="1" ht="15" customHeight="1" x14ac:dyDescent="0.25">
      <c r="A259" s="52" t="s">
        <v>4268</v>
      </c>
      <c r="B259" s="34" t="s">
        <v>59</v>
      </c>
      <c r="C259" s="53">
        <v>2026</v>
      </c>
      <c r="D259" s="53">
        <v>2026</v>
      </c>
      <c r="E259" s="54" t="s">
        <v>3098</v>
      </c>
      <c r="F259" s="55" t="s">
        <v>50</v>
      </c>
      <c r="G259" s="55" t="s">
        <v>50</v>
      </c>
      <c r="H259" s="45" t="s">
        <v>827</v>
      </c>
      <c r="I259" s="45" t="s">
        <v>52</v>
      </c>
      <c r="J259" s="56"/>
      <c r="K259" s="55" t="s">
        <v>74</v>
      </c>
      <c r="L259" s="55" t="s">
        <v>54</v>
      </c>
      <c r="M259" s="55"/>
      <c r="N259" s="55" t="s">
        <v>110</v>
      </c>
      <c r="O259" s="56" t="s">
        <v>296</v>
      </c>
      <c r="P259" s="55" t="s">
        <v>75</v>
      </c>
      <c r="Q259" s="56" t="s">
        <v>57</v>
      </c>
      <c r="R259" s="55"/>
      <c r="S259" s="56" t="s">
        <v>58</v>
      </c>
      <c r="T259" s="55" t="s">
        <v>81</v>
      </c>
      <c r="U259" s="57">
        <v>-999</v>
      </c>
      <c r="V259" s="57" t="s">
        <v>59</v>
      </c>
      <c r="W259" s="55"/>
      <c r="X259" s="54" t="s">
        <v>4268</v>
      </c>
      <c r="Y259" s="52"/>
      <c r="Z259" s="1" t="s">
        <v>61</v>
      </c>
      <c r="AA259" s="1" t="s">
        <v>825</v>
      </c>
      <c r="AB259" s="1"/>
      <c r="AC259" s="1"/>
      <c r="AD259" s="3" t="s">
        <v>62</v>
      </c>
      <c r="AE259" s="3" t="s">
        <v>695</v>
      </c>
      <c r="AF259" s="1" t="s">
        <v>828</v>
      </c>
      <c r="AG259" s="1" t="s">
        <v>828</v>
      </c>
      <c r="AH259" s="59">
        <v>10</v>
      </c>
      <c r="AI259" s="1" t="s">
        <v>829</v>
      </c>
      <c r="AJ259" s="59">
        <v>40</v>
      </c>
      <c r="AK259" s="2" t="s">
        <v>830</v>
      </c>
      <c r="AL259" s="53">
        <v>30</v>
      </c>
      <c r="AM259" s="3"/>
      <c r="AN259" s="53"/>
      <c r="AO259" s="3"/>
      <c r="AP259" s="53"/>
      <c r="AQ259" s="3"/>
      <c r="AR259" s="53"/>
      <c r="AS259" s="3"/>
      <c r="AT259" s="53"/>
      <c r="AU259" s="3"/>
      <c r="AV259" s="53"/>
      <c r="AW259" s="3"/>
      <c r="AX259" s="53"/>
      <c r="AY259" s="3"/>
      <c r="AZ259" s="4" t="s">
        <v>3839</v>
      </c>
      <c r="BA259" s="32" t="s">
        <v>3840</v>
      </c>
      <c r="BB259" s="1"/>
      <c r="BC259" s="1"/>
    </row>
    <row r="260" spans="1:55" s="78" customFormat="1" ht="15" customHeight="1" x14ac:dyDescent="0.25">
      <c r="A260" s="52" t="s">
        <v>4269</v>
      </c>
      <c r="B260" s="34" t="s">
        <v>59</v>
      </c>
      <c r="C260" s="53">
        <v>2026</v>
      </c>
      <c r="D260" s="53">
        <v>2026</v>
      </c>
      <c r="E260" s="54" t="s">
        <v>3098</v>
      </c>
      <c r="F260" s="55" t="s">
        <v>50</v>
      </c>
      <c r="G260" s="55" t="s">
        <v>50</v>
      </c>
      <c r="H260" s="45" t="s">
        <v>827</v>
      </c>
      <c r="I260" s="45" t="s">
        <v>52</v>
      </c>
      <c r="J260" s="56"/>
      <c r="K260" s="55" t="s">
        <v>841</v>
      </c>
      <c r="L260" s="55" t="s">
        <v>54</v>
      </c>
      <c r="M260" s="55"/>
      <c r="N260" s="55"/>
      <c r="O260" s="55"/>
      <c r="P260" s="55" t="s">
        <v>842</v>
      </c>
      <c r="Q260" s="55" t="s">
        <v>57</v>
      </c>
      <c r="R260" s="55"/>
      <c r="S260" s="56" t="s">
        <v>58</v>
      </c>
      <c r="T260" s="55" t="s">
        <v>81</v>
      </c>
      <c r="U260" s="57">
        <v>2600</v>
      </c>
      <c r="V260" s="57" t="s">
        <v>101</v>
      </c>
      <c r="W260" s="55"/>
      <c r="X260" s="54" t="s">
        <v>4269</v>
      </c>
      <c r="Y260" s="52"/>
      <c r="Z260" s="1" t="s">
        <v>61</v>
      </c>
      <c r="AA260" s="1" t="s">
        <v>825</v>
      </c>
      <c r="AB260" s="1"/>
      <c r="AC260" s="1"/>
      <c r="AD260" s="3" t="s">
        <v>62</v>
      </c>
      <c r="AE260" s="3" t="s">
        <v>695</v>
      </c>
      <c r="AF260" s="1" t="s">
        <v>828</v>
      </c>
      <c r="AG260" s="1" t="s">
        <v>828</v>
      </c>
      <c r="AH260" s="59">
        <v>10</v>
      </c>
      <c r="AI260" s="1" t="s">
        <v>829</v>
      </c>
      <c r="AJ260" s="59">
        <v>40</v>
      </c>
      <c r="AK260" s="2" t="s">
        <v>830</v>
      </c>
      <c r="AL260" s="53">
        <v>30</v>
      </c>
      <c r="AM260" s="3"/>
      <c r="AN260" s="53"/>
      <c r="AO260" s="3"/>
      <c r="AP260" s="53"/>
      <c r="AQ260" s="3"/>
      <c r="AR260" s="53"/>
      <c r="AS260" s="3"/>
      <c r="AT260" s="53"/>
      <c r="AU260" s="3"/>
      <c r="AV260" s="53"/>
      <c r="AW260" s="3"/>
      <c r="AX260" s="53"/>
      <c r="AY260" s="3"/>
      <c r="AZ260" s="4" t="s">
        <v>3839</v>
      </c>
      <c r="BA260" s="4" t="s">
        <v>3840</v>
      </c>
      <c r="BB260" s="1"/>
      <c r="BC260" s="1"/>
    </row>
    <row r="261" spans="1:55" s="78" customFormat="1" ht="15" customHeight="1" x14ac:dyDescent="0.25">
      <c r="A261" s="52" t="s">
        <v>4270</v>
      </c>
      <c r="B261" s="34" t="s">
        <v>59</v>
      </c>
      <c r="C261" s="53">
        <v>2026</v>
      </c>
      <c r="D261" s="53">
        <v>2026</v>
      </c>
      <c r="E261" s="54" t="s">
        <v>3098</v>
      </c>
      <c r="F261" s="55" t="s">
        <v>50</v>
      </c>
      <c r="G261" s="55" t="s">
        <v>50</v>
      </c>
      <c r="H261" s="45" t="s">
        <v>827</v>
      </c>
      <c r="I261" s="45" t="s">
        <v>52</v>
      </c>
      <c r="J261" s="45" t="s">
        <v>65</v>
      </c>
      <c r="K261" s="55" t="s">
        <v>66</v>
      </c>
      <c r="L261" s="55" t="s">
        <v>54</v>
      </c>
      <c r="M261" s="55"/>
      <c r="N261" s="55" t="s">
        <v>55</v>
      </c>
      <c r="O261" s="55"/>
      <c r="P261" s="55" t="s">
        <v>67</v>
      </c>
      <c r="Q261" s="55" t="s">
        <v>57</v>
      </c>
      <c r="R261" s="55"/>
      <c r="S261" s="56" t="s">
        <v>58</v>
      </c>
      <c r="T261" s="55" t="s">
        <v>81</v>
      </c>
      <c r="U261" s="57">
        <v>9.9000000000000005E-2</v>
      </c>
      <c r="V261" s="57" t="s">
        <v>101</v>
      </c>
      <c r="W261" s="55"/>
      <c r="X261" s="54" t="s">
        <v>4270</v>
      </c>
      <c r="Y261" s="52"/>
      <c r="Z261" s="1" t="s">
        <v>61</v>
      </c>
      <c r="AA261" s="1" t="s">
        <v>825</v>
      </c>
      <c r="AB261" s="1"/>
      <c r="AC261" s="1"/>
      <c r="AD261" s="3" t="s">
        <v>62</v>
      </c>
      <c r="AE261" s="3" t="s">
        <v>695</v>
      </c>
      <c r="AF261" s="1" t="s">
        <v>828</v>
      </c>
      <c r="AG261" s="1" t="s">
        <v>828</v>
      </c>
      <c r="AH261" s="59">
        <v>10</v>
      </c>
      <c r="AI261" s="1" t="s">
        <v>829</v>
      </c>
      <c r="AJ261" s="59">
        <v>40</v>
      </c>
      <c r="AK261" s="2" t="s">
        <v>830</v>
      </c>
      <c r="AL261" s="53">
        <v>30</v>
      </c>
      <c r="AM261" s="3"/>
      <c r="AN261" s="53"/>
      <c r="AO261" s="3"/>
      <c r="AP261" s="53"/>
      <c r="AQ261" s="3"/>
      <c r="AR261" s="53"/>
      <c r="AS261" s="3"/>
      <c r="AT261" s="53"/>
      <c r="AU261" s="3"/>
      <c r="AV261" s="53"/>
      <c r="AW261" s="3"/>
      <c r="AX261" s="53"/>
      <c r="AY261" s="3"/>
      <c r="AZ261" s="4" t="s">
        <v>3839</v>
      </c>
      <c r="BA261" s="4" t="s">
        <v>3840</v>
      </c>
      <c r="BB261" s="1"/>
      <c r="BC261" s="1"/>
    </row>
    <row r="262" spans="1:55" s="78" customFormat="1" ht="15" customHeight="1" x14ac:dyDescent="0.25">
      <c r="A262" s="52" t="s">
        <v>4271</v>
      </c>
      <c r="B262" s="34" t="s">
        <v>59</v>
      </c>
      <c r="C262" s="53">
        <v>2026</v>
      </c>
      <c r="D262" s="53">
        <v>2026</v>
      </c>
      <c r="E262" s="54" t="s">
        <v>3098</v>
      </c>
      <c r="F262" s="55" t="s">
        <v>50</v>
      </c>
      <c r="G262" s="55" t="s">
        <v>50</v>
      </c>
      <c r="H262" s="45" t="s">
        <v>827</v>
      </c>
      <c r="I262" s="45" t="s">
        <v>52</v>
      </c>
      <c r="J262" s="56"/>
      <c r="K262" s="55" t="s">
        <v>313</v>
      </c>
      <c r="L262" s="55" t="s">
        <v>54</v>
      </c>
      <c r="M262" s="55"/>
      <c r="N262" s="55" t="s">
        <v>55</v>
      </c>
      <c r="O262" s="55" t="s">
        <v>816</v>
      </c>
      <c r="P262" s="61" t="s">
        <v>314</v>
      </c>
      <c r="Q262" s="61" t="s">
        <v>57</v>
      </c>
      <c r="R262" s="55"/>
      <c r="S262" s="56" t="s">
        <v>58</v>
      </c>
      <c r="T262" s="55" t="s">
        <v>58</v>
      </c>
      <c r="U262" s="57">
        <v>125000</v>
      </c>
      <c r="V262" s="57" t="s">
        <v>101</v>
      </c>
      <c r="W262" s="55"/>
      <c r="X262" s="54" t="s">
        <v>4271</v>
      </c>
      <c r="Y262" s="52"/>
      <c r="Z262" s="1" t="s">
        <v>61</v>
      </c>
      <c r="AA262" s="1" t="s">
        <v>825</v>
      </c>
      <c r="AB262" s="1"/>
      <c r="AC262" s="1"/>
      <c r="AD262" s="3" t="s">
        <v>62</v>
      </c>
      <c r="AE262" s="3" t="s">
        <v>695</v>
      </c>
      <c r="AF262" s="1" t="s">
        <v>828</v>
      </c>
      <c r="AG262" s="1" t="s">
        <v>828</v>
      </c>
      <c r="AH262" s="59">
        <v>10</v>
      </c>
      <c r="AI262" s="1" t="s">
        <v>829</v>
      </c>
      <c r="AJ262" s="59">
        <v>40</v>
      </c>
      <c r="AK262" s="2" t="s">
        <v>830</v>
      </c>
      <c r="AL262" s="53">
        <v>30</v>
      </c>
      <c r="AM262" s="3"/>
      <c r="AN262" s="53"/>
      <c r="AO262" s="3"/>
      <c r="AP262" s="53"/>
      <c r="AQ262" s="3"/>
      <c r="AR262" s="53"/>
      <c r="AS262" s="3"/>
      <c r="AT262" s="53"/>
      <c r="AU262" s="3"/>
      <c r="AV262" s="53"/>
      <c r="AW262" s="3"/>
      <c r="AX262" s="53"/>
      <c r="AY262" s="3"/>
      <c r="AZ262" s="1" t="s">
        <v>843</v>
      </c>
      <c r="BA262" s="4"/>
      <c r="BB262" s="1"/>
      <c r="BC262" s="1"/>
    </row>
    <row r="263" spans="1:55" s="78" customFormat="1" ht="14.45" customHeight="1" x14ac:dyDescent="0.25">
      <c r="A263" s="52" t="s">
        <v>4272</v>
      </c>
      <c r="B263" s="34" t="s">
        <v>59</v>
      </c>
      <c r="C263" s="53">
        <v>2026</v>
      </c>
      <c r="D263" s="53">
        <v>2026</v>
      </c>
      <c r="E263" s="54" t="s">
        <v>3098</v>
      </c>
      <c r="F263" s="55" t="s">
        <v>50</v>
      </c>
      <c r="G263" s="55" t="s">
        <v>50</v>
      </c>
      <c r="H263" s="45" t="s">
        <v>827</v>
      </c>
      <c r="I263" s="45" t="s">
        <v>52</v>
      </c>
      <c r="J263" s="56"/>
      <c r="K263" s="55" t="s">
        <v>210</v>
      </c>
      <c r="L263" s="55" t="s">
        <v>54</v>
      </c>
      <c r="M263" s="55"/>
      <c r="N263" s="55" t="s">
        <v>212</v>
      </c>
      <c r="O263" s="55"/>
      <c r="P263" s="55" t="s">
        <v>89</v>
      </c>
      <c r="Q263" s="55" t="s">
        <v>89</v>
      </c>
      <c r="R263" s="55"/>
      <c r="S263" s="56" t="s">
        <v>58</v>
      </c>
      <c r="T263" s="55" t="str">
        <f>IF(ISNUMBER(SEARCH(",",N263)),"Y","N")</f>
        <v>N</v>
      </c>
      <c r="U263" s="57">
        <v>145000</v>
      </c>
      <c r="V263" s="57" t="s">
        <v>101</v>
      </c>
      <c r="W263" s="55"/>
      <c r="X263" s="54" t="s">
        <v>4272</v>
      </c>
      <c r="Y263" s="52"/>
      <c r="Z263" s="1" t="s">
        <v>61</v>
      </c>
      <c r="AA263" s="1" t="s">
        <v>825</v>
      </c>
      <c r="AB263" s="1"/>
      <c r="AC263" s="1"/>
      <c r="AD263" s="3" t="s">
        <v>62</v>
      </c>
      <c r="AE263" s="3" t="s">
        <v>695</v>
      </c>
      <c r="AF263" s="1" t="s">
        <v>828</v>
      </c>
      <c r="AG263" s="1" t="s">
        <v>828</v>
      </c>
      <c r="AH263" s="59">
        <v>10</v>
      </c>
      <c r="AI263" s="1" t="s">
        <v>829</v>
      </c>
      <c r="AJ263" s="59">
        <v>40</v>
      </c>
      <c r="AK263" s="2" t="s">
        <v>830</v>
      </c>
      <c r="AL263" s="53">
        <v>30</v>
      </c>
      <c r="AM263" s="3"/>
      <c r="AN263" s="53"/>
      <c r="AO263" s="3"/>
      <c r="AP263" s="53"/>
      <c r="AQ263" s="3"/>
      <c r="AR263" s="53"/>
      <c r="AS263" s="3"/>
      <c r="AT263" s="53"/>
      <c r="AU263" s="3"/>
      <c r="AV263" s="53"/>
      <c r="AW263" s="3"/>
      <c r="AX263" s="53"/>
      <c r="AY263" s="3"/>
      <c r="AZ263" s="4" t="s">
        <v>844</v>
      </c>
      <c r="BA263" s="4"/>
      <c r="BB263" s="1"/>
      <c r="BC263" s="1"/>
    </row>
    <row r="264" spans="1:55" s="78" customFormat="1" ht="15" customHeight="1" x14ac:dyDescent="0.25">
      <c r="A264" s="52" t="s">
        <v>4273</v>
      </c>
      <c r="B264" s="34" t="s">
        <v>59</v>
      </c>
      <c r="C264" s="53">
        <v>2026</v>
      </c>
      <c r="D264" s="53">
        <v>2026</v>
      </c>
      <c r="E264" s="54" t="s">
        <v>3098</v>
      </c>
      <c r="F264" s="55" t="s">
        <v>50</v>
      </c>
      <c r="G264" s="55" t="s">
        <v>50</v>
      </c>
      <c r="H264" s="45" t="s">
        <v>827</v>
      </c>
      <c r="I264" s="56" t="s">
        <v>52</v>
      </c>
      <c r="J264" s="56"/>
      <c r="K264" s="55" t="s">
        <v>582</v>
      </c>
      <c r="L264" s="55" t="s">
        <v>54</v>
      </c>
      <c r="M264" s="55"/>
      <c r="N264" s="55"/>
      <c r="O264" s="55"/>
      <c r="P264" s="55" t="s">
        <v>583</v>
      </c>
      <c r="Q264" s="61" t="s">
        <v>57</v>
      </c>
      <c r="R264" s="55"/>
      <c r="S264" s="56" t="s">
        <v>58</v>
      </c>
      <c r="T264" s="55" t="s">
        <v>81</v>
      </c>
      <c r="U264" s="57">
        <v>200000</v>
      </c>
      <c r="V264" s="57" t="s">
        <v>101</v>
      </c>
      <c r="W264" s="55"/>
      <c r="X264" s="54" t="s">
        <v>4273</v>
      </c>
      <c r="Y264" s="52"/>
      <c r="Z264" s="1" t="s">
        <v>61</v>
      </c>
      <c r="AA264" s="1" t="s">
        <v>825</v>
      </c>
      <c r="AB264" s="1"/>
      <c r="AC264" s="1"/>
      <c r="AD264" s="3" t="s">
        <v>62</v>
      </c>
      <c r="AE264" s="3" t="s">
        <v>695</v>
      </c>
      <c r="AF264" s="1" t="s">
        <v>828</v>
      </c>
      <c r="AG264" s="1" t="s">
        <v>828</v>
      </c>
      <c r="AH264" s="59">
        <v>10</v>
      </c>
      <c r="AI264" s="1" t="s">
        <v>829</v>
      </c>
      <c r="AJ264" s="59">
        <v>40</v>
      </c>
      <c r="AK264" s="2" t="s">
        <v>830</v>
      </c>
      <c r="AL264" s="53">
        <v>30</v>
      </c>
      <c r="AM264" s="3"/>
      <c r="AN264" s="53"/>
      <c r="AO264" s="3"/>
      <c r="AP264" s="53"/>
      <c r="AQ264" s="3"/>
      <c r="AR264" s="53"/>
      <c r="AS264" s="3"/>
      <c r="AT264" s="53"/>
      <c r="AU264" s="3"/>
      <c r="AV264" s="53"/>
      <c r="AW264" s="3"/>
      <c r="AX264" s="53"/>
      <c r="AY264" s="3"/>
      <c r="AZ264" s="4" t="s">
        <v>3839</v>
      </c>
      <c r="BA264" s="32" t="s">
        <v>3840</v>
      </c>
      <c r="BB264" s="1"/>
      <c r="BC264" s="1"/>
    </row>
    <row r="265" spans="1:55" s="78" customFormat="1" ht="15" customHeight="1" x14ac:dyDescent="0.25">
      <c r="A265" s="52" t="s">
        <v>4274</v>
      </c>
      <c r="B265" s="34" t="s">
        <v>59</v>
      </c>
      <c r="C265" s="53">
        <v>2026</v>
      </c>
      <c r="D265" s="53">
        <v>2026</v>
      </c>
      <c r="E265" s="54" t="s">
        <v>3098</v>
      </c>
      <c r="F265" s="55" t="s">
        <v>50</v>
      </c>
      <c r="G265" s="55" t="s">
        <v>50</v>
      </c>
      <c r="H265" s="45" t="s">
        <v>827</v>
      </c>
      <c r="I265" s="45" t="s">
        <v>52</v>
      </c>
      <c r="J265" s="56"/>
      <c r="K265" s="55" t="s">
        <v>71</v>
      </c>
      <c r="L265" s="55" t="s">
        <v>54</v>
      </c>
      <c r="M265" s="55"/>
      <c r="N265" s="55" t="s">
        <v>110</v>
      </c>
      <c r="O265" s="45" t="s">
        <v>296</v>
      </c>
      <c r="P265" s="55" t="s">
        <v>73</v>
      </c>
      <c r="Q265" s="55" t="s">
        <v>57</v>
      </c>
      <c r="R265" s="55"/>
      <c r="S265" s="56" t="s">
        <v>58</v>
      </c>
      <c r="T265" s="55" t="s">
        <v>81</v>
      </c>
      <c r="U265" s="57">
        <v>-999</v>
      </c>
      <c r="V265" s="57" t="s">
        <v>59</v>
      </c>
      <c r="W265" s="55"/>
      <c r="X265" s="54" t="s">
        <v>4274</v>
      </c>
      <c r="Y265" s="52"/>
      <c r="Z265" s="1" t="s">
        <v>61</v>
      </c>
      <c r="AA265" s="1" t="s">
        <v>825</v>
      </c>
      <c r="AB265" s="1"/>
      <c r="AC265" s="1"/>
      <c r="AD265" s="3" t="s">
        <v>62</v>
      </c>
      <c r="AE265" s="3" t="s">
        <v>695</v>
      </c>
      <c r="AF265" s="1" t="s">
        <v>828</v>
      </c>
      <c r="AG265" s="1" t="s">
        <v>828</v>
      </c>
      <c r="AH265" s="59">
        <v>10</v>
      </c>
      <c r="AI265" s="1" t="s">
        <v>829</v>
      </c>
      <c r="AJ265" s="59">
        <v>40</v>
      </c>
      <c r="AK265" s="2" t="s">
        <v>830</v>
      </c>
      <c r="AL265" s="53">
        <v>30</v>
      </c>
      <c r="AM265" s="3"/>
      <c r="AN265" s="53"/>
      <c r="AO265" s="3"/>
      <c r="AP265" s="53"/>
      <c r="AQ265" s="3"/>
      <c r="AR265" s="53"/>
      <c r="AS265" s="3"/>
      <c r="AT265" s="53"/>
      <c r="AU265" s="3"/>
      <c r="AV265" s="53"/>
      <c r="AW265" s="3"/>
      <c r="AX265" s="53"/>
      <c r="AY265" s="3"/>
      <c r="AZ265" s="4" t="s">
        <v>3839</v>
      </c>
      <c r="BA265" s="32" t="s">
        <v>3840</v>
      </c>
      <c r="BB265" s="1"/>
      <c r="BC265" s="1"/>
    </row>
    <row r="266" spans="1:55" s="78" customFormat="1" ht="15" customHeight="1" x14ac:dyDescent="0.25">
      <c r="A266" s="52" t="s">
        <v>4275</v>
      </c>
      <c r="B266" s="34" t="s">
        <v>59</v>
      </c>
      <c r="C266" s="53">
        <v>2026</v>
      </c>
      <c r="D266" s="53">
        <v>2026</v>
      </c>
      <c r="E266" s="54" t="s">
        <v>3099</v>
      </c>
      <c r="F266" s="55" t="s">
        <v>50</v>
      </c>
      <c r="G266" s="55" t="s">
        <v>50</v>
      </c>
      <c r="H266" s="45" t="s">
        <v>846</v>
      </c>
      <c r="I266" s="56" t="s">
        <v>52</v>
      </c>
      <c r="J266" s="56"/>
      <c r="K266" s="56" t="s">
        <v>633</v>
      </c>
      <c r="L266" s="55"/>
      <c r="M266" s="55"/>
      <c r="N266" s="56" t="s">
        <v>418</v>
      </c>
      <c r="O266" s="56"/>
      <c r="P266" s="55" t="s">
        <v>89</v>
      </c>
      <c r="Q266" s="55" t="s">
        <v>89</v>
      </c>
      <c r="R266" s="55"/>
      <c r="S266" s="56" t="s">
        <v>81</v>
      </c>
      <c r="T266" s="55" t="s">
        <v>81</v>
      </c>
      <c r="U266" s="57">
        <v>4700000</v>
      </c>
      <c r="V266" s="57" t="s">
        <v>101</v>
      </c>
      <c r="W266" s="55" t="s">
        <v>2319</v>
      </c>
      <c r="X266" s="54" t="s">
        <v>4275</v>
      </c>
      <c r="Y266" s="52"/>
      <c r="Z266" s="2" t="s">
        <v>61</v>
      </c>
      <c r="AA266" s="1" t="s">
        <v>847</v>
      </c>
      <c r="AB266" s="1"/>
      <c r="AC266" s="1"/>
      <c r="AD266" s="3" t="s">
        <v>62</v>
      </c>
      <c r="AE266" s="2" t="s">
        <v>63</v>
      </c>
      <c r="AF266" s="2" t="s">
        <v>848</v>
      </c>
      <c r="AG266" s="3" t="s">
        <v>849</v>
      </c>
      <c r="AH266" s="2">
        <v>100</v>
      </c>
      <c r="AI266" s="1"/>
      <c r="AJ266" s="1"/>
      <c r="AK266" s="1"/>
      <c r="AL266" s="1"/>
      <c r="AM266" s="1"/>
      <c r="AN266" s="1"/>
      <c r="AO266" s="1"/>
      <c r="AP266" s="1"/>
      <c r="AQ266" s="1"/>
      <c r="AR266" s="1"/>
      <c r="AS266" s="1"/>
      <c r="AT266" s="1"/>
      <c r="AU266" s="1"/>
      <c r="AV266" s="1"/>
      <c r="AW266" s="1"/>
      <c r="AX266" s="1"/>
      <c r="AY266" s="1"/>
      <c r="AZ266" s="4" t="s">
        <v>845</v>
      </c>
      <c r="BA266" s="1"/>
      <c r="BB266" s="1"/>
      <c r="BC266" s="1"/>
    </row>
    <row r="267" spans="1:55" s="78" customFormat="1" ht="15" customHeight="1" x14ac:dyDescent="0.25">
      <c r="A267" s="52" t="s">
        <v>4276</v>
      </c>
      <c r="B267" s="34" t="s">
        <v>59</v>
      </c>
      <c r="C267" s="53">
        <v>2026</v>
      </c>
      <c r="D267" s="53">
        <v>2026</v>
      </c>
      <c r="E267" s="54" t="s">
        <v>3100</v>
      </c>
      <c r="F267" s="55" t="s">
        <v>50</v>
      </c>
      <c r="G267" s="55" t="s">
        <v>50</v>
      </c>
      <c r="H267" s="45" t="s">
        <v>851</v>
      </c>
      <c r="I267" s="56" t="s">
        <v>78</v>
      </c>
      <c r="J267" s="55"/>
      <c r="K267" s="55" t="s">
        <v>313</v>
      </c>
      <c r="L267" s="55" t="s">
        <v>88</v>
      </c>
      <c r="M267" s="55"/>
      <c r="N267" s="45" t="s">
        <v>110</v>
      </c>
      <c r="O267" s="56"/>
      <c r="P267" s="55" t="s">
        <v>314</v>
      </c>
      <c r="Q267" s="61" t="s">
        <v>57</v>
      </c>
      <c r="R267" s="62"/>
      <c r="S267" s="55" t="s">
        <v>58</v>
      </c>
      <c r="T267" s="55" t="s">
        <v>81</v>
      </c>
      <c r="U267" s="57">
        <v>33</v>
      </c>
      <c r="V267" s="57" t="s">
        <v>101</v>
      </c>
      <c r="W267" s="55" t="s">
        <v>2319</v>
      </c>
      <c r="X267" s="54" t="s">
        <v>4276</v>
      </c>
      <c r="Y267" s="52"/>
      <c r="Z267" s="3" t="s">
        <v>154</v>
      </c>
      <c r="AA267" s="3" t="s">
        <v>852</v>
      </c>
      <c r="AB267" s="3"/>
      <c r="AC267" s="3"/>
      <c r="AD267" s="3" t="s">
        <v>62</v>
      </c>
      <c r="AE267" s="3" t="s">
        <v>336</v>
      </c>
      <c r="AF267" s="2" t="s">
        <v>853</v>
      </c>
      <c r="AG267" s="2" t="s">
        <v>853</v>
      </c>
      <c r="AH267" s="2">
        <v>100</v>
      </c>
      <c r="AI267" s="3"/>
      <c r="AJ267" s="3"/>
      <c r="AK267" s="3"/>
      <c r="AL267" s="3"/>
      <c r="AM267" s="3"/>
      <c r="AN267" s="3"/>
      <c r="AO267" s="3"/>
      <c r="AP267" s="3"/>
      <c r="AQ267" s="3"/>
      <c r="AR267" s="3"/>
      <c r="AS267" s="3"/>
      <c r="AT267" s="3"/>
      <c r="AU267" s="1"/>
      <c r="AV267" s="1"/>
      <c r="AW267" s="1"/>
      <c r="AX267" s="1"/>
      <c r="AY267" s="1"/>
      <c r="AZ267" s="5" t="s">
        <v>850</v>
      </c>
      <c r="BA267" s="5"/>
      <c r="BB267" s="1"/>
      <c r="BC267" s="1"/>
    </row>
    <row r="268" spans="1:55" s="78" customFormat="1" ht="15" customHeight="1" x14ac:dyDescent="0.25">
      <c r="A268" s="52" t="s">
        <v>4277</v>
      </c>
      <c r="B268" s="34" t="s">
        <v>59</v>
      </c>
      <c r="C268" s="53">
        <v>2026</v>
      </c>
      <c r="D268" s="53">
        <v>2026</v>
      </c>
      <c r="E268" s="54" t="s">
        <v>3100</v>
      </c>
      <c r="F268" s="55" t="s">
        <v>50</v>
      </c>
      <c r="G268" s="55" t="s">
        <v>50</v>
      </c>
      <c r="H268" s="45" t="s">
        <v>851</v>
      </c>
      <c r="I268" s="56" t="s">
        <v>78</v>
      </c>
      <c r="J268" s="55"/>
      <c r="K268" s="55" t="s">
        <v>582</v>
      </c>
      <c r="L268" s="55" t="s">
        <v>88</v>
      </c>
      <c r="M268" s="55"/>
      <c r="N268" s="45" t="s">
        <v>110</v>
      </c>
      <c r="O268" s="56"/>
      <c r="P268" s="55" t="s">
        <v>583</v>
      </c>
      <c r="Q268" s="61" t="s">
        <v>57</v>
      </c>
      <c r="R268" s="62"/>
      <c r="S268" s="55" t="s">
        <v>58</v>
      </c>
      <c r="T268" s="55" t="s">
        <v>81</v>
      </c>
      <c r="U268" s="57">
        <v>119</v>
      </c>
      <c r="V268" s="57" t="s">
        <v>101</v>
      </c>
      <c r="W268" s="55" t="s">
        <v>2319</v>
      </c>
      <c r="X268" s="54" t="s">
        <v>4277</v>
      </c>
      <c r="Y268" s="52"/>
      <c r="Z268" s="3" t="s">
        <v>154</v>
      </c>
      <c r="AA268" s="3" t="s">
        <v>852</v>
      </c>
      <c r="AB268" s="3"/>
      <c r="AC268" s="3"/>
      <c r="AD268" s="3" t="s">
        <v>62</v>
      </c>
      <c r="AE268" s="3" t="s">
        <v>336</v>
      </c>
      <c r="AF268" s="2" t="s">
        <v>853</v>
      </c>
      <c r="AG268" s="2" t="s">
        <v>853</v>
      </c>
      <c r="AH268" s="2">
        <v>100</v>
      </c>
      <c r="AI268" s="3"/>
      <c r="AJ268" s="3"/>
      <c r="AK268" s="3"/>
      <c r="AL268" s="3"/>
      <c r="AM268" s="3"/>
      <c r="AN268" s="3"/>
      <c r="AO268" s="3"/>
      <c r="AP268" s="3"/>
      <c r="AQ268" s="3"/>
      <c r="AR268" s="3"/>
      <c r="AS268" s="3"/>
      <c r="AT268" s="3"/>
      <c r="AU268" s="1"/>
      <c r="AV268" s="1"/>
      <c r="AW268" s="1"/>
      <c r="AX268" s="1"/>
      <c r="AY268" s="1"/>
      <c r="AZ268" s="5" t="s">
        <v>850</v>
      </c>
      <c r="BA268" s="5"/>
      <c r="BB268" s="1"/>
      <c r="BC268" s="1"/>
    </row>
    <row r="269" spans="1:55" s="78" customFormat="1" ht="15" customHeight="1" x14ac:dyDescent="0.25">
      <c r="A269" s="52" t="s">
        <v>4278</v>
      </c>
      <c r="B269" s="34" t="s">
        <v>59</v>
      </c>
      <c r="C269" s="53">
        <v>2026</v>
      </c>
      <c r="D269" s="53">
        <v>2026</v>
      </c>
      <c r="E269" s="54" t="s">
        <v>3101</v>
      </c>
      <c r="F269" s="55" t="s">
        <v>50</v>
      </c>
      <c r="G269" s="55" t="s">
        <v>50</v>
      </c>
      <c r="H269" s="45" t="s">
        <v>854</v>
      </c>
      <c r="I269" s="56" t="s">
        <v>78</v>
      </c>
      <c r="J269" s="56"/>
      <c r="K269" s="55" t="s">
        <v>120</v>
      </c>
      <c r="L269" s="55" t="s">
        <v>88</v>
      </c>
      <c r="M269" s="55"/>
      <c r="N269" s="55" t="s">
        <v>110</v>
      </c>
      <c r="O269" s="55"/>
      <c r="P269" s="55" t="s">
        <v>121</v>
      </c>
      <c r="Q269" s="55" t="s">
        <v>57</v>
      </c>
      <c r="R269" s="55"/>
      <c r="S269" s="56" t="s">
        <v>58</v>
      </c>
      <c r="T269" s="55" t="s">
        <v>81</v>
      </c>
      <c r="U269" s="57">
        <v>-999</v>
      </c>
      <c r="V269" s="57" t="s">
        <v>59</v>
      </c>
      <c r="W269" s="55"/>
      <c r="X269" s="54" t="s">
        <v>4278</v>
      </c>
      <c r="Y269" s="62"/>
      <c r="Z269" s="55" t="s">
        <v>61</v>
      </c>
      <c r="AA269" s="55" t="s">
        <v>855</v>
      </c>
      <c r="AB269" s="55"/>
      <c r="AC269" s="55"/>
      <c r="AD269" s="3" t="s">
        <v>62</v>
      </c>
      <c r="AE269" s="55" t="s">
        <v>574</v>
      </c>
      <c r="AF269" s="55"/>
      <c r="AG269" s="56" t="s">
        <v>109</v>
      </c>
      <c r="AH269" s="64">
        <v>100</v>
      </c>
      <c r="AI269" s="55"/>
      <c r="AJ269" s="55"/>
      <c r="AK269" s="55"/>
      <c r="AL269" s="55"/>
      <c r="AM269" s="55"/>
      <c r="AN269" s="55"/>
      <c r="AO269" s="55"/>
      <c r="AP269" s="55"/>
      <c r="AQ269" s="55"/>
      <c r="AR269" s="55"/>
      <c r="AS269" s="55"/>
      <c r="AT269" s="55"/>
      <c r="AU269" s="55"/>
      <c r="AV269" s="55"/>
      <c r="AW269" s="55"/>
      <c r="AX269" s="55"/>
      <c r="AY269" s="55"/>
      <c r="AZ269" s="33" t="s">
        <v>3841</v>
      </c>
      <c r="BA269" s="55" t="s">
        <v>3842</v>
      </c>
      <c r="BB269" s="1"/>
      <c r="BC269" s="1"/>
    </row>
    <row r="270" spans="1:55" s="78" customFormat="1" ht="15" customHeight="1" x14ac:dyDescent="0.25">
      <c r="A270" s="52" t="s">
        <v>4279</v>
      </c>
      <c r="B270" s="34" t="s">
        <v>59</v>
      </c>
      <c r="C270" s="53">
        <v>2026</v>
      </c>
      <c r="D270" s="53">
        <v>2026</v>
      </c>
      <c r="E270" s="54" t="s">
        <v>3101</v>
      </c>
      <c r="F270" s="55" t="s">
        <v>50</v>
      </c>
      <c r="G270" s="55" t="s">
        <v>50</v>
      </c>
      <c r="H270" s="45" t="s">
        <v>854</v>
      </c>
      <c r="I270" s="56" t="s">
        <v>78</v>
      </c>
      <c r="J270" s="56"/>
      <c r="K270" s="56" t="s">
        <v>264</v>
      </c>
      <c r="L270" s="55" t="s">
        <v>88</v>
      </c>
      <c r="M270" s="55"/>
      <c r="N270" s="56" t="s">
        <v>110</v>
      </c>
      <c r="O270" s="56"/>
      <c r="P270" s="55" t="s">
        <v>265</v>
      </c>
      <c r="Q270" s="55" t="s">
        <v>57</v>
      </c>
      <c r="R270" s="55"/>
      <c r="S270" s="56" t="s">
        <v>58</v>
      </c>
      <c r="T270" s="55" t="str">
        <f>IF(ISNUMBER(SEARCH(",",N270)),"Y","N")</f>
        <v>N</v>
      </c>
      <c r="U270" s="57">
        <v>10900</v>
      </c>
      <c r="V270" s="57" t="s">
        <v>101</v>
      </c>
      <c r="W270" s="55"/>
      <c r="X270" s="54" t="s">
        <v>4279</v>
      </c>
      <c r="Y270" s="62"/>
      <c r="Z270" s="56" t="s">
        <v>61</v>
      </c>
      <c r="AA270" s="55" t="s">
        <v>855</v>
      </c>
      <c r="AB270" s="55"/>
      <c r="AC270" s="55"/>
      <c r="AD270" s="3" t="s">
        <v>62</v>
      </c>
      <c r="AE270" s="45" t="s">
        <v>574</v>
      </c>
      <c r="AF270" s="56" t="s">
        <v>109</v>
      </c>
      <c r="AG270" s="56" t="s">
        <v>109</v>
      </c>
      <c r="AH270" s="57">
        <v>100</v>
      </c>
      <c r="AI270" s="56"/>
      <c r="AJ270" s="57"/>
      <c r="AK270" s="45"/>
      <c r="AL270" s="57"/>
      <c r="AM270" s="56"/>
      <c r="AN270" s="66"/>
      <c r="AO270" s="56"/>
      <c r="AP270" s="66"/>
      <c r="AQ270" s="56"/>
      <c r="AR270" s="66"/>
      <c r="AS270" s="56"/>
      <c r="AT270" s="66"/>
      <c r="AU270" s="56"/>
      <c r="AV270" s="66"/>
      <c r="AW270" s="56"/>
      <c r="AX270" s="66"/>
      <c r="AY270" s="56"/>
      <c r="AZ270" s="33" t="s">
        <v>856</v>
      </c>
      <c r="BA270" s="33"/>
      <c r="BB270" s="1"/>
      <c r="BC270" s="1"/>
    </row>
    <row r="271" spans="1:55" s="78" customFormat="1" ht="15" customHeight="1" x14ac:dyDescent="0.25">
      <c r="A271" s="52" t="s">
        <v>4280</v>
      </c>
      <c r="B271" s="34" t="s">
        <v>59</v>
      </c>
      <c r="C271" s="53">
        <v>2026</v>
      </c>
      <c r="D271" s="53">
        <v>2026</v>
      </c>
      <c r="E271" s="54" t="s">
        <v>3102</v>
      </c>
      <c r="F271" s="55" t="s">
        <v>50</v>
      </c>
      <c r="G271" s="55" t="s">
        <v>50</v>
      </c>
      <c r="H271" s="45" t="s">
        <v>858</v>
      </c>
      <c r="I271" s="45" t="s">
        <v>52</v>
      </c>
      <c r="J271" s="56"/>
      <c r="K271" s="45" t="s">
        <v>859</v>
      </c>
      <c r="L271" s="55"/>
      <c r="M271" s="55"/>
      <c r="N271" s="45" t="s">
        <v>358</v>
      </c>
      <c r="O271" s="45" t="s">
        <v>860</v>
      </c>
      <c r="P271" s="55" t="s">
        <v>861</v>
      </c>
      <c r="Q271" s="56" t="s">
        <v>57</v>
      </c>
      <c r="R271" s="55"/>
      <c r="S271" s="56" t="s">
        <v>81</v>
      </c>
      <c r="T271" s="55" t="s">
        <v>58</v>
      </c>
      <c r="U271" s="57">
        <v>-999</v>
      </c>
      <c r="V271" s="57" t="s">
        <v>59</v>
      </c>
      <c r="W271" s="55" t="s">
        <v>2319</v>
      </c>
      <c r="X271" s="54" t="s">
        <v>4280</v>
      </c>
      <c r="Y271" s="52"/>
      <c r="Z271" s="1" t="s">
        <v>61</v>
      </c>
      <c r="AA271" s="2" t="s">
        <v>862</v>
      </c>
      <c r="AB271" s="2"/>
      <c r="AC271" s="2"/>
      <c r="AD271" s="3" t="s">
        <v>62</v>
      </c>
      <c r="AE271" s="2" t="s">
        <v>342</v>
      </c>
      <c r="AF271" s="2"/>
      <c r="AG271" s="1" t="s">
        <v>863</v>
      </c>
      <c r="AH271" s="2">
        <v>100</v>
      </c>
      <c r="AI271" s="2"/>
      <c r="AJ271" s="2"/>
      <c r="AK271" s="2"/>
      <c r="AL271" s="2"/>
      <c r="AM271" s="2"/>
      <c r="AN271" s="2"/>
      <c r="AO271" s="2"/>
      <c r="AP271" s="2"/>
      <c r="AQ271" s="2"/>
      <c r="AR271" s="2"/>
      <c r="AS271" s="2"/>
      <c r="AT271" s="2"/>
      <c r="AU271" s="2"/>
      <c r="AV271" s="2"/>
      <c r="AW271" s="2"/>
      <c r="AX271" s="2"/>
      <c r="AY271" s="2"/>
      <c r="AZ271" s="4" t="s">
        <v>857</v>
      </c>
      <c r="BA271" s="2"/>
      <c r="BB271" s="1"/>
      <c r="BC271" s="1"/>
    </row>
    <row r="272" spans="1:55" s="78" customFormat="1" ht="15" customHeight="1" x14ac:dyDescent="0.25">
      <c r="A272" s="52" t="s">
        <v>4281</v>
      </c>
      <c r="B272" s="34" t="s">
        <v>59</v>
      </c>
      <c r="C272" s="53">
        <v>2026</v>
      </c>
      <c r="D272" s="53">
        <v>2026</v>
      </c>
      <c r="E272" s="54" t="s">
        <v>3103</v>
      </c>
      <c r="F272" s="55" t="s">
        <v>50</v>
      </c>
      <c r="G272" s="55" t="s">
        <v>50</v>
      </c>
      <c r="H272" s="45" t="s">
        <v>864</v>
      </c>
      <c r="I272" s="45" t="s">
        <v>52</v>
      </c>
      <c r="J272" s="56"/>
      <c r="K272" s="55" t="s">
        <v>490</v>
      </c>
      <c r="L272" s="55" t="s">
        <v>54</v>
      </c>
      <c r="M272" s="55" t="s">
        <v>491</v>
      </c>
      <c r="N272" s="55"/>
      <c r="O272" s="55"/>
      <c r="P272" s="55" t="s">
        <v>492</v>
      </c>
      <c r="Q272" s="55" t="s">
        <v>57</v>
      </c>
      <c r="R272" s="55"/>
      <c r="S272" s="56" t="s">
        <v>81</v>
      </c>
      <c r="T272" s="55" t="s">
        <v>81</v>
      </c>
      <c r="U272" s="57">
        <v>-999</v>
      </c>
      <c r="V272" s="57" t="s">
        <v>59</v>
      </c>
      <c r="W272" s="55" t="s">
        <v>2319</v>
      </c>
      <c r="X272" s="54" t="s">
        <v>4281</v>
      </c>
      <c r="Y272" s="52"/>
      <c r="Z272" s="3" t="s">
        <v>61</v>
      </c>
      <c r="AA272" s="3" t="s">
        <v>865</v>
      </c>
      <c r="AB272" s="3"/>
      <c r="AC272" s="3"/>
      <c r="AD272" s="3" t="s">
        <v>62</v>
      </c>
      <c r="AE272" s="3" t="s">
        <v>605</v>
      </c>
      <c r="AF272" s="3"/>
      <c r="AG272" s="3" t="s">
        <v>866</v>
      </c>
      <c r="AH272" s="58"/>
      <c r="AI272" s="3"/>
      <c r="AJ272" s="3"/>
      <c r="AK272" s="3"/>
      <c r="AL272" s="3"/>
      <c r="AM272" s="3"/>
      <c r="AN272" s="3"/>
      <c r="AO272" s="3"/>
      <c r="AP272" s="3"/>
      <c r="AQ272" s="3"/>
      <c r="AR272" s="3"/>
      <c r="AS272" s="3"/>
      <c r="AT272" s="3"/>
      <c r="AU272" s="3"/>
      <c r="AV272" s="3"/>
      <c r="AW272" s="3"/>
      <c r="AX272" s="3"/>
      <c r="AY272" s="3"/>
      <c r="AZ272" s="4" t="s">
        <v>488</v>
      </c>
      <c r="BA272" s="3"/>
      <c r="BB272" s="1"/>
      <c r="BC272" s="1"/>
    </row>
    <row r="273" spans="1:55" s="78" customFormat="1" ht="15" customHeight="1" x14ac:dyDescent="0.25">
      <c r="A273" s="52" t="s">
        <v>4282</v>
      </c>
      <c r="B273" s="34" t="s">
        <v>59</v>
      </c>
      <c r="C273" s="53">
        <v>2026</v>
      </c>
      <c r="D273" s="53">
        <v>2026</v>
      </c>
      <c r="E273" s="54" t="s">
        <v>3104</v>
      </c>
      <c r="F273" s="55" t="s">
        <v>50</v>
      </c>
      <c r="G273" s="55" t="s">
        <v>50</v>
      </c>
      <c r="H273" s="45" t="s">
        <v>868</v>
      </c>
      <c r="I273" s="61" t="s">
        <v>78</v>
      </c>
      <c r="J273" s="56" t="s">
        <v>165</v>
      </c>
      <c r="K273" s="55" t="s">
        <v>597</v>
      </c>
      <c r="L273" s="55" t="s">
        <v>88</v>
      </c>
      <c r="M273" s="55"/>
      <c r="N273" s="55" t="s">
        <v>181</v>
      </c>
      <c r="O273" s="55"/>
      <c r="P273" s="56" t="s">
        <v>598</v>
      </c>
      <c r="Q273" s="55" t="s">
        <v>57</v>
      </c>
      <c r="R273" s="55"/>
      <c r="S273" s="56" t="s">
        <v>81</v>
      </c>
      <c r="T273" s="55" t="str">
        <f>IF(ISNUMBER(SEARCH(",",N273)),"Y","N")</f>
        <v>N</v>
      </c>
      <c r="U273" s="57">
        <v>600000</v>
      </c>
      <c r="V273" s="57" t="s">
        <v>101</v>
      </c>
      <c r="W273" s="55" t="s">
        <v>2319</v>
      </c>
      <c r="X273" s="54" t="s">
        <v>4282</v>
      </c>
      <c r="Y273" s="52"/>
      <c r="Z273" s="3" t="s">
        <v>61</v>
      </c>
      <c r="AA273" s="3" t="s">
        <v>869</v>
      </c>
      <c r="AB273" s="3"/>
      <c r="AC273" s="3"/>
      <c r="AD273" s="3" t="s">
        <v>62</v>
      </c>
      <c r="AE273" s="3" t="s">
        <v>718</v>
      </c>
      <c r="AF273" s="3"/>
      <c r="AG273" s="3" t="s">
        <v>870</v>
      </c>
      <c r="AH273" s="58">
        <v>100</v>
      </c>
      <c r="AI273" s="3"/>
      <c r="AJ273" s="3"/>
      <c r="AK273" s="3"/>
      <c r="AL273" s="3"/>
      <c r="AM273" s="3"/>
      <c r="AN273" s="3"/>
      <c r="AO273" s="3"/>
      <c r="AP273" s="3"/>
      <c r="AQ273" s="3"/>
      <c r="AR273" s="3"/>
      <c r="AS273" s="3"/>
      <c r="AT273" s="3"/>
      <c r="AU273" s="3"/>
      <c r="AV273" s="3"/>
      <c r="AW273" s="3"/>
      <c r="AX273" s="3"/>
      <c r="AY273" s="3"/>
      <c r="AZ273" s="4" t="s">
        <v>867</v>
      </c>
      <c r="BA273" s="3"/>
      <c r="BB273" s="1"/>
      <c r="BC273" s="1"/>
    </row>
    <row r="274" spans="1:55" s="78" customFormat="1" ht="15" customHeight="1" x14ac:dyDescent="0.25">
      <c r="A274" s="52" t="s">
        <v>4283</v>
      </c>
      <c r="B274" s="34" t="s">
        <v>59</v>
      </c>
      <c r="C274" s="53">
        <v>2026</v>
      </c>
      <c r="D274" s="53">
        <v>2026</v>
      </c>
      <c r="E274" s="54" t="s">
        <v>3105</v>
      </c>
      <c r="F274" s="55" t="s">
        <v>50</v>
      </c>
      <c r="G274" s="55" t="s">
        <v>50</v>
      </c>
      <c r="H274" s="45" t="s">
        <v>872</v>
      </c>
      <c r="I274" s="56" t="s">
        <v>78</v>
      </c>
      <c r="J274" s="56"/>
      <c r="K274" s="56" t="s">
        <v>79</v>
      </c>
      <c r="L274" s="55" t="str">
        <f>IF(K274="Mine or Quarry","Mine","")</f>
        <v/>
      </c>
      <c r="M274" s="55"/>
      <c r="N274" s="56" t="s">
        <v>80</v>
      </c>
      <c r="O274" s="56"/>
      <c r="P274" s="56" t="s">
        <v>89</v>
      </c>
      <c r="Q274" s="56" t="s">
        <v>89</v>
      </c>
      <c r="R274" s="55"/>
      <c r="S274" s="56" t="s">
        <v>81</v>
      </c>
      <c r="T274" s="55" t="str">
        <f>IF(ISNUMBER(SEARCH(",",N274)),"Y","N")</f>
        <v>N</v>
      </c>
      <c r="U274" s="57">
        <v>-999</v>
      </c>
      <c r="V274" s="57" t="s">
        <v>59</v>
      </c>
      <c r="W274" s="55" t="s">
        <v>2319</v>
      </c>
      <c r="X274" s="54" t="s">
        <v>4283</v>
      </c>
      <c r="Y274" s="52"/>
      <c r="Z274" s="1" t="s">
        <v>61</v>
      </c>
      <c r="AA274" s="1" t="s">
        <v>873</v>
      </c>
      <c r="AB274" s="1"/>
      <c r="AC274" s="1"/>
      <c r="AD274" s="3" t="s">
        <v>62</v>
      </c>
      <c r="AE274" s="1" t="s">
        <v>387</v>
      </c>
      <c r="AF274" s="1" t="s">
        <v>483</v>
      </c>
      <c r="AG274" s="1" t="s">
        <v>484</v>
      </c>
      <c r="AH274" s="1"/>
      <c r="AI274" s="1"/>
      <c r="AJ274" s="1"/>
      <c r="AK274" s="1"/>
      <c r="AL274" s="1"/>
      <c r="AM274" s="1"/>
      <c r="AN274" s="1"/>
      <c r="AO274" s="1"/>
      <c r="AP274" s="1"/>
      <c r="AQ274" s="1"/>
      <c r="AR274" s="1"/>
      <c r="AS274" s="1"/>
      <c r="AT274" s="1"/>
      <c r="AU274" s="1"/>
      <c r="AV274" s="1"/>
      <c r="AW274" s="1"/>
      <c r="AX274" s="1"/>
      <c r="AY274" s="1"/>
      <c r="AZ274" s="5" t="s">
        <v>871</v>
      </c>
      <c r="BA274" s="5"/>
      <c r="BB274" s="1"/>
      <c r="BC274" s="1"/>
    </row>
    <row r="275" spans="1:55" s="78" customFormat="1" ht="15" customHeight="1" x14ac:dyDescent="0.25">
      <c r="A275" s="52" t="s">
        <v>4284</v>
      </c>
      <c r="B275" s="34" t="s">
        <v>59</v>
      </c>
      <c r="C275" s="53">
        <v>2026</v>
      </c>
      <c r="D275" s="53">
        <v>2026</v>
      </c>
      <c r="E275" s="54" t="s">
        <v>3106</v>
      </c>
      <c r="F275" s="55" t="s">
        <v>50</v>
      </c>
      <c r="G275" s="55" t="s">
        <v>50</v>
      </c>
      <c r="H275" s="45" t="s">
        <v>875</v>
      </c>
      <c r="I275" s="45" t="s">
        <v>52</v>
      </c>
      <c r="J275" s="56"/>
      <c r="K275" s="55" t="s">
        <v>582</v>
      </c>
      <c r="L275" s="55" t="s">
        <v>317</v>
      </c>
      <c r="M275" s="55" t="s">
        <v>113</v>
      </c>
      <c r="N275" s="55" t="s">
        <v>55</v>
      </c>
      <c r="O275" s="55"/>
      <c r="P275" s="61" t="s">
        <v>583</v>
      </c>
      <c r="Q275" s="61" t="s">
        <v>57</v>
      </c>
      <c r="R275" s="55"/>
      <c r="S275" s="56" t="s">
        <v>81</v>
      </c>
      <c r="T275" s="55" t="str">
        <f>IF(ISNUMBER(SEARCH(",",N275)),"Y","N")</f>
        <v>N</v>
      </c>
      <c r="U275" s="57">
        <v>32000</v>
      </c>
      <c r="V275" s="57" t="s">
        <v>101</v>
      </c>
      <c r="W275" s="55" t="s">
        <v>2319</v>
      </c>
      <c r="X275" s="54" t="s">
        <v>4284</v>
      </c>
      <c r="Y275" s="52"/>
      <c r="Z275" s="3" t="s">
        <v>61</v>
      </c>
      <c r="AA275" s="3" t="s">
        <v>876</v>
      </c>
      <c r="AB275" s="3"/>
      <c r="AC275" s="3"/>
      <c r="AD275" s="3" t="s">
        <v>62</v>
      </c>
      <c r="AE275" s="3" t="s">
        <v>695</v>
      </c>
      <c r="AF275" s="3" t="s">
        <v>877</v>
      </c>
      <c r="AG275" s="3" t="s">
        <v>878</v>
      </c>
      <c r="AH275" s="58">
        <v>100</v>
      </c>
      <c r="AI275" s="3"/>
      <c r="AJ275" s="3"/>
      <c r="AK275" s="3"/>
      <c r="AL275" s="3"/>
      <c r="AM275" s="3"/>
      <c r="AN275" s="3"/>
      <c r="AO275" s="3"/>
      <c r="AP275" s="3"/>
      <c r="AQ275" s="3"/>
      <c r="AR275" s="3"/>
      <c r="AS275" s="3"/>
      <c r="AT275" s="3"/>
      <c r="AU275" s="3"/>
      <c r="AV275" s="3"/>
      <c r="AW275" s="3"/>
      <c r="AX275" s="3"/>
      <c r="AY275" s="3"/>
      <c r="AZ275" s="4" t="s">
        <v>874</v>
      </c>
      <c r="BA275" s="3"/>
      <c r="BB275" s="1"/>
      <c r="BC275" s="1"/>
    </row>
    <row r="276" spans="1:55" s="78" customFormat="1" ht="15" customHeight="1" x14ac:dyDescent="0.25">
      <c r="A276" s="52" t="s">
        <v>4285</v>
      </c>
      <c r="B276" s="34" t="s">
        <v>59</v>
      </c>
      <c r="C276" s="53">
        <v>2026</v>
      </c>
      <c r="D276" s="53">
        <v>2026</v>
      </c>
      <c r="E276" s="54" t="s">
        <v>3107</v>
      </c>
      <c r="F276" s="55" t="s">
        <v>50</v>
      </c>
      <c r="G276" s="55" t="s">
        <v>50</v>
      </c>
      <c r="H276" s="45" t="s">
        <v>880</v>
      </c>
      <c r="I276" s="56" t="s">
        <v>52</v>
      </c>
      <c r="J276" s="56"/>
      <c r="K276" s="56" t="s">
        <v>346</v>
      </c>
      <c r="L276" s="55" t="str">
        <f>IF(K276="Mine or Quarry","Mine","")</f>
        <v/>
      </c>
      <c r="M276" s="55"/>
      <c r="N276" s="56" t="s">
        <v>788</v>
      </c>
      <c r="O276" s="56" t="s">
        <v>789</v>
      </c>
      <c r="P276" s="56" t="s">
        <v>89</v>
      </c>
      <c r="Q276" s="56" t="s">
        <v>89</v>
      </c>
      <c r="R276" s="55"/>
      <c r="S276" s="56" t="s">
        <v>81</v>
      </c>
      <c r="T276" s="55" t="s">
        <v>58</v>
      </c>
      <c r="U276" s="57">
        <v>6000</v>
      </c>
      <c r="V276" s="57" t="s">
        <v>101</v>
      </c>
      <c r="W276" s="55" t="s">
        <v>2319</v>
      </c>
      <c r="X276" s="54" t="s">
        <v>4285</v>
      </c>
      <c r="Y276" s="52"/>
      <c r="Z276" s="2" t="s">
        <v>61</v>
      </c>
      <c r="AA276" s="1" t="s">
        <v>881</v>
      </c>
      <c r="AB276" s="1"/>
      <c r="AC276" s="1"/>
      <c r="AD276" s="3" t="s">
        <v>62</v>
      </c>
      <c r="AE276" s="2" t="s">
        <v>695</v>
      </c>
      <c r="AF276" s="2"/>
      <c r="AG276" s="1" t="s">
        <v>882</v>
      </c>
      <c r="AH276" s="2">
        <v>100</v>
      </c>
      <c r="AI276" s="1"/>
      <c r="AJ276" s="1"/>
      <c r="AK276" s="1"/>
      <c r="AL276" s="1"/>
      <c r="AM276" s="1"/>
      <c r="AN276" s="1"/>
      <c r="AO276" s="1"/>
      <c r="AP276" s="1"/>
      <c r="AQ276" s="1"/>
      <c r="AR276" s="1"/>
      <c r="AS276" s="1"/>
      <c r="AT276" s="1"/>
      <c r="AU276" s="1"/>
      <c r="AV276" s="1"/>
      <c r="AW276" s="1"/>
      <c r="AX276" s="1"/>
      <c r="AY276" s="1"/>
      <c r="AZ276" s="4" t="s">
        <v>879</v>
      </c>
      <c r="BA276" s="1"/>
      <c r="BB276" s="1"/>
      <c r="BC276" s="1"/>
    </row>
    <row r="277" spans="1:55" s="78" customFormat="1" ht="15" customHeight="1" x14ac:dyDescent="0.25">
      <c r="A277" s="52" t="s">
        <v>4286</v>
      </c>
      <c r="B277" s="34" t="s">
        <v>59</v>
      </c>
      <c r="C277" s="53">
        <v>2026</v>
      </c>
      <c r="D277" s="53">
        <v>2026</v>
      </c>
      <c r="E277" s="54" t="s">
        <v>3108</v>
      </c>
      <c r="F277" s="55" t="s">
        <v>50</v>
      </c>
      <c r="G277" s="55" t="s">
        <v>50</v>
      </c>
      <c r="H277" s="45" t="s">
        <v>884</v>
      </c>
      <c r="I277" s="61" t="s">
        <v>52</v>
      </c>
      <c r="J277" s="56"/>
      <c r="K277" s="55" t="s">
        <v>126</v>
      </c>
      <c r="L277" s="55"/>
      <c r="M277" s="55" t="s">
        <v>113</v>
      </c>
      <c r="N277" s="55" t="s">
        <v>127</v>
      </c>
      <c r="O277" s="55" t="s">
        <v>201</v>
      </c>
      <c r="P277" s="55" t="s">
        <v>129</v>
      </c>
      <c r="Q277" s="56" t="s">
        <v>57</v>
      </c>
      <c r="R277" s="55"/>
      <c r="S277" s="56" t="s">
        <v>58</v>
      </c>
      <c r="T277" s="55" t="s">
        <v>81</v>
      </c>
      <c r="U277" s="57">
        <v>-999</v>
      </c>
      <c r="V277" s="57" t="s">
        <v>59</v>
      </c>
      <c r="W277" s="55" t="s">
        <v>2319</v>
      </c>
      <c r="X277" s="54" t="s">
        <v>4286</v>
      </c>
      <c r="Y277" s="52"/>
      <c r="Z277" s="3" t="s">
        <v>154</v>
      </c>
      <c r="AA277" s="3" t="s">
        <v>885</v>
      </c>
      <c r="AB277" s="3"/>
      <c r="AC277" s="3"/>
      <c r="AD277" s="3" t="s">
        <v>62</v>
      </c>
      <c r="AE277" s="3" t="s">
        <v>353</v>
      </c>
      <c r="AF277" s="3" t="s">
        <v>886</v>
      </c>
      <c r="AG277" s="3" t="s">
        <v>887</v>
      </c>
      <c r="AH277" s="58">
        <v>100</v>
      </c>
      <c r="AI277" s="3"/>
      <c r="AJ277" s="3"/>
      <c r="AK277" s="3"/>
      <c r="AL277" s="3"/>
      <c r="AM277" s="3"/>
      <c r="AN277" s="3"/>
      <c r="AO277" s="3"/>
      <c r="AP277" s="3"/>
      <c r="AQ277" s="3"/>
      <c r="AR277" s="3"/>
      <c r="AS277" s="3"/>
      <c r="AT277" s="3"/>
      <c r="AU277" s="3"/>
      <c r="AV277" s="3"/>
      <c r="AW277" s="3"/>
      <c r="AX277" s="3"/>
      <c r="AY277" s="3"/>
      <c r="AZ277" s="4" t="s">
        <v>883</v>
      </c>
      <c r="BA277" s="3"/>
      <c r="BB277" s="1"/>
      <c r="BC277" s="1"/>
    </row>
    <row r="278" spans="1:55" s="78" customFormat="1" ht="15" customHeight="1" x14ac:dyDescent="0.25">
      <c r="A278" s="52" t="s">
        <v>4287</v>
      </c>
      <c r="B278" s="34" t="s">
        <v>59</v>
      </c>
      <c r="C278" s="53">
        <v>2026</v>
      </c>
      <c r="D278" s="53">
        <v>2026</v>
      </c>
      <c r="E278" s="54" t="s">
        <v>3108</v>
      </c>
      <c r="F278" s="55" t="s">
        <v>50</v>
      </c>
      <c r="G278" s="55" t="s">
        <v>50</v>
      </c>
      <c r="H278" s="45" t="s">
        <v>884</v>
      </c>
      <c r="I278" s="61" t="s">
        <v>52</v>
      </c>
      <c r="J278" s="56"/>
      <c r="K278" s="55" t="s">
        <v>133</v>
      </c>
      <c r="L278" s="55" t="s">
        <v>54</v>
      </c>
      <c r="M278" s="55" t="s">
        <v>113</v>
      </c>
      <c r="N278" s="55" t="s">
        <v>240</v>
      </c>
      <c r="O278" s="55"/>
      <c r="P278" s="55" t="s">
        <v>134</v>
      </c>
      <c r="Q278" s="55" t="s">
        <v>57</v>
      </c>
      <c r="R278" s="55"/>
      <c r="S278" s="56" t="s">
        <v>58</v>
      </c>
      <c r="T278" s="55" t="s">
        <v>81</v>
      </c>
      <c r="U278" s="57">
        <v>-999</v>
      </c>
      <c r="V278" s="57" t="s">
        <v>59</v>
      </c>
      <c r="W278" s="55" t="s">
        <v>2319</v>
      </c>
      <c r="X278" s="54" t="s">
        <v>4287</v>
      </c>
      <c r="Y278" s="52"/>
      <c r="Z278" s="3" t="s">
        <v>154</v>
      </c>
      <c r="AA278" s="3" t="s">
        <v>885</v>
      </c>
      <c r="AB278" s="3"/>
      <c r="AC278" s="3"/>
      <c r="AD278" s="3" t="s">
        <v>62</v>
      </c>
      <c r="AE278" s="3" t="s">
        <v>353</v>
      </c>
      <c r="AF278" s="3" t="s">
        <v>886</v>
      </c>
      <c r="AG278" s="3" t="s">
        <v>887</v>
      </c>
      <c r="AH278" s="58">
        <v>100</v>
      </c>
      <c r="AI278" s="3"/>
      <c r="AJ278" s="3"/>
      <c r="AK278" s="3"/>
      <c r="AL278" s="3"/>
      <c r="AM278" s="3"/>
      <c r="AN278" s="3"/>
      <c r="AO278" s="3"/>
      <c r="AP278" s="3"/>
      <c r="AQ278" s="3"/>
      <c r="AR278" s="3"/>
      <c r="AS278" s="3"/>
      <c r="AT278" s="3"/>
      <c r="AU278" s="3"/>
      <c r="AV278" s="3"/>
      <c r="AW278" s="3"/>
      <c r="AX278" s="3"/>
      <c r="AY278" s="3"/>
      <c r="AZ278" s="4" t="s">
        <v>883</v>
      </c>
      <c r="BA278" s="3"/>
      <c r="BB278" s="1"/>
      <c r="BC278" s="1"/>
    </row>
    <row r="279" spans="1:55" s="78" customFormat="1" ht="15" customHeight="1" x14ac:dyDescent="0.25">
      <c r="A279" s="52" t="s">
        <v>4288</v>
      </c>
      <c r="B279" s="34" t="s">
        <v>59</v>
      </c>
      <c r="C279" s="53">
        <v>2026</v>
      </c>
      <c r="D279" s="53">
        <v>2026</v>
      </c>
      <c r="E279" s="54" t="s">
        <v>3108</v>
      </c>
      <c r="F279" s="55" t="s">
        <v>50</v>
      </c>
      <c r="G279" s="55" t="s">
        <v>50</v>
      </c>
      <c r="H279" s="45" t="s">
        <v>884</v>
      </c>
      <c r="I279" s="61" t="s">
        <v>52</v>
      </c>
      <c r="J279" s="56"/>
      <c r="K279" s="55" t="s">
        <v>135</v>
      </c>
      <c r="L279" s="55" t="s">
        <v>54</v>
      </c>
      <c r="M279" s="55" t="s">
        <v>113</v>
      </c>
      <c r="N279" s="55" t="s">
        <v>201</v>
      </c>
      <c r="O279" s="55"/>
      <c r="P279" s="55" t="s">
        <v>136</v>
      </c>
      <c r="Q279" s="55" t="s">
        <v>57</v>
      </c>
      <c r="R279" s="55"/>
      <c r="S279" s="56" t="s">
        <v>58</v>
      </c>
      <c r="T279" s="55" t="s">
        <v>81</v>
      </c>
      <c r="U279" s="57">
        <v>-999</v>
      </c>
      <c r="V279" s="57" t="s">
        <v>59</v>
      </c>
      <c r="W279" s="55" t="s">
        <v>2319</v>
      </c>
      <c r="X279" s="54" t="s">
        <v>4288</v>
      </c>
      <c r="Y279" s="52"/>
      <c r="Z279" s="3" t="s">
        <v>154</v>
      </c>
      <c r="AA279" s="3" t="s">
        <v>885</v>
      </c>
      <c r="AB279" s="3"/>
      <c r="AC279" s="3"/>
      <c r="AD279" s="3" t="s">
        <v>62</v>
      </c>
      <c r="AE279" s="3" t="s">
        <v>353</v>
      </c>
      <c r="AF279" s="3" t="s">
        <v>886</v>
      </c>
      <c r="AG279" s="3" t="s">
        <v>887</v>
      </c>
      <c r="AH279" s="58">
        <v>100</v>
      </c>
      <c r="AI279" s="3"/>
      <c r="AJ279" s="3"/>
      <c r="AK279" s="3"/>
      <c r="AL279" s="3"/>
      <c r="AM279" s="3"/>
      <c r="AN279" s="3"/>
      <c r="AO279" s="3"/>
      <c r="AP279" s="3"/>
      <c r="AQ279" s="3"/>
      <c r="AR279" s="3"/>
      <c r="AS279" s="3"/>
      <c r="AT279" s="3"/>
      <c r="AU279" s="3"/>
      <c r="AV279" s="3"/>
      <c r="AW279" s="3"/>
      <c r="AX279" s="3"/>
      <c r="AY279" s="3"/>
      <c r="AZ279" s="4" t="s">
        <v>883</v>
      </c>
      <c r="BA279" s="3"/>
      <c r="BB279" s="1"/>
      <c r="BC279" s="1"/>
    </row>
    <row r="280" spans="1:55" s="78" customFormat="1" ht="15" customHeight="1" x14ac:dyDescent="0.25">
      <c r="A280" s="52" t="s">
        <v>4289</v>
      </c>
      <c r="B280" s="34" t="s">
        <v>59</v>
      </c>
      <c r="C280" s="53">
        <v>2026</v>
      </c>
      <c r="D280" s="53">
        <v>2026</v>
      </c>
      <c r="E280" s="54" t="s">
        <v>3108</v>
      </c>
      <c r="F280" s="55" t="s">
        <v>50</v>
      </c>
      <c r="G280" s="55" t="s">
        <v>50</v>
      </c>
      <c r="H280" s="45" t="s">
        <v>884</v>
      </c>
      <c r="I280" s="61" t="s">
        <v>52</v>
      </c>
      <c r="J280" s="56"/>
      <c r="K280" s="55" t="s">
        <v>137</v>
      </c>
      <c r="L280" s="55" t="s">
        <v>54</v>
      </c>
      <c r="M280" s="55" t="s">
        <v>113</v>
      </c>
      <c r="N280" s="55" t="s">
        <v>201</v>
      </c>
      <c r="O280" s="55"/>
      <c r="P280" s="55" t="s">
        <v>138</v>
      </c>
      <c r="Q280" s="55" t="s">
        <v>57</v>
      </c>
      <c r="R280" s="55"/>
      <c r="S280" s="56" t="s">
        <v>58</v>
      </c>
      <c r="T280" s="55" t="s">
        <v>81</v>
      </c>
      <c r="U280" s="57">
        <v>-999</v>
      </c>
      <c r="V280" s="57" t="s">
        <v>59</v>
      </c>
      <c r="W280" s="55" t="s">
        <v>2319</v>
      </c>
      <c r="X280" s="54" t="s">
        <v>4289</v>
      </c>
      <c r="Y280" s="52"/>
      <c r="Z280" s="3" t="s">
        <v>154</v>
      </c>
      <c r="AA280" s="3" t="s">
        <v>885</v>
      </c>
      <c r="AB280" s="3"/>
      <c r="AC280" s="3"/>
      <c r="AD280" s="3" t="s">
        <v>62</v>
      </c>
      <c r="AE280" s="3" t="s">
        <v>353</v>
      </c>
      <c r="AF280" s="3" t="s">
        <v>886</v>
      </c>
      <c r="AG280" s="3" t="s">
        <v>887</v>
      </c>
      <c r="AH280" s="58">
        <v>100</v>
      </c>
      <c r="AI280" s="3"/>
      <c r="AJ280" s="3"/>
      <c r="AK280" s="3"/>
      <c r="AL280" s="3"/>
      <c r="AM280" s="3"/>
      <c r="AN280" s="3"/>
      <c r="AO280" s="3"/>
      <c r="AP280" s="3"/>
      <c r="AQ280" s="3"/>
      <c r="AR280" s="3"/>
      <c r="AS280" s="3"/>
      <c r="AT280" s="3"/>
      <c r="AU280" s="3"/>
      <c r="AV280" s="3"/>
      <c r="AW280" s="3"/>
      <c r="AX280" s="3"/>
      <c r="AY280" s="3"/>
      <c r="AZ280" s="4" t="s">
        <v>883</v>
      </c>
      <c r="BA280" s="3"/>
      <c r="BB280" s="1"/>
      <c r="BC280" s="1"/>
    </row>
    <row r="281" spans="1:55" s="78" customFormat="1" ht="15" customHeight="1" x14ac:dyDescent="0.25">
      <c r="A281" s="52" t="s">
        <v>4290</v>
      </c>
      <c r="B281" s="34" t="s">
        <v>59</v>
      </c>
      <c r="C281" s="53">
        <v>2026</v>
      </c>
      <c r="D281" s="53">
        <v>2026</v>
      </c>
      <c r="E281" s="54" t="s">
        <v>3109</v>
      </c>
      <c r="F281" s="55" t="s">
        <v>50</v>
      </c>
      <c r="G281" s="55" t="s">
        <v>50</v>
      </c>
      <c r="H281" s="45" t="s">
        <v>889</v>
      </c>
      <c r="I281" s="56" t="s">
        <v>52</v>
      </c>
      <c r="J281" s="45" t="s">
        <v>65</v>
      </c>
      <c r="K281" s="56" t="s">
        <v>890</v>
      </c>
      <c r="L281" s="55" t="s">
        <v>54</v>
      </c>
      <c r="M281" s="55"/>
      <c r="N281" s="56" t="s">
        <v>358</v>
      </c>
      <c r="O281" s="56" t="s">
        <v>891</v>
      </c>
      <c r="P281" s="55" t="s">
        <v>892</v>
      </c>
      <c r="Q281" s="55" t="s">
        <v>57</v>
      </c>
      <c r="R281" s="55"/>
      <c r="S281" s="56" t="s">
        <v>58</v>
      </c>
      <c r="T281" s="55" t="s">
        <v>81</v>
      </c>
      <c r="U281" s="57">
        <v>-999</v>
      </c>
      <c r="V281" s="57" t="s">
        <v>59</v>
      </c>
      <c r="W281" s="55"/>
      <c r="X281" s="54" t="s">
        <v>4290</v>
      </c>
      <c r="Y281" s="60"/>
      <c r="Z281" s="1" t="s">
        <v>61</v>
      </c>
      <c r="AA281" s="1" t="s">
        <v>893</v>
      </c>
      <c r="AB281" s="1"/>
      <c r="AC281" s="1"/>
      <c r="AD281" s="3" t="s">
        <v>62</v>
      </c>
      <c r="AE281" s="2" t="s">
        <v>155</v>
      </c>
      <c r="AF281" s="1"/>
      <c r="AG281" s="3" t="s">
        <v>64</v>
      </c>
      <c r="AH281" s="2">
        <v>100</v>
      </c>
      <c r="AI281" s="1"/>
      <c r="AJ281" s="1"/>
      <c r="AK281" s="1"/>
      <c r="AL281" s="1"/>
      <c r="AM281" s="1"/>
      <c r="AN281" s="1"/>
      <c r="AO281" s="1"/>
      <c r="AP281" s="1"/>
      <c r="AQ281" s="1"/>
      <c r="AR281" s="1"/>
      <c r="AS281" s="1"/>
      <c r="AT281" s="1"/>
      <c r="AU281" s="1"/>
      <c r="AV281" s="1"/>
      <c r="AW281" s="1"/>
      <c r="AX281" s="1"/>
      <c r="AY281" s="1"/>
      <c r="AZ281" s="4" t="s">
        <v>888</v>
      </c>
      <c r="BA281" s="1"/>
      <c r="BB281" s="1"/>
      <c r="BC281" s="1"/>
    </row>
    <row r="282" spans="1:55" s="78" customFormat="1" ht="15" customHeight="1" x14ac:dyDescent="0.25">
      <c r="A282" s="52" t="s">
        <v>4291</v>
      </c>
      <c r="B282" s="34" t="s">
        <v>59</v>
      </c>
      <c r="C282" s="53">
        <v>2026</v>
      </c>
      <c r="D282" s="53">
        <v>2026</v>
      </c>
      <c r="E282" s="54" t="s">
        <v>3109</v>
      </c>
      <c r="F282" s="55" t="s">
        <v>50</v>
      </c>
      <c r="G282" s="55" t="s">
        <v>50</v>
      </c>
      <c r="H282" s="45" t="s">
        <v>889</v>
      </c>
      <c r="I282" s="56" t="s">
        <v>52</v>
      </c>
      <c r="J282" s="56"/>
      <c r="K282" s="56" t="s">
        <v>194</v>
      </c>
      <c r="L282" s="55" t="s">
        <v>54</v>
      </c>
      <c r="M282" s="55"/>
      <c r="N282" s="56"/>
      <c r="O282" s="56"/>
      <c r="P282" s="55" t="s">
        <v>195</v>
      </c>
      <c r="Q282" s="55" t="s">
        <v>57</v>
      </c>
      <c r="R282" s="55"/>
      <c r="S282" s="56" t="s">
        <v>58</v>
      </c>
      <c r="T282" s="55" t="s">
        <v>81</v>
      </c>
      <c r="U282" s="57">
        <v>-999</v>
      </c>
      <c r="V282" s="57" t="s">
        <v>59</v>
      </c>
      <c r="W282" s="55"/>
      <c r="X282" s="54" t="s">
        <v>4291</v>
      </c>
      <c r="Y282" s="60"/>
      <c r="Z282" s="1" t="s">
        <v>61</v>
      </c>
      <c r="AA282" s="1" t="s">
        <v>893</v>
      </c>
      <c r="AB282" s="1"/>
      <c r="AC282" s="1"/>
      <c r="AD282" s="3" t="s">
        <v>62</v>
      </c>
      <c r="AE282" s="2" t="s">
        <v>155</v>
      </c>
      <c r="AF282" s="1"/>
      <c r="AG282" s="3" t="s">
        <v>64</v>
      </c>
      <c r="AH282" s="2">
        <v>100</v>
      </c>
      <c r="AI282" s="1"/>
      <c r="AJ282" s="1"/>
      <c r="AK282" s="1"/>
      <c r="AL282" s="1"/>
      <c r="AM282" s="1"/>
      <c r="AN282" s="1"/>
      <c r="AO282" s="1"/>
      <c r="AP282" s="1"/>
      <c r="AQ282" s="1"/>
      <c r="AR282" s="1"/>
      <c r="AS282" s="1"/>
      <c r="AT282" s="1"/>
      <c r="AU282" s="1"/>
      <c r="AV282" s="1"/>
      <c r="AW282" s="1"/>
      <c r="AX282" s="1"/>
      <c r="AY282" s="1"/>
      <c r="AZ282" s="4" t="s">
        <v>888</v>
      </c>
      <c r="BA282" s="1"/>
      <c r="BB282" s="1"/>
      <c r="BC282" s="1"/>
    </row>
    <row r="283" spans="1:55" s="78" customFormat="1" ht="15" customHeight="1" x14ac:dyDescent="0.25">
      <c r="A283" s="52" t="s">
        <v>4292</v>
      </c>
      <c r="B283" s="34" t="s">
        <v>59</v>
      </c>
      <c r="C283" s="53">
        <v>2026</v>
      </c>
      <c r="D283" s="53">
        <v>2026</v>
      </c>
      <c r="E283" s="54" t="s">
        <v>3109</v>
      </c>
      <c r="F283" s="55" t="s">
        <v>50</v>
      </c>
      <c r="G283" s="55" t="s">
        <v>50</v>
      </c>
      <c r="H283" s="45" t="s">
        <v>889</v>
      </c>
      <c r="I283" s="56" t="s">
        <v>52</v>
      </c>
      <c r="J283" s="56"/>
      <c r="K283" s="55" t="s">
        <v>198</v>
      </c>
      <c r="L283" s="55" t="s">
        <v>54</v>
      </c>
      <c r="M283" s="55"/>
      <c r="N283" s="56"/>
      <c r="O283" s="56"/>
      <c r="P283" s="55" t="s">
        <v>199</v>
      </c>
      <c r="Q283" s="55" t="s">
        <v>57</v>
      </c>
      <c r="R283" s="55"/>
      <c r="S283" s="56" t="s">
        <v>58</v>
      </c>
      <c r="T283" s="55" t="s">
        <v>81</v>
      </c>
      <c r="U283" s="57">
        <v>-999</v>
      </c>
      <c r="V283" s="57" t="s">
        <v>59</v>
      </c>
      <c r="W283" s="55"/>
      <c r="X283" s="54" t="s">
        <v>4292</v>
      </c>
      <c r="Y283" s="60"/>
      <c r="Z283" s="1" t="s">
        <v>61</v>
      </c>
      <c r="AA283" s="1" t="s">
        <v>893</v>
      </c>
      <c r="AB283" s="1"/>
      <c r="AC283" s="1"/>
      <c r="AD283" s="3" t="s">
        <v>62</v>
      </c>
      <c r="AE283" s="2" t="s">
        <v>155</v>
      </c>
      <c r="AF283" s="1"/>
      <c r="AG283" s="3" t="s">
        <v>64</v>
      </c>
      <c r="AH283" s="2">
        <v>100</v>
      </c>
      <c r="AI283" s="1"/>
      <c r="AJ283" s="1"/>
      <c r="AK283" s="1"/>
      <c r="AL283" s="1"/>
      <c r="AM283" s="1"/>
      <c r="AN283" s="1"/>
      <c r="AO283" s="1"/>
      <c r="AP283" s="1"/>
      <c r="AQ283" s="1"/>
      <c r="AR283" s="1"/>
      <c r="AS283" s="1"/>
      <c r="AT283" s="1"/>
      <c r="AU283" s="1"/>
      <c r="AV283" s="1"/>
      <c r="AW283" s="1"/>
      <c r="AX283" s="1"/>
      <c r="AY283" s="1"/>
      <c r="AZ283" s="4" t="s">
        <v>888</v>
      </c>
      <c r="BA283" s="1"/>
      <c r="BB283" s="1"/>
      <c r="BC283" s="1"/>
    </row>
    <row r="284" spans="1:55" s="78" customFormat="1" ht="15" customHeight="1" x14ac:dyDescent="0.25">
      <c r="A284" s="52" t="s">
        <v>4293</v>
      </c>
      <c r="B284" s="34" t="s">
        <v>59</v>
      </c>
      <c r="C284" s="53">
        <v>2026</v>
      </c>
      <c r="D284" s="53">
        <v>2026</v>
      </c>
      <c r="E284" s="54" t="s">
        <v>3109</v>
      </c>
      <c r="F284" s="55" t="s">
        <v>50</v>
      </c>
      <c r="G284" s="55" t="s">
        <v>50</v>
      </c>
      <c r="H284" s="45" t="s">
        <v>889</v>
      </c>
      <c r="I284" s="56" t="s">
        <v>52</v>
      </c>
      <c r="J284" s="56"/>
      <c r="K284" s="56" t="s">
        <v>53</v>
      </c>
      <c r="L284" s="55" t="s">
        <v>54</v>
      </c>
      <c r="M284" s="55" t="s">
        <v>491</v>
      </c>
      <c r="N284" s="56" t="s">
        <v>327</v>
      </c>
      <c r="O284" s="56"/>
      <c r="P284" s="55" t="s">
        <v>56</v>
      </c>
      <c r="Q284" s="55" t="s">
        <v>57</v>
      </c>
      <c r="R284" s="55"/>
      <c r="S284" s="56" t="s">
        <v>58</v>
      </c>
      <c r="T284" s="55" t="s">
        <v>81</v>
      </c>
      <c r="U284" s="57">
        <v>1000</v>
      </c>
      <c r="V284" s="57" t="s">
        <v>101</v>
      </c>
      <c r="W284" s="55"/>
      <c r="X284" s="54" t="s">
        <v>4293</v>
      </c>
      <c r="Y284" s="60"/>
      <c r="Z284" s="1" t="s">
        <v>61</v>
      </c>
      <c r="AA284" s="1" t="s">
        <v>893</v>
      </c>
      <c r="AB284" s="1"/>
      <c r="AC284" s="1"/>
      <c r="AD284" s="3" t="s">
        <v>62</v>
      </c>
      <c r="AE284" s="2" t="s">
        <v>155</v>
      </c>
      <c r="AF284" s="1"/>
      <c r="AG284" s="3" t="s">
        <v>64</v>
      </c>
      <c r="AH284" s="2">
        <v>100</v>
      </c>
      <c r="AI284" s="1"/>
      <c r="AJ284" s="1"/>
      <c r="AK284" s="1"/>
      <c r="AL284" s="1"/>
      <c r="AM284" s="1"/>
      <c r="AN284" s="1"/>
      <c r="AO284" s="1"/>
      <c r="AP284" s="1"/>
      <c r="AQ284" s="1"/>
      <c r="AR284" s="1"/>
      <c r="AS284" s="1"/>
      <c r="AT284" s="1"/>
      <c r="AU284" s="1"/>
      <c r="AV284" s="1"/>
      <c r="AW284" s="1"/>
      <c r="AX284" s="1"/>
      <c r="AY284" s="1"/>
      <c r="AZ284" s="4" t="s">
        <v>888</v>
      </c>
      <c r="BA284" s="1"/>
      <c r="BB284" s="1"/>
      <c r="BC284" s="1"/>
    </row>
    <row r="285" spans="1:55" s="78" customFormat="1" ht="15" customHeight="1" x14ac:dyDescent="0.25">
      <c r="A285" s="52" t="s">
        <v>4294</v>
      </c>
      <c r="B285" s="34" t="s">
        <v>59</v>
      </c>
      <c r="C285" s="53">
        <v>2026</v>
      </c>
      <c r="D285" s="53">
        <v>2026</v>
      </c>
      <c r="E285" s="54" t="s">
        <v>3109</v>
      </c>
      <c r="F285" s="55" t="s">
        <v>50</v>
      </c>
      <c r="G285" s="55" t="s">
        <v>50</v>
      </c>
      <c r="H285" s="45" t="s">
        <v>889</v>
      </c>
      <c r="I285" s="56" t="s">
        <v>52</v>
      </c>
      <c r="J285" s="56"/>
      <c r="K285" s="45" t="s">
        <v>137</v>
      </c>
      <c r="L285" s="55" t="s">
        <v>54</v>
      </c>
      <c r="M285" s="55" t="s">
        <v>491</v>
      </c>
      <c r="N285" s="45" t="s">
        <v>201</v>
      </c>
      <c r="O285" s="45"/>
      <c r="P285" s="55" t="s">
        <v>138</v>
      </c>
      <c r="Q285" s="55" t="s">
        <v>57</v>
      </c>
      <c r="R285" s="55"/>
      <c r="S285" s="56" t="s">
        <v>58</v>
      </c>
      <c r="T285" s="55" t="s">
        <v>81</v>
      </c>
      <c r="U285" s="57">
        <v>700</v>
      </c>
      <c r="V285" s="57" t="s">
        <v>101</v>
      </c>
      <c r="W285" s="55"/>
      <c r="X285" s="54" t="s">
        <v>4294</v>
      </c>
      <c r="Y285" s="60"/>
      <c r="Z285" s="1" t="s">
        <v>61</v>
      </c>
      <c r="AA285" s="1" t="s">
        <v>893</v>
      </c>
      <c r="AB285" s="1"/>
      <c r="AC285" s="1"/>
      <c r="AD285" s="3" t="s">
        <v>62</v>
      </c>
      <c r="AE285" s="2" t="s">
        <v>155</v>
      </c>
      <c r="AF285" s="2"/>
      <c r="AG285" s="3" t="s">
        <v>64</v>
      </c>
      <c r="AH285" s="2">
        <v>100</v>
      </c>
      <c r="AI285" s="2"/>
      <c r="AJ285" s="2"/>
      <c r="AK285" s="2"/>
      <c r="AL285" s="2"/>
      <c r="AM285" s="2"/>
      <c r="AN285" s="2"/>
      <c r="AO285" s="2"/>
      <c r="AP285" s="2"/>
      <c r="AQ285" s="2"/>
      <c r="AR285" s="2"/>
      <c r="AS285" s="2"/>
      <c r="AT285" s="2"/>
      <c r="AU285" s="2"/>
      <c r="AV285" s="2"/>
      <c r="AW285" s="2"/>
      <c r="AX285" s="2"/>
      <c r="AY285" s="2"/>
      <c r="AZ285" s="4" t="s">
        <v>888</v>
      </c>
      <c r="BA285" s="2"/>
      <c r="BB285" s="1"/>
      <c r="BC285" s="1"/>
    </row>
    <row r="286" spans="1:55" s="78" customFormat="1" ht="15" customHeight="1" x14ac:dyDescent="0.25">
      <c r="A286" s="52" t="s">
        <v>4295</v>
      </c>
      <c r="B286" s="34" t="s">
        <v>59</v>
      </c>
      <c r="C286" s="53">
        <v>2026</v>
      </c>
      <c r="D286" s="53">
        <v>2026</v>
      </c>
      <c r="E286" s="54" t="s">
        <v>3109</v>
      </c>
      <c r="F286" s="55" t="s">
        <v>50</v>
      </c>
      <c r="G286" s="55" t="s">
        <v>50</v>
      </c>
      <c r="H286" s="45" t="s">
        <v>889</v>
      </c>
      <c r="I286" s="56" t="s">
        <v>52</v>
      </c>
      <c r="J286" s="45" t="s">
        <v>65</v>
      </c>
      <c r="K286" s="55" t="s">
        <v>68</v>
      </c>
      <c r="L286" s="55" t="s">
        <v>54</v>
      </c>
      <c r="M286" s="55" t="s">
        <v>491</v>
      </c>
      <c r="N286" s="55" t="s">
        <v>891</v>
      </c>
      <c r="O286" s="55"/>
      <c r="P286" s="55" t="s">
        <v>69</v>
      </c>
      <c r="Q286" s="55" t="s">
        <v>57</v>
      </c>
      <c r="R286" s="55"/>
      <c r="S286" s="56" t="s">
        <v>58</v>
      </c>
      <c r="T286" s="55" t="s">
        <v>81</v>
      </c>
      <c r="U286" s="57">
        <v>6.2370000000000001</v>
      </c>
      <c r="V286" s="57" t="s">
        <v>101</v>
      </c>
      <c r="W286" s="55"/>
      <c r="X286" s="54" t="s">
        <v>4295</v>
      </c>
      <c r="Y286" s="60"/>
      <c r="Z286" s="3" t="s">
        <v>61</v>
      </c>
      <c r="AA286" s="1" t="s">
        <v>893</v>
      </c>
      <c r="AB286" s="1"/>
      <c r="AC286" s="1"/>
      <c r="AD286" s="3" t="s">
        <v>62</v>
      </c>
      <c r="AE286" s="2" t="s">
        <v>155</v>
      </c>
      <c r="AF286" s="3"/>
      <c r="AG286" s="3" t="s">
        <v>64</v>
      </c>
      <c r="AH286" s="2">
        <v>100</v>
      </c>
      <c r="AI286" s="3"/>
      <c r="AJ286" s="3"/>
      <c r="AK286" s="3"/>
      <c r="AL286" s="3"/>
      <c r="AM286" s="3"/>
      <c r="AN286" s="3"/>
      <c r="AO286" s="3"/>
      <c r="AP286" s="3"/>
      <c r="AQ286" s="3"/>
      <c r="AR286" s="3"/>
      <c r="AS286" s="3"/>
      <c r="AT286" s="3"/>
      <c r="AU286" s="3"/>
      <c r="AV286" s="3"/>
      <c r="AW286" s="3"/>
      <c r="AX286" s="3"/>
      <c r="AY286" s="3"/>
      <c r="AZ286" s="4" t="s">
        <v>888</v>
      </c>
      <c r="BA286" s="3"/>
      <c r="BB286" s="1"/>
      <c r="BC286" s="1"/>
    </row>
    <row r="287" spans="1:55" s="78" customFormat="1" ht="15" customHeight="1" x14ac:dyDescent="0.25">
      <c r="A287" s="52" t="s">
        <v>4296</v>
      </c>
      <c r="B287" s="34" t="s">
        <v>59</v>
      </c>
      <c r="C287" s="53">
        <v>2026</v>
      </c>
      <c r="D287" s="53">
        <v>2026</v>
      </c>
      <c r="E287" s="54" t="s">
        <v>3109</v>
      </c>
      <c r="F287" s="55" t="s">
        <v>50</v>
      </c>
      <c r="G287" s="55" t="s">
        <v>50</v>
      </c>
      <c r="H287" s="45" t="s">
        <v>889</v>
      </c>
      <c r="I287" s="56" t="s">
        <v>52</v>
      </c>
      <c r="J287" s="45" t="s">
        <v>65</v>
      </c>
      <c r="K287" s="55" t="s">
        <v>66</v>
      </c>
      <c r="L287" s="55" t="s">
        <v>54</v>
      </c>
      <c r="M287" s="55" t="s">
        <v>491</v>
      </c>
      <c r="N287" s="55" t="s">
        <v>358</v>
      </c>
      <c r="O287" s="55" t="s">
        <v>891</v>
      </c>
      <c r="P287" s="55" t="s">
        <v>67</v>
      </c>
      <c r="Q287" s="55" t="s">
        <v>57</v>
      </c>
      <c r="R287" s="55"/>
      <c r="S287" s="56" t="s">
        <v>58</v>
      </c>
      <c r="T287" s="55" t="s">
        <v>81</v>
      </c>
      <c r="U287" s="57">
        <v>21.829000000000001</v>
      </c>
      <c r="V287" s="57" t="s">
        <v>101</v>
      </c>
      <c r="W287" s="55"/>
      <c r="X287" s="54" t="s">
        <v>4296</v>
      </c>
      <c r="Y287" s="60"/>
      <c r="Z287" s="3" t="s">
        <v>61</v>
      </c>
      <c r="AA287" s="1" t="s">
        <v>893</v>
      </c>
      <c r="AB287" s="1"/>
      <c r="AC287" s="1"/>
      <c r="AD287" s="3" t="s">
        <v>62</v>
      </c>
      <c r="AE287" s="2" t="s">
        <v>155</v>
      </c>
      <c r="AF287" s="3"/>
      <c r="AG287" s="3" t="s">
        <v>64</v>
      </c>
      <c r="AH287" s="2">
        <v>100</v>
      </c>
      <c r="AI287" s="1"/>
      <c r="AJ287" s="2"/>
      <c r="AK287" s="3"/>
      <c r="AL287" s="3"/>
      <c r="AM287" s="3"/>
      <c r="AN287" s="3"/>
      <c r="AO287" s="3"/>
      <c r="AP287" s="3"/>
      <c r="AQ287" s="3"/>
      <c r="AR287" s="3"/>
      <c r="AS287" s="3"/>
      <c r="AT287" s="3"/>
      <c r="AU287" s="3"/>
      <c r="AV287" s="3"/>
      <c r="AW287" s="3"/>
      <c r="AX287" s="3"/>
      <c r="AY287" s="3"/>
      <c r="AZ287" s="4" t="s">
        <v>888</v>
      </c>
      <c r="BA287" s="3"/>
      <c r="BB287" s="1"/>
      <c r="BC287" s="1"/>
    </row>
    <row r="288" spans="1:55" s="78" customFormat="1" ht="15" customHeight="1" x14ac:dyDescent="0.25">
      <c r="A288" s="52" t="s">
        <v>4297</v>
      </c>
      <c r="B288" s="34" t="s">
        <v>59</v>
      </c>
      <c r="C288" s="53">
        <v>2026</v>
      </c>
      <c r="D288" s="53">
        <v>2026</v>
      </c>
      <c r="E288" s="54" t="s">
        <v>3110</v>
      </c>
      <c r="F288" s="55" t="s">
        <v>50</v>
      </c>
      <c r="G288" s="55" t="s">
        <v>50</v>
      </c>
      <c r="H288" s="45" t="s">
        <v>894</v>
      </c>
      <c r="I288" s="45" t="s">
        <v>52</v>
      </c>
      <c r="J288" s="56"/>
      <c r="K288" s="45" t="s">
        <v>53</v>
      </c>
      <c r="L288" s="55" t="s">
        <v>317</v>
      </c>
      <c r="M288" s="55" t="s">
        <v>491</v>
      </c>
      <c r="N288" s="45" t="s">
        <v>895</v>
      </c>
      <c r="O288" s="45"/>
      <c r="P288" s="55" t="s">
        <v>56</v>
      </c>
      <c r="Q288" s="55" t="s">
        <v>57</v>
      </c>
      <c r="R288" s="55"/>
      <c r="S288" s="56" t="s">
        <v>58</v>
      </c>
      <c r="T288" s="55" t="s">
        <v>81</v>
      </c>
      <c r="U288" s="57">
        <v>1000</v>
      </c>
      <c r="V288" s="57" t="s">
        <v>101</v>
      </c>
      <c r="W288" s="55"/>
      <c r="X288" s="54" t="s">
        <v>4297</v>
      </c>
      <c r="Y288" s="60"/>
      <c r="Z288" s="1" t="s">
        <v>61</v>
      </c>
      <c r="AA288" s="1" t="s">
        <v>893</v>
      </c>
      <c r="AB288" s="1"/>
      <c r="AC288" s="1"/>
      <c r="AD288" s="3" t="s">
        <v>62</v>
      </c>
      <c r="AE288" s="2" t="s">
        <v>155</v>
      </c>
      <c r="AF288" s="2"/>
      <c r="AG288" s="3" t="s">
        <v>64</v>
      </c>
      <c r="AH288" s="2">
        <v>100</v>
      </c>
      <c r="AI288" s="2"/>
      <c r="AJ288" s="2"/>
      <c r="AK288" s="2"/>
      <c r="AL288" s="2"/>
      <c r="AM288" s="2"/>
      <c r="AN288" s="2"/>
      <c r="AO288" s="2"/>
      <c r="AP288" s="2"/>
      <c r="AQ288" s="2"/>
      <c r="AR288" s="2"/>
      <c r="AS288" s="2"/>
      <c r="AT288" s="2"/>
      <c r="AU288" s="2"/>
      <c r="AV288" s="2"/>
      <c r="AW288" s="2"/>
      <c r="AX288" s="2"/>
      <c r="AY288" s="2"/>
      <c r="AZ288" s="4" t="s">
        <v>888</v>
      </c>
      <c r="BA288" s="2"/>
      <c r="BB288" s="1"/>
      <c r="BC288" s="1"/>
    </row>
    <row r="289" spans="1:55" s="78" customFormat="1" ht="15" customHeight="1" x14ac:dyDescent="0.25">
      <c r="A289" s="52" t="s">
        <v>4298</v>
      </c>
      <c r="B289" s="34" t="s">
        <v>59</v>
      </c>
      <c r="C289" s="53">
        <v>2026</v>
      </c>
      <c r="D289" s="53">
        <v>2026</v>
      </c>
      <c r="E289" s="54" t="s">
        <v>3110</v>
      </c>
      <c r="F289" s="55" t="s">
        <v>50</v>
      </c>
      <c r="G289" s="55" t="s">
        <v>50</v>
      </c>
      <c r="H289" s="45" t="s">
        <v>894</v>
      </c>
      <c r="I289" s="45" t="s">
        <v>52</v>
      </c>
      <c r="J289" s="56"/>
      <c r="K289" s="56" t="s">
        <v>137</v>
      </c>
      <c r="L289" s="55" t="s">
        <v>317</v>
      </c>
      <c r="M289" s="55" t="s">
        <v>491</v>
      </c>
      <c r="N289" s="56" t="s">
        <v>895</v>
      </c>
      <c r="O289" s="56"/>
      <c r="P289" s="56" t="s">
        <v>138</v>
      </c>
      <c r="Q289" s="55" t="s">
        <v>57</v>
      </c>
      <c r="R289" s="55"/>
      <c r="S289" s="56" t="s">
        <v>58</v>
      </c>
      <c r="T289" s="55" t="str">
        <f>IF(ISNUMBER(SEARCH(",",N289)),"Y","N")</f>
        <v>N</v>
      </c>
      <c r="U289" s="57">
        <v>700</v>
      </c>
      <c r="V289" s="57" t="s">
        <v>101</v>
      </c>
      <c r="W289" s="55"/>
      <c r="X289" s="54" t="s">
        <v>4298</v>
      </c>
      <c r="Y289" s="60"/>
      <c r="Z289" s="1" t="s">
        <v>61</v>
      </c>
      <c r="AA289" s="1" t="s">
        <v>893</v>
      </c>
      <c r="AB289" s="1"/>
      <c r="AC289" s="1"/>
      <c r="AD289" s="3" t="s">
        <v>62</v>
      </c>
      <c r="AE289" s="1" t="s">
        <v>155</v>
      </c>
      <c r="AF289" s="1"/>
      <c r="AG289" s="3" t="s">
        <v>64</v>
      </c>
      <c r="AH289" s="2">
        <v>100</v>
      </c>
      <c r="AI289" s="1"/>
      <c r="AJ289" s="1"/>
      <c r="AK289" s="1"/>
      <c r="AL289" s="1"/>
      <c r="AM289" s="1"/>
      <c r="AN289" s="1"/>
      <c r="AO289" s="1"/>
      <c r="AP289" s="1"/>
      <c r="AQ289" s="1"/>
      <c r="AR289" s="1"/>
      <c r="AS289" s="1"/>
      <c r="AT289" s="1"/>
      <c r="AU289" s="1"/>
      <c r="AV289" s="1"/>
      <c r="AW289" s="1"/>
      <c r="AX289" s="1"/>
      <c r="AY289" s="1"/>
      <c r="AZ289" s="4" t="s">
        <v>888</v>
      </c>
      <c r="BA289" s="1"/>
      <c r="BB289" s="1"/>
      <c r="BC289" s="1"/>
    </row>
    <row r="290" spans="1:55" s="78" customFormat="1" ht="15" customHeight="1" x14ac:dyDescent="0.25">
      <c r="A290" s="52" t="s">
        <v>4299</v>
      </c>
      <c r="B290" s="34" t="s">
        <v>59</v>
      </c>
      <c r="C290" s="53">
        <v>2026</v>
      </c>
      <c r="D290" s="53">
        <v>2026</v>
      </c>
      <c r="E290" s="54" t="s">
        <v>3110</v>
      </c>
      <c r="F290" s="55" t="s">
        <v>50</v>
      </c>
      <c r="G290" s="55" t="s">
        <v>50</v>
      </c>
      <c r="H290" s="45" t="s">
        <v>894</v>
      </c>
      <c r="I290" s="45" t="s">
        <v>52</v>
      </c>
      <c r="J290" s="45" t="s">
        <v>65</v>
      </c>
      <c r="K290" s="55" t="s">
        <v>66</v>
      </c>
      <c r="L290" s="55" t="s">
        <v>317</v>
      </c>
      <c r="M290" s="55" t="s">
        <v>491</v>
      </c>
      <c r="N290" s="55" t="s">
        <v>895</v>
      </c>
      <c r="O290" s="55"/>
      <c r="P290" s="55" t="s">
        <v>67</v>
      </c>
      <c r="Q290" s="55" t="s">
        <v>57</v>
      </c>
      <c r="R290" s="55"/>
      <c r="S290" s="56" t="s">
        <v>58</v>
      </c>
      <c r="T290" s="55" t="str">
        <f>IF(ISNUMBER(SEARCH(",",N290)),"Y","N")</f>
        <v>N</v>
      </c>
      <c r="U290" s="57">
        <v>21.829000000000001</v>
      </c>
      <c r="V290" s="57" t="s">
        <v>101</v>
      </c>
      <c r="W290" s="55"/>
      <c r="X290" s="54" t="s">
        <v>4299</v>
      </c>
      <c r="Y290" s="60"/>
      <c r="Z290" s="3" t="s">
        <v>61</v>
      </c>
      <c r="AA290" s="1" t="s">
        <v>893</v>
      </c>
      <c r="AB290" s="1"/>
      <c r="AC290" s="1"/>
      <c r="AD290" s="3" t="s">
        <v>62</v>
      </c>
      <c r="AE290" s="3" t="s">
        <v>155</v>
      </c>
      <c r="AF290" s="3"/>
      <c r="AG290" s="3" t="s">
        <v>64</v>
      </c>
      <c r="AH290" s="2">
        <v>100</v>
      </c>
      <c r="AI290" s="3"/>
      <c r="AJ290" s="3"/>
      <c r="AK290" s="3"/>
      <c r="AL290" s="3"/>
      <c r="AM290" s="3"/>
      <c r="AN290" s="3"/>
      <c r="AO290" s="3"/>
      <c r="AP290" s="3"/>
      <c r="AQ290" s="3"/>
      <c r="AR290" s="3"/>
      <c r="AS290" s="3"/>
      <c r="AT290" s="3"/>
      <c r="AU290" s="3"/>
      <c r="AV290" s="3"/>
      <c r="AW290" s="3"/>
      <c r="AX290" s="3"/>
      <c r="AY290" s="3"/>
      <c r="AZ290" s="4" t="s">
        <v>888</v>
      </c>
      <c r="BA290" s="3"/>
      <c r="BB290" s="1"/>
      <c r="BC290" s="1"/>
    </row>
    <row r="291" spans="1:55" s="78" customFormat="1" ht="15" customHeight="1" x14ac:dyDescent="0.25">
      <c r="A291" s="52" t="s">
        <v>4300</v>
      </c>
      <c r="B291" s="34" t="s">
        <v>59</v>
      </c>
      <c r="C291" s="53">
        <v>2026</v>
      </c>
      <c r="D291" s="53">
        <v>2026</v>
      </c>
      <c r="E291" s="54" t="s">
        <v>3110</v>
      </c>
      <c r="F291" s="55" t="s">
        <v>50</v>
      </c>
      <c r="G291" s="55" t="s">
        <v>50</v>
      </c>
      <c r="H291" s="45" t="s">
        <v>894</v>
      </c>
      <c r="I291" s="45" t="s">
        <v>52</v>
      </c>
      <c r="J291" s="45" t="s">
        <v>65</v>
      </c>
      <c r="K291" s="55" t="s">
        <v>68</v>
      </c>
      <c r="L291" s="55" t="s">
        <v>317</v>
      </c>
      <c r="M291" s="55" t="s">
        <v>491</v>
      </c>
      <c r="N291" s="55" t="s">
        <v>895</v>
      </c>
      <c r="O291" s="55"/>
      <c r="P291" s="55" t="s">
        <v>69</v>
      </c>
      <c r="Q291" s="55" t="s">
        <v>57</v>
      </c>
      <c r="R291" s="55"/>
      <c r="S291" s="56" t="s">
        <v>58</v>
      </c>
      <c r="T291" s="55" t="s">
        <v>81</v>
      </c>
      <c r="U291" s="57">
        <v>6.2370000000000001</v>
      </c>
      <c r="V291" s="57" t="s">
        <v>101</v>
      </c>
      <c r="W291" s="55"/>
      <c r="X291" s="54" t="s">
        <v>4300</v>
      </c>
      <c r="Y291" s="60"/>
      <c r="Z291" s="3" t="s">
        <v>61</v>
      </c>
      <c r="AA291" s="1" t="s">
        <v>893</v>
      </c>
      <c r="AB291" s="1"/>
      <c r="AC291" s="1"/>
      <c r="AD291" s="3" t="s">
        <v>62</v>
      </c>
      <c r="AE291" s="3" t="s">
        <v>155</v>
      </c>
      <c r="AF291" s="3"/>
      <c r="AG291" s="3" t="s">
        <v>64</v>
      </c>
      <c r="AH291" s="2">
        <v>100</v>
      </c>
      <c r="AI291" s="3"/>
      <c r="AJ291" s="3"/>
      <c r="AK291" s="3"/>
      <c r="AL291" s="3"/>
      <c r="AM291" s="3"/>
      <c r="AN291" s="3"/>
      <c r="AO291" s="3"/>
      <c r="AP291" s="3"/>
      <c r="AQ291" s="3"/>
      <c r="AR291" s="3"/>
      <c r="AS291" s="3"/>
      <c r="AT291" s="3"/>
      <c r="AU291" s="3"/>
      <c r="AV291" s="3"/>
      <c r="AW291" s="3"/>
      <c r="AX291" s="3"/>
      <c r="AY291" s="3"/>
      <c r="AZ291" s="4" t="s">
        <v>888</v>
      </c>
      <c r="BA291" s="3"/>
      <c r="BB291" s="1"/>
      <c r="BC291" s="1"/>
    </row>
    <row r="292" spans="1:55" s="78" customFormat="1" ht="15" customHeight="1" x14ac:dyDescent="0.25">
      <c r="A292" s="52" t="s">
        <v>4301</v>
      </c>
      <c r="B292" s="34" t="s">
        <v>59</v>
      </c>
      <c r="C292" s="53">
        <v>2026</v>
      </c>
      <c r="D292" s="53">
        <v>2026</v>
      </c>
      <c r="E292" s="54" t="s">
        <v>3110</v>
      </c>
      <c r="F292" s="55" t="s">
        <v>50</v>
      </c>
      <c r="G292" s="55" t="s">
        <v>50</v>
      </c>
      <c r="H292" s="45" t="s">
        <v>894</v>
      </c>
      <c r="I292" s="45" t="s">
        <v>52</v>
      </c>
      <c r="J292" s="45" t="s">
        <v>65</v>
      </c>
      <c r="K292" s="56" t="s">
        <v>890</v>
      </c>
      <c r="L292" s="55" t="s">
        <v>317</v>
      </c>
      <c r="M292" s="55"/>
      <c r="N292" s="56" t="s">
        <v>895</v>
      </c>
      <c r="O292" s="56"/>
      <c r="P292" s="55" t="s">
        <v>892</v>
      </c>
      <c r="Q292" s="55" t="s">
        <v>57</v>
      </c>
      <c r="R292" s="55"/>
      <c r="S292" s="56" t="s">
        <v>58</v>
      </c>
      <c r="T292" s="55" t="s">
        <v>81</v>
      </c>
      <c r="U292" s="57">
        <v>-999</v>
      </c>
      <c r="V292" s="57" t="s">
        <v>59</v>
      </c>
      <c r="W292" s="55"/>
      <c r="X292" s="54" t="s">
        <v>4301</v>
      </c>
      <c r="Y292" s="60"/>
      <c r="Z292" s="1" t="s">
        <v>61</v>
      </c>
      <c r="AA292" s="1" t="s">
        <v>893</v>
      </c>
      <c r="AB292" s="1"/>
      <c r="AC292" s="1"/>
      <c r="AD292" s="3" t="s">
        <v>62</v>
      </c>
      <c r="AE292" s="2" t="s">
        <v>155</v>
      </c>
      <c r="AF292" s="1"/>
      <c r="AG292" s="3" t="s">
        <v>64</v>
      </c>
      <c r="AH292" s="2">
        <v>100</v>
      </c>
      <c r="AI292" s="1"/>
      <c r="AJ292" s="1"/>
      <c r="AK292" s="1"/>
      <c r="AL292" s="1"/>
      <c r="AM292" s="1"/>
      <c r="AN292" s="1"/>
      <c r="AO292" s="1"/>
      <c r="AP292" s="1"/>
      <c r="AQ292" s="1"/>
      <c r="AR292" s="1"/>
      <c r="AS292" s="1"/>
      <c r="AT292" s="1"/>
      <c r="AU292" s="1"/>
      <c r="AV292" s="1"/>
      <c r="AW292" s="1"/>
      <c r="AX292" s="1"/>
      <c r="AY292" s="1"/>
      <c r="AZ292" s="4" t="s">
        <v>888</v>
      </c>
      <c r="BA292" s="1"/>
      <c r="BB292" s="1"/>
      <c r="BC292" s="1"/>
    </row>
    <row r="293" spans="1:55" s="78" customFormat="1" ht="15" customHeight="1" x14ac:dyDescent="0.25">
      <c r="A293" s="52" t="s">
        <v>4302</v>
      </c>
      <c r="B293" s="34" t="s">
        <v>59</v>
      </c>
      <c r="C293" s="53">
        <v>2026</v>
      </c>
      <c r="D293" s="53">
        <v>2026</v>
      </c>
      <c r="E293" s="54" t="s">
        <v>3110</v>
      </c>
      <c r="F293" s="55" t="s">
        <v>50</v>
      </c>
      <c r="G293" s="55" t="s">
        <v>50</v>
      </c>
      <c r="H293" s="45" t="s">
        <v>894</v>
      </c>
      <c r="I293" s="45" t="s">
        <v>52</v>
      </c>
      <c r="J293" s="56"/>
      <c r="K293" s="56" t="s">
        <v>194</v>
      </c>
      <c r="L293" s="55" t="s">
        <v>317</v>
      </c>
      <c r="M293" s="55"/>
      <c r="N293" s="56" t="s">
        <v>895</v>
      </c>
      <c r="O293" s="56"/>
      <c r="P293" s="55" t="s">
        <v>195</v>
      </c>
      <c r="Q293" s="55" t="s">
        <v>57</v>
      </c>
      <c r="R293" s="55"/>
      <c r="S293" s="56" t="s">
        <v>58</v>
      </c>
      <c r="T293" s="55" t="s">
        <v>81</v>
      </c>
      <c r="U293" s="57">
        <v>-999</v>
      </c>
      <c r="V293" s="57" t="s">
        <v>59</v>
      </c>
      <c r="W293" s="55"/>
      <c r="X293" s="54" t="s">
        <v>4302</v>
      </c>
      <c r="Y293" s="60"/>
      <c r="Z293" s="1" t="s">
        <v>61</v>
      </c>
      <c r="AA293" s="1" t="s">
        <v>893</v>
      </c>
      <c r="AB293" s="1"/>
      <c r="AC293" s="1"/>
      <c r="AD293" s="3" t="s">
        <v>62</v>
      </c>
      <c r="AE293" s="2" t="s">
        <v>155</v>
      </c>
      <c r="AF293" s="1"/>
      <c r="AG293" s="3" t="s">
        <v>64</v>
      </c>
      <c r="AH293" s="2">
        <v>100</v>
      </c>
      <c r="AI293" s="1"/>
      <c r="AJ293" s="1"/>
      <c r="AK293" s="1"/>
      <c r="AL293" s="1"/>
      <c r="AM293" s="1"/>
      <c r="AN293" s="1"/>
      <c r="AO293" s="1"/>
      <c r="AP293" s="1"/>
      <c r="AQ293" s="1"/>
      <c r="AR293" s="1"/>
      <c r="AS293" s="1"/>
      <c r="AT293" s="1"/>
      <c r="AU293" s="1"/>
      <c r="AV293" s="1"/>
      <c r="AW293" s="1"/>
      <c r="AX293" s="1"/>
      <c r="AY293" s="1"/>
      <c r="AZ293" s="4" t="s">
        <v>888</v>
      </c>
      <c r="BA293" s="1"/>
      <c r="BB293" s="1"/>
      <c r="BC293" s="1"/>
    </row>
    <row r="294" spans="1:55" s="78" customFormat="1" ht="15" customHeight="1" x14ac:dyDescent="0.25">
      <c r="A294" s="52" t="s">
        <v>4303</v>
      </c>
      <c r="B294" s="34" t="s">
        <v>59</v>
      </c>
      <c r="C294" s="53">
        <v>2026</v>
      </c>
      <c r="D294" s="53">
        <v>2026</v>
      </c>
      <c r="E294" s="54" t="s">
        <v>3110</v>
      </c>
      <c r="F294" s="55" t="s">
        <v>50</v>
      </c>
      <c r="G294" s="55" t="s">
        <v>50</v>
      </c>
      <c r="H294" s="45" t="s">
        <v>894</v>
      </c>
      <c r="I294" s="45" t="s">
        <v>52</v>
      </c>
      <c r="J294" s="56"/>
      <c r="K294" s="55" t="s">
        <v>198</v>
      </c>
      <c r="L294" s="55" t="s">
        <v>317</v>
      </c>
      <c r="M294" s="55"/>
      <c r="N294" s="56" t="s">
        <v>895</v>
      </c>
      <c r="O294" s="56"/>
      <c r="P294" s="55" t="s">
        <v>199</v>
      </c>
      <c r="Q294" s="55" t="s">
        <v>57</v>
      </c>
      <c r="R294" s="55"/>
      <c r="S294" s="56" t="s">
        <v>58</v>
      </c>
      <c r="T294" s="55" t="s">
        <v>81</v>
      </c>
      <c r="U294" s="57">
        <v>-999</v>
      </c>
      <c r="V294" s="57" t="s">
        <v>59</v>
      </c>
      <c r="W294" s="55"/>
      <c r="X294" s="54" t="s">
        <v>4303</v>
      </c>
      <c r="Y294" s="60"/>
      <c r="Z294" s="1" t="s">
        <v>61</v>
      </c>
      <c r="AA294" s="1" t="s">
        <v>893</v>
      </c>
      <c r="AB294" s="1"/>
      <c r="AC294" s="1"/>
      <c r="AD294" s="3" t="s">
        <v>62</v>
      </c>
      <c r="AE294" s="2" t="s">
        <v>155</v>
      </c>
      <c r="AF294" s="1"/>
      <c r="AG294" s="3" t="s">
        <v>64</v>
      </c>
      <c r="AH294" s="2">
        <v>100</v>
      </c>
      <c r="AI294" s="1"/>
      <c r="AJ294" s="1"/>
      <c r="AK294" s="1"/>
      <c r="AL294" s="1"/>
      <c r="AM294" s="1"/>
      <c r="AN294" s="1"/>
      <c r="AO294" s="1"/>
      <c r="AP294" s="1"/>
      <c r="AQ294" s="1"/>
      <c r="AR294" s="1"/>
      <c r="AS294" s="1"/>
      <c r="AT294" s="1"/>
      <c r="AU294" s="1"/>
      <c r="AV294" s="1"/>
      <c r="AW294" s="1"/>
      <c r="AX294" s="1"/>
      <c r="AY294" s="1"/>
      <c r="AZ294" s="4" t="s">
        <v>888</v>
      </c>
      <c r="BA294" s="1"/>
      <c r="BB294" s="1"/>
      <c r="BC294" s="1"/>
    </row>
    <row r="295" spans="1:55" s="78" customFormat="1" ht="15" customHeight="1" x14ac:dyDescent="0.25">
      <c r="A295" s="52" t="s">
        <v>4304</v>
      </c>
      <c r="B295" s="34" t="s">
        <v>59</v>
      </c>
      <c r="C295" s="53">
        <v>2026</v>
      </c>
      <c r="D295" s="53">
        <v>2026</v>
      </c>
      <c r="E295" s="54" t="s">
        <v>3111</v>
      </c>
      <c r="F295" s="55" t="s">
        <v>50</v>
      </c>
      <c r="G295" s="55" t="s">
        <v>50</v>
      </c>
      <c r="H295" s="45" t="s">
        <v>897</v>
      </c>
      <c r="I295" s="56" t="s">
        <v>78</v>
      </c>
      <c r="J295" s="56"/>
      <c r="K295" s="55" t="s">
        <v>74</v>
      </c>
      <c r="L295" s="55"/>
      <c r="M295" s="55"/>
      <c r="N295" s="56" t="s">
        <v>181</v>
      </c>
      <c r="O295" s="56"/>
      <c r="P295" s="55" t="s">
        <v>75</v>
      </c>
      <c r="Q295" s="55" t="s">
        <v>57</v>
      </c>
      <c r="R295" s="55"/>
      <c r="S295" s="56" t="s">
        <v>58</v>
      </c>
      <c r="T295" s="55" t="s">
        <v>81</v>
      </c>
      <c r="U295" s="57">
        <v>-999</v>
      </c>
      <c r="V295" s="57" t="s">
        <v>59</v>
      </c>
      <c r="W295" s="55" t="s">
        <v>2797</v>
      </c>
      <c r="X295" s="54" t="s">
        <v>4304</v>
      </c>
      <c r="Y295" s="52"/>
      <c r="Z295" s="1" t="s">
        <v>2005</v>
      </c>
      <c r="AA295" s="1" t="s">
        <v>898</v>
      </c>
      <c r="AB295" s="1"/>
      <c r="AC295" s="1"/>
      <c r="AD295" s="3" t="s">
        <v>62</v>
      </c>
      <c r="AE295" s="2" t="s">
        <v>83</v>
      </c>
      <c r="AF295" s="1"/>
      <c r="AG295" s="1" t="s">
        <v>899</v>
      </c>
      <c r="AH295" s="58">
        <v>100</v>
      </c>
      <c r="AI295" s="1"/>
      <c r="AJ295" s="1"/>
      <c r="AK295" s="1"/>
      <c r="AL295" s="1"/>
      <c r="AM295" s="1"/>
      <c r="AN295" s="1"/>
      <c r="AO295" s="1"/>
      <c r="AP295" s="1"/>
      <c r="AQ295" s="1"/>
      <c r="AR295" s="1"/>
      <c r="AS295" s="1"/>
      <c r="AT295" s="1"/>
      <c r="AU295" s="1"/>
      <c r="AV295" s="1"/>
      <c r="AW295" s="1"/>
      <c r="AX295" s="1"/>
      <c r="AY295" s="1"/>
      <c r="AZ295" s="4" t="s">
        <v>896</v>
      </c>
      <c r="BA295" s="1"/>
      <c r="BB295" s="1"/>
      <c r="BC295" s="1"/>
    </row>
    <row r="296" spans="1:55" s="78" customFormat="1" ht="15" customHeight="1" x14ac:dyDescent="0.25">
      <c r="A296" s="52" t="s">
        <v>4305</v>
      </c>
      <c r="B296" s="34" t="s">
        <v>59</v>
      </c>
      <c r="C296" s="53">
        <v>2026</v>
      </c>
      <c r="D296" s="53">
        <v>2026</v>
      </c>
      <c r="E296" s="54" t="s">
        <v>3111</v>
      </c>
      <c r="F296" s="55" t="s">
        <v>50</v>
      </c>
      <c r="G296" s="55" t="s">
        <v>50</v>
      </c>
      <c r="H296" s="45" t="s">
        <v>897</v>
      </c>
      <c r="I296" s="56" t="s">
        <v>78</v>
      </c>
      <c r="J296" s="55"/>
      <c r="K296" s="55" t="s">
        <v>71</v>
      </c>
      <c r="L296" s="55"/>
      <c r="M296" s="55"/>
      <c r="N296" s="45" t="s">
        <v>181</v>
      </c>
      <c r="O296" s="56"/>
      <c r="P296" s="55" t="s">
        <v>73</v>
      </c>
      <c r="Q296" s="55" t="s">
        <v>57</v>
      </c>
      <c r="R296" s="62"/>
      <c r="S296" s="55" t="s">
        <v>58</v>
      </c>
      <c r="T296" s="55" t="s">
        <v>81</v>
      </c>
      <c r="U296" s="57">
        <v>1.1339999999999999</v>
      </c>
      <c r="V296" s="57" t="s">
        <v>101</v>
      </c>
      <c r="W296" s="55"/>
      <c r="X296" s="54" t="s">
        <v>4305</v>
      </c>
      <c r="Y296" s="52"/>
      <c r="Z296" s="3" t="s">
        <v>2005</v>
      </c>
      <c r="AA296" s="3" t="s">
        <v>898</v>
      </c>
      <c r="AB296" s="3"/>
      <c r="AC296" s="3"/>
      <c r="AD296" s="3" t="s">
        <v>62</v>
      </c>
      <c r="AE296" s="3" t="s">
        <v>83</v>
      </c>
      <c r="AF296" s="2"/>
      <c r="AG296" s="1" t="s">
        <v>899</v>
      </c>
      <c r="AH296" s="58">
        <v>100</v>
      </c>
      <c r="AI296" s="3"/>
      <c r="AJ296" s="3"/>
      <c r="AK296" s="3"/>
      <c r="AL296" s="3"/>
      <c r="AM296" s="3"/>
      <c r="AN296" s="3"/>
      <c r="AO296" s="3"/>
      <c r="AP296" s="3"/>
      <c r="AQ296" s="3"/>
      <c r="AR296" s="3"/>
      <c r="AS296" s="3"/>
      <c r="AT296" s="3"/>
      <c r="AU296" s="1"/>
      <c r="AV296" s="1"/>
      <c r="AW296" s="1"/>
      <c r="AX296" s="1"/>
      <c r="AY296" s="1"/>
      <c r="AZ296" s="4" t="s">
        <v>896</v>
      </c>
      <c r="BA296" s="5"/>
      <c r="BB296" s="1"/>
      <c r="BC296" s="1"/>
    </row>
    <row r="297" spans="1:55" s="76" customFormat="1" ht="15" customHeight="1" x14ac:dyDescent="0.25">
      <c r="A297" s="52" t="s">
        <v>4306</v>
      </c>
      <c r="B297" s="34" t="s">
        <v>59</v>
      </c>
      <c r="C297" s="53">
        <v>2026</v>
      </c>
      <c r="D297" s="53">
        <v>2026</v>
      </c>
      <c r="E297" s="54" t="s">
        <v>3112</v>
      </c>
      <c r="F297" s="55" t="s">
        <v>50</v>
      </c>
      <c r="G297" s="55" t="s">
        <v>50</v>
      </c>
      <c r="H297" s="45" t="s">
        <v>900</v>
      </c>
      <c r="I297" s="56" t="s">
        <v>52</v>
      </c>
      <c r="J297" s="56"/>
      <c r="K297" s="55" t="s">
        <v>74</v>
      </c>
      <c r="L297" s="55" t="str">
        <f>IF(K297="Mines and Quarries","Mine","")</f>
        <v/>
      </c>
      <c r="M297" s="55"/>
      <c r="N297" s="55" t="s">
        <v>110</v>
      </c>
      <c r="O297" s="56" t="s">
        <v>296</v>
      </c>
      <c r="P297" s="55" t="s">
        <v>75</v>
      </c>
      <c r="Q297" s="56" t="s">
        <v>57</v>
      </c>
      <c r="R297" s="55"/>
      <c r="S297" s="56" t="s">
        <v>58</v>
      </c>
      <c r="T297" s="55" t="str">
        <f>IF(ISNUMBER(SEARCH(",",N297)),"Y","N")</f>
        <v>N</v>
      </c>
      <c r="U297" s="57">
        <v>-999</v>
      </c>
      <c r="V297" s="57" t="s">
        <v>59</v>
      </c>
      <c r="W297" s="55" t="s">
        <v>2797</v>
      </c>
      <c r="X297" s="54" t="s">
        <v>4306</v>
      </c>
      <c r="Y297" s="52"/>
      <c r="Z297" s="3" t="s">
        <v>2005</v>
      </c>
      <c r="AA297" s="3" t="s">
        <v>898</v>
      </c>
      <c r="AB297" s="3"/>
      <c r="AC297" s="3"/>
      <c r="AD297" s="3" t="s">
        <v>62</v>
      </c>
      <c r="AE297" s="3" t="s">
        <v>83</v>
      </c>
      <c r="AF297" s="3"/>
      <c r="AG297" s="1" t="s">
        <v>899</v>
      </c>
      <c r="AH297" s="58">
        <v>100</v>
      </c>
      <c r="AI297" s="3"/>
      <c r="AJ297" s="3"/>
      <c r="AK297" s="3"/>
      <c r="AL297" s="3"/>
      <c r="AM297" s="3"/>
      <c r="AN297" s="3"/>
      <c r="AO297" s="3"/>
      <c r="AP297" s="3"/>
      <c r="AQ297" s="3"/>
      <c r="AR297" s="3"/>
      <c r="AS297" s="3"/>
      <c r="AT297" s="3"/>
      <c r="AU297" s="3"/>
      <c r="AV297" s="3"/>
      <c r="AW297" s="3"/>
      <c r="AX297" s="3"/>
      <c r="AY297" s="3"/>
      <c r="AZ297" s="4" t="s">
        <v>896</v>
      </c>
      <c r="BA297" s="3"/>
      <c r="BB297" s="1"/>
      <c r="BC297" s="1"/>
    </row>
    <row r="298" spans="1:55" s="78" customFormat="1" ht="15" customHeight="1" x14ac:dyDescent="0.25">
      <c r="A298" s="52" t="s">
        <v>4307</v>
      </c>
      <c r="B298" s="34" t="s">
        <v>59</v>
      </c>
      <c r="C298" s="53">
        <v>2026</v>
      </c>
      <c r="D298" s="53">
        <v>2026</v>
      </c>
      <c r="E298" s="54" t="s">
        <v>3112</v>
      </c>
      <c r="F298" s="55" t="s">
        <v>50</v>
      </c>
      <c r="G298" s="55" t="s">
        <v>50</v>
      </c>
      <c r="H298" s="45" t="s">
        <v>900</v>
      </c>
      <c r="I298" s="56" t="s">
        <v>52</v>
      </c>
      <c r="J298" s="56"/>
      <c r="K298" s="55" t="s">
        <v>71</v>
      </c>
      <c r="L298" s="55" t="str">
        <f>IF(K298="Mine or Quarry","Mine","")</f>
        <v/>
      </c>
      <c r="M298" s="55"/>
      <c r="N298" s="55" t="s">
        <v>110</v>
      </c>
      <c r="O298" s="45" t="s">
        <v>296</v>
      </c>
      <c r="P298" s="55" t="s">
        <v>73</v>
      </c>
      <c r="Q298" s="55" t="s">
        <v>57</v>
      </c>
      <c r="R298" s="55"/>
      <c r="S298" s="56" t="s">
        <v>58</v>
      </c>
      <c r="T298" s="55" t="str">
        <f>IF(ISNUMBER(SEARCH(",",N298)),"Y","N")</f>
        <v>N</v>
      </c>
      <c r="U298" s="57">
        <v>1.1339999999999999</v>
      </c>
      <c r="V298" s="57" t="s">
        <v>101</v>
      </c>
      <c r="W298" s="55"/>
      <c r="X298" s="54" t="s">
        <v>4307</v>
      </c>
      <c r="Y298" s="52"/>
      <c r="Z298" s="3" t="s">
        <v>2005</v>
      </c>
      <c r="AA298" s="3" t="s">
        <v>898</v>
      </c>
      <c r="AB298" s="3"/>
      <c r="AC298" s="3"/>
      <c r="AD298" s="3" t="s">
        <v>62</v>
      </c>
      <c r="AE298" s="3" t="s">
        <v>83</v>
      </c>
      <c r="AF298" s="3"/>
      <c r="AG298" s="1" t="s">
        <v>899</v>
      </c>
      <c r="AH298" s="58">
        <v>100</v>
      </c>
      <c r="AI298" s="3"/>
      <c r="AJ298" s="3"/>
      <c r="AK298" s="3"/>
      <c r="AL298" s="3"/>
      <c r="AM298" s="1"/>
      <c r="AN298" s="3"/>
      <c r="AO298" s="3"/>
      <c r="AP298" s="3"/>
      <c r="AQ298" s="3"/>
      <c r="AR298" s="3"/>
      <c r="AS298" s="3"/>
      <c r="AT298" s="3"/>
      <c r="AU298" s="3"/>
      <c r="AV298" s="3"/>
      <c r="AW298" s="3"/>
      <c r="AX298" s="3"/>
      <c r="AY298" s="3"/>
      <c r="AZ298" s="4" t="s">
        <v>896</v>
      </c>
      <c r="BA298" s="3"/>
      <c r="BB298" s="1"/>
      <c r="BC298" s="1"/>
    </row>
    <row r="299" spans="1:55" s="78" customFormat="1" ht="15" customHeight="1" x14ac:dyDescent="0.25">
      <c r="A299" s="52" t="s">
        <v>4308</v>
      </c>
      <c r="B299" s="34" t="s">
        <v>59</v>
      </c>
      <c r="C299" s="53">
        <v>2026</v>
      </c>
      <c r="D299" s="53">
        <v>2026</v>
      </c>
      <c r="E299" s="54" t="s">
        <v>3113</v>
      </c>
      <c r="F299" s="55" t="s">
        <v>50</v>
      </c>
      <c r="G299" s="55" t="s">
        <v>50</v>
      </c>
      <c r="H299" s="45" t="s">
        <v>901</v>
      </c>
      <c r="I299" s="56" t="s">
        <v>78</v>
      </c>
      <c r="J299" s="56" t="s">
        <v>165</v>
      </c>
      <c r="K299" s="55" t="s">
        <v>597</v>
      </c>
      <c r="L299" s="55" t="s">
        <v>88</v>
      </c>
      <c r="M299" s="55"/>
      <c r="N299" s="55" t="s">
        <v>110</v>
      </c>
      <c r="O299" s="55"/>
      <c r="P299" s="56" t="s">
        <v>598</v>
      </c>
      <c r="Q299" s="55" t="s">
        <v>57</v>
      </c>
      <c r="R299" s="55"/>
      <c r="S299" s="56" t="s">
        <v>81</v>
      </c>
      <c r="T299" s="55" t="str">
        <f>IF(ISNUMBER(SEARCH(",",N299)),"Y","N")</f>
        <v>N</v>
      </c>
      <c r="U299" s="57">
        <v>2000000</v>
      </c>
      <c r="V299" s="57" t="s">
        <v>101</v>
      </c>
      <c r="W299" s="55" t="s">
        <v>2319</v>
      </c>
      <c r="X299" s="54" t="s">
        <v>4308</v>
      </c>
      <c r="Y299" s="52"/>
      <c r="Z299" s="3" t="s">
        <v>2005</v>
      </c>
      <c r="AA299" s="3" t="s">
        <v>902</v>
      </c>
      <c r="AB299" s="3"/>
      <c r="AC299" s="3"/>
      <c r="AD299" s="3" t="s">
        <v>62</v>
      </c>
      <c r="AE299" s="3" t="s">
        <v>251</v>
      </c>
      <c r="AF299" s="3"/>
      <c r="AG299" s="3" t="s">
        <v>903</v>
      </c>
      <c r="AH299" s="58">
        <v>100</v>
      </c>
      <c r="AI299" s="3"/>
      <c r="AJ299" s="3"/>
      <c r="AK299" s="3"/>
      <c r="AL299" s="3"/>
      <c r="AM299" s="3"/>
      <c r="AN299" s="3"/>
      <c r="AO299" s="3"/>
      <c r="AP299" s="3"/>
      <c r="AQ299" s="3"/>
      <c r="AR299" s="3"/>
      <c r="AS299" s="3"/>
      <c r="AT299" s="3"/>
      <c r="AU299" s="3"/>
      <c r="AV299" s="3"/>
      <c r="AW299" s="3"/>
      <c r="AX299" s="3"/>
      <c r="AY299" s="3"/>
      <c r="AZ299" s="1" t="s">
        <v>2597</v>
      </c>
      <c r="BA299" s="3" t="s">
        <v>3843</v>
      </c>
      <c r="BB299" s="1"/>
      <c r="BC299" s="1"/>
    </row>
    <row r="300" spans="1:55" s="76" customFormat="1" ht="15" customHeight="1" x14ac:dyDescent="0.25">
      <c r="A300" s="52" t="s">
        <v>4309</v>
      </c>
      <c r="B300" s="34" t="s">
        <v>59</v>
      </c>
      <c r="C300" s="53">
        <v>2026</v>
      </c>
      <c r="D300" s="53">
        <v>2026</v>
      </c>
      <c r="E300" s="54" t="s">
        <v>3114</v>
      </c>
      <c r="F300" s="55" t="s">
        <v>50</v>
      </c>
      <c r="G300" s="55" t="s">
        <v>50</v>
      </c>
      <c r="H300" s="45" t="s">
        <v>905</v>
      </c>
      <c r="I300" s="56" t="s">
        <v>52</v>
      </c>
      <c r="J300" s="56" t="s">
        <v>291</v>
      </c>
      <c r="K300" s="55" t="s">
        <v>291</v>
      </c>
      <c r="L300" s="55"/>
      <c r="M300" s="55"/>
      <c r="N300" s="56" t="s">
        <v>300</v>
      </c>
      <c r="O300" s="55" t="s">
        <v>5365</v>
      </c>
      <c r="P300" s="56" t="s">
        <v>89</v>
      </c>
      <c r="Q300" s="56" t="s">
        <v>89</v>
      </c>
      <c r="R300" s="55"/>
      <c r="S300" s="56" t="s">
        <v>58</v>
      </c>
      <c r="T300" s="55" t="s">
        <v>58</v>
      </c>
      <c r="U300" s="57">
        <v>577000</v>
      </c>
      <c r="V300" s="57" t="s">
        <v>101</v>
      </c>
      <c r="W300" s="55"/>
      <c r="X300" s="54" t="s">
        <v>4309</v>
      </c>
      <c r="Y300" s="52"/>
      <c r="Z300" s="3" t="s">
        <v>61</v>
      </c>
      <c r="AA300" s="3" t="s">
        <v>335</v>
      </c>
      <c r="AB300" s="3"/>
      <c r="AC300" s="3"/>
      <c r="AD300" s="3" t="s">
        <v>62</v>
      </c>
      <c r="AE300" s="3" t="s">
        <v>336</v>
      </c>
      <c r="AF300" s="3"/>
      <c r="AG300" s="3" t="s">
        <v>906</v>
      </c>
      <c r="AH300" s="58">
        <v>100</v>
      </c>
      <c r="AI300" s="3"/>
      <c r="AJ300" s="3"/>
      <c r="AK300" s="3"/>
      <c r="AL300" s="3"/>
      <c r="AM300" s="3"/>
      <c r="AN300" s="3"/>
      <c r="AO300" s="3"/>
      <c r="AP300" s="3"/>
      <c r="AQ300" s="3"/>
      <c r="AR300" s="3"/>
      <c r="AS300" s="3"/>
      <c r="AT300" s="3"/>
      <c r="AU300" s="3"/>
      <c r="AV300" s="3"/>
      <c r="AW300" s="3"/>
      <c r="AX300" s="3"/>
      <c r="AY300" s="3"/>
      <c r="AZ300" s="4" t="s">
        <v>904</v>
      </c>
      <c r="BA300" s="3"/>
      <c r="BB300" s="56"/>
      <c r="BC300" s="56"/>
    </row>
    <row r="301" spans="1:55" s="78" customFormat="1" ht="15" customHeight="1" x14ac:dyDescent="0.25">
      <c r="A301" s="52" t="s">
        <v>4310</v>
      </c>
      <c r="B301" s="34" t="s">
        <v>59</v>
      </c>
      <c r="C301" s="53">
        <v>2026</v>
      </c>
      <c r="D301" s="53">
        <v>2026</v>
      </c>
      <c r="E301" s="54" t="s">
        <v>3114</v>
      </c>
      <c r="F301" s="55" t="s">
        <v>50</v>
      </c>
      <c r="G301" s="55" t="s">
        <v>50</v>
      </c>
      <c r="H301" s="45" t="s">
        <v>905</v>
      </c>
      <c r="I301" s="45" t="s">
        <v>52</v>
      </c>
      <c r="J301" s="56"/>
      <c r="K301" s="45" t="s">
        <v>285</v>
      </c>
      <c r="L301" s="55"/>
      <c r="M301" s="55"/>
      <c r="N301" s="45" t="s">
        <v>908</v>
      </c>
      <c r="O301" s="45"/>
      <c r="P301" s="55" t="s">
        <v>89</v>
      </c>
      <c r="Q301" s="55" t="s">
        <v>89</v>
      </c>
      <c r="R301" s="55"/>
      <c r="S301" s="56" t="s">
        <v>58</v>
      </c>
      <c r="T301" s="55" t="s">
        <v>81</v>
      </c>
      <c r="U301" s="57">
        <v>24500</v>
      </c>
      <c r="V301" s="57" t="s">
        <v>101</v>
      </c>
      <c r="W301" s="55"/>
      <c r="X301" s="54" t="s">
        <v>4310</v>
      </c>
      <c r="Y301" s="52"/>
      <c r="Z301" s="1" t="s">
        <v>61</v>
      </c>
      <c r="AA301" s="65" t="s">
        <v>335</v>
      </c>
      <c r="AB301" s="65"/>
      <c r="AC301" s="65"/>
      <c r="AD301" s="3" t="s">
        <v>62</v>
      </c>
      <c r="AE301" s="2" t="s">
        <v>336</v>
      </c>
      <c r="AF301" s="2"/>
      <c r="AG301" s="3" t="s">
        <v>906</v>
      </c>
      <c r="AH301" s="2">
        <v>100</v>
      </c>
      <c r="AI301" s="2"/>
      <c r="AJ301" s="2"/>
      <c r="AK301" s="2"/>
      <c r="AL301" s="2"/>
      <c r="AM301" s="2"/>
      <c r="AN301" s="2"/>
      <c r="AO301" s="2"/>
      <c r="AP301" s="2"/>
      <c r="AQ301" s="2"/>
      <c r="AR301" s="2"/>
      <c r="AS301" s="2"/>
      <c r="AT301" s="2"/>
      <c r="AU301" s="2"/>
      <c r="AV301" s="2"/>
      <c r="AW301" s="2"/>
      <c r="AX301" s="2"/>
      <c r="AY301" s="2"/>
      <c r="AZ301" s="4" t="s">
        <v>907</v>
      </c>
      <c r="BA301" s="2"/>
      <c r="BB301" s="1"/>
      <c r="BC301" s="1"/>
    </row>
    <row r="302" spans="1:55" s="78" customFormat="1" ht="15" customHeight="1" x14ac:dyDescent="0.25">
      <c r="A302" s="52" t="s">
        <v>4311</v>
      </c>
      <c r="B302" s="34" t="s">
        <v>59</v>
      </c>
      <c r="C302" s="53">
        <v>2026</v>
      </c>
      <c r="D302" s="53">
        <v>2026</v>
      </c>
      <c r="E302" s="54" t="s">
        <v>3115</v>
      </c>
      <c r="F302" s="55" t="s">
        <v>50</v>
      </c>
      <c r="G302" s="55" t="s">
        <v>50</v>
      </c>
      <c r="H302" s="45" t="s">
        <v>909</v>
      </c>
      <c r="I302" s="56" t="s">
        <v>78</v>
      </c>
      <c r="J302" s="56" t="s">
        <v>291</v>
      </c>
      <c r="K302" s="55" t="s">
        <v>292</v>
      </c>
      <c r="L302" s="55" t="str">
        <f>IF(K302="Mine or Quarry","Mine","")</f>
        <v/>
      </c>
      <c r="M302" s="55"/>
      <c r="N302" s="55" t="s">
        <v>110</v>
      </c>
      <c r="O302" s="55"/>
      <c r="P302" s="56" t="s">
        <v>89</v>
      </c>
      <c r="Q302" s="56" t="s">
        <v>89</v>
      </c>
      <c r="R302" s="55"/>
      <c r="S302" s="56" t="s">
        <v>81</v>
      </c>
      <c r="T302" s="55" t="str">
        <f>IF(ISNUMBER(SEARCH(",",N302)),"Y","N")</f>
        <v>N</v>
      </c>
      <c r="U302" s="57">
        <v>577000</v>
      </c>
      <c r="V302" s="57" t="s">
        <v>101</v>
      </c>
      <c r="W302" s="55" t="s">
        <v>2797</v>
      </c>
      <c r="X302" s="54" t="s">
        <v>5338</v>
      </c>
      <c r="Y302" s="52"/>
      <c r="Z302" s="3" t="s">
        <v>61</v>
      </c>
      <c r="AA302" s="3" t="s">
        <v>335</v>
      </c>
      <c r="AB302" s="3"/>
      <c r="AC302" s="3"/>
      <c r="AD302" s="3" t="s">
        <v>62</v>
      </c>
      <c r="AE302" s="3" t="s">
        <v>336</v>
      </c>
      <c r="AF302" s="3"/>
      <c r="AG302" s="3" t="s">
        <v>906</v>
      </c>
      <c r="AH302" s="58">
        <v>100</v>
      </c>
      <c r="AI302" s="3"/>
      <c r="AJ302" s="3"/>
      <c r="AK302" s="3"/>
      <c r="AL302" s="3"/>
      <c r="AM302" s="3"/>
      <c r="AN302" s="3"/>
      <c r="AO302" s="3"/>
      <c r="AP302" s="3"/>
      <c r="AQ302" s="3"/>
      <c r="AR302" s="3"/>
      <c r="AS302" s="3"/>
      <c r="AT302" s="3"/>
      <c r="AU302" s="3"/>
      <c r="AV302" s="3"/>
      <c r="AW302" s="3"/>
      <c r="AX302" s="3"/>
      <c r="AY302" s="3"/>
      <c r="AZ302" s="4" t="s">
        <v>904</v>
      </c>
      <c r="BA302" s="3"/>
      <c r="BB302" s="1"/>
      <c r="BC302" s="1"/>
    </row>
    <row r="303" spans="1:55" s="78" customFormat="1" ht="15" customHeight="1" x14ac:dyDescent="0.25">
      <c r="A303" s="52" t="s">
        <v>4312</v>
      </c>
      <c r="B303" s="34"/>
      <c r="C303" s="53">
        <v>2026</v>
      </c>
      <c r="D303" s="53">
        <v>2026</v>
      </c>
      <c r="E303" s="54" t="s">
        <v>3116</v>
      </c>
      <c r="F303" s="55" t="s">
        <v>50</v>
      </c>
      <c r="G303" s="55" t="s">
        <v>50</v>
      </c>
      <c r="H303" s="45" t="s">
        <v>5296</v>
      </c>
      <c r="I303" s="63" t="s">
        <v>52</v>
      </c>
      <c r="J303" s="56"/>
      <c r="K303" s="63" t="s">
        <v>346</v>
      </c>
      <c r="L303" s="63"/>
      <c r="M303" s="55"/>
      <c r="N303" s="56"/>
      <c r="O303" s="56" t="s">
        <v>5298</v>
      </c>
      <c r="P303" s="56" t="s">
        <v>89</v>
      </c>
      <c r="Q303" s="56" t="s">
        <v>89</v>
      </c>
      <c r="R303" s="55"/>
      <c r="S303" s="56" t="s">
        <v>81</v>
      </c>
      <c r="T303" s="55" t="s">
        <v>81</v>
      </c>
      <c r="U303" s="57">
        <v>10000</v>
      </c>
      <c r="V303" s="57" t="s">
        <v>101</v>
      </c>
      <c r="W303" s="55"/>
      <c r="X303" s="54" t="s">
        <v>4312</v>
      </c>
      <c r="Y303" s="52"/>
      <c r="Z303" s="3" t="s">
        <v>154</v>
      </c>
      <c r="AA303" s="3" t="s">
        <v>5297</v>
      </c>
      <c r="AB303" s="3"/>
      <c r="AC303" s="3"/>
      <c r="AD303" s="3" t="s">
        <v>62</v>
      </c>
      <c r="AE303" s="3" t="s">
        <v>115</v>
      </c>
      <c r="AF303" s="11"/>
      <c r="AG303" s="11" t="s">
        <v>1285</v>
      </c>
      <c r="AH303" s="58">
        <v>100</v>
      </c>
      <c r="AI303" s="3"/>
      <c r="AJ303" s="3"/>
      <c r="AK303" s="3"/>
      <c r="AL303" s="3"/>
      <c r="AM303" s="3"/>
      <c r="AN303" s="3"/>
      <c r="AO303" s="3"/>
      <c r="AP303" s="3"/>
      <c r="AQ303" s="3"/>
      <c r="AR303" s="3"/>
      <c r="AS303" s="3"/>
      <c r="AT303" s="3"/>
      <c r="AU303" s="3"/>
      <c r="AV303" s="3"/>
      <c r="AW303" s="3"/>
      <c r="AX303" s="3"/>
      <c r="AY303" s="3"/>
      <c r="AZ303" s="4" t="s">
        <v>5299</v>
      </c>
      <c r="BA303" s="11"/>
      <c r="BB303" s="1"/>
      <c r="BC303" s="1"/>
    </row>
    <row r="304" spans="1:55" s="78" customFormat="1" ht="15" customHeight="1" x14ac:dyDescent="0.25">
      <c r="A304" s="52" t="s">
        <v>4313</v>
      </c>
      <c r="B304" s="34" t="s">
        <v>59</v>
      </c>
      <c r="C304" s="53">
        <v>2026</v>
      </c>
      <c r="D304" s="53">
        <v>2026</v>
      </c>
      <c r="E304" s="54" t="s">
        <v>3117</v>
      </c>
      <c r="F304" s="55" t="s">
        <v>50</v>
      </c>
      <c r="G304" s="55" t="s">
        <v>50</v>
      </c>
      <c r="H304" s="45" t="s">
        <v>911</v>
      </c>
      <c r="I304" s="56" t="s">
        <v>78</v>
      </c>
      <c r="J304" s="56"/>
      <c r="K304" s="56" t="s">
        <v>71</v>
      </c>
      <c r="L304" s="55" t="str">
        <f>IF(K304="Mine or Quarry","Mine","")</f>
        <v/>
      </c>
      <c r="M304" s="55"/>
      <c r="N304" s="56" t="s">
        <v>110</v>
      </c>
      <c r="O304" s="56"/>
      <c r="P304" s="55" t="s">
        <v>73</v>
      </c>
      <c r="Q304" s="55" t="s">
        <v>57</v>
      </c>
      <c r="R304" s="55"/>
      <c r="S304" s="56" t="s">
        <v>58</v>
      </c>
      <c r="T304" s="55" t="str">
        <f t="shared" ref="T304:T310" si="4">IF(ISNUMBER(SEARCH(",",N304)),"Y","N")</f>
        <v>N</v>
      </c>
      <c r="U304" s="57">
        <v>-999</v>
      </c>
      <c r="V304" s="57" t="s">
        <v>59</v>
      </c>
      <c r="W304" s="55" t="s">
        <v>2319</v>
      </c>
      <c r="X304" s="54" t="s">
        <v>4313</v>
      </c>
      <c r="Y304" s="52"/>
      <c r="Z304" s="1" t="s">
        <v>61</v>
      </c>
      <c r="AA304" s="1" t="s">
        <v>669</v>
      </c>
      <c r="AB304" s="1"/>
      <c r="AC304" s="1"/>
      <c r="AD304" s="3" t="s">
        <v>62</v>
      </c>
      <c r="AE304" s="1" t="s">
        <v>155</v>
      </c>
      <c r="AF304" s="1" t="s">
        <v>912</v>
      </c>
      <c r="AG304" s="1" t="s">
        <v>913</v>
      </c>
      <c r="AH304" s="2">
        <v>100</v>
      </c>
      <c r="AI304" s="1"/>
      <c r="AJ304" s="1"/>
      <c r="AK304" s="1"/>
      <c r="AL304" s="1"/>
      <c r="AM304" s="1"/>
      <c r="AN304" s="1"/>
      <c r="AO304" s="1"/>
      <c r="AP304" s="1"/>
      <c r="AQ304" s="1"/>
      <c r="AR304" s="1"/>
      <c r="AS304" s="1"/>
      <c r="AT304" s="1"/>
      <c r="AU304" s="1"/>
      <c r="AV304" s="1"/>
      <c r="AW304" s="1"/>
      <c r="AX304" s="1"/>
      <c r="AY304" s="1"/>
      <c r="AZ304" s="5" t="s">
        <v>910</v>
      </c>
      <c r="BA304" s="5"/>
      <c r="BB304" s="56"/>
      <c r="BC304" s="56"/>
    </row>
    <row r="305" spans="1:55" s="78" customFormat="1" ht="15" customHeight="1" x14ac:dyDescent="0.25">
      <c r="A305" s="52" t="s">
        <v>4314</v>
      </c>
      <c r="B305" s="34" t="s">
        <v>59</v>
      </c>
      <c r="C305" s="53">
        <v>2026</v>
      </c>
      <c r="D305" s="53">
        <v>2026</v>
      </c>
      <c r="E305" s="54" t="s">
        <v>3117</v>
      </c>
      <c r="F305" s="55" t="s">
        <v>50</v>
      </c>
      <c r="G305" s="55" t="s">
        <v>50</v>
      </c>
      <c r="H305" s="45" t="s">
        <v>911</v>
      </c>
      <c r="I305" s="56" t="s">
        <v>78</v>
      </c>
      <c r="J305" s="56"/>
      <c r="K305" s="56" t="s">
        <v>53</v>
      </c>
      <c r="L305" s="55" t="str">
        <f>IF(K305="Mine or Quarry","Mine","")</f>
        <v/>
      </c>
      <c r="M305" s="55"/>
      <c r="N305" s="56" t="s">
        <v>110</v>
      </c>
      <c r="O305" s="56"/>
      <c r="P305" s="55" t="s">
        <v>56</v>
      </c>
      <c r="Q305" s="55" t="s">
        <v>57</v>
      </c>
      <c r="R305" s="55"/>
      <c r="S305" s="56" t="s">
        <v>58</v>
      </c>
      <c r="T305" s="55" t="str">
        <f t="shared" si="4"/>
        <v>N</v>
      </c>
      <c r="U305" s="57">
        <v>40000</v>
      </c>
      <c r="V305" s="57" t="s">
        <v>101</v>
      </c>
      <c r="W305" s="55" t="s">
        <v>2319</v>
      </c>
      <c r="X305" s="54" t="s">
        <v>4314</v>
      </c>
      <c r="Y305" s="52"/>
      <c r="Z305" s="1" t="s">
        <v>61</v>
      </c>
      <c r="AA305" s="1" t="s">
        <v>914</v>
      </c>
      <c r="AB305" s="1"/>
      <c r="AC305" s="1"/>
      <c r="AD305" s="3" t="s">
        <v>62</v>
      </c>
      <c r="AE305" s="1" t="s">
        <v>155</v>
      </c>
      <c r="AF305" s="1"/>
      <c r="AG305" s="1" t="s">
        <v>915</v>
      </c>
      <c r="AH305" s="2">
        <v>100</v>
      </c>
      <c r="AI305" s="1"/>
      <c r="AJ305" s="1"/>
      <c r="AK305" s="1"/>
      <c r="AL305" s="1"/>
      <c r="AM305" s="1"/>
      <c r="AN305" s="1"/>
      <c r="AO305" s="1"/>
      <c r="AP305" s="1"/>
      <c r="AQ305" s="1"/>
      <c r="AR305" s="1"/>
      <c r="AS305" s="1"/>
      <c r="AT305" s="1"/>
      <c r="AU305" s="1"/>
      <c r="AV305" s="1"/>
      <c r="AW305" s="1"/>
      <c r="AX305" s="1"/>
      <c r="AY305" s="1"/>
      <c r="AZ305" s="4" t="s">
        <v>320</v>
      </c>
      <c r="BA305" s="1"/>
      <c r="BB305" s="1"/>
      <c r="BC305" s="1"/>
    </row>
    <row r="306" spans="1:55" s="78" customFormat="1" ht="14.45" customHeight="1" x14ac:dyDescent="0.25">
      <c r="A306" s="52" t="s">
        <v>4315</v>
      </c>
      <c r="B306" s="34" t="s">
        <v>59</v>
      </c>
      <c r="C306" s="53">
        <v>2026</v>
      </c>
      <c r="D306" s="53">
        <v>2026</v>
      </c>
      <c r="E306" s="54" t="s">
        <v>3117</v>
      </c>
      <c r="F306" s="55" t="s">
        <v>50</v>
      </c>
      <c r="G306" s="55" t="s">
        <v>50</v>
      </c>
      <c r="H306" s="45" t="s">
        <v>911</v>
      </c>
      <c r="I306" s="56" t="s">
        <v>78</v>
      </c>
      <c r="J306" s="56"/>
      <c r="K306" s="55" t="s">
        <v>264</v>
      </c>
      <c r="L306" s="55" t="s">
        <v>88</v>
      </c>
      <c r="M306" s="55"/>
      <c r="N306" s="55" t="s">
        <v>110</v>
      </c>
      <c r="O306" s="55"/>
      <c r="P306" s="55" t="s">
        <v>265</v>
      </c>
      <c r="Q306" s="55" t="s">
        <v>57</v>
      </c>
      <c r="R306" s="55"/>
      <c r="S306" s="56" t="s">
        <v>58</v>
      </c>
      <c r="T306" s="55" t="str">
        <f t="shared" si="4"/>
        <v>N</v>
      </c>
      <c r="U306" s="57">
        <v>4300</v>
      </c>
      <c r="V306" s="57" t="s">
        <v>101</v>
      </c>
      <c r="W306" s="55" t="s">
        <v>2319</v>
      </c>
      <c r="X306" s="54" t="s">
        <v>4315</v>
      </c>
      <c r="Y306" s="52"/>
      <c r="Z306" s="3" t="s">
        <v>61</v>
      </c>
      <c r="AA306" s="3" t="s">
        <v>669</v>
      </c>
      <c r="AB306" s="3"/>
      <c r="AC306" s="3"/>
      <c r="AD306" s="3" t="s">
        <v>62</v>
      </c>
      <c r="AE306" s="1" t="s">
        <v>155</v>
      </c>
      <c r="AF306" s="1" t="s">
        <v>912</v>
      </c>
      <c r="AG306" s="1" t="s">
        <v>913</v>
      </c>
      <c r="AH306" s="2">
        <v>100</v>
      </c>
      <c r="AI306" s="3"/>
      <c r="AJ306" s="3"/>
      <c r="AK306" s="3"/>
      <c r="AL306" s="3"/>
      <c r="AM306" s="3"/>
      <c r="AN306" s="3"/>
      <c r="AO306" s="3"/>
      <c r="AP306" s="3"/>
      <c r="AQ306" s="3"/>
      <c r="AR306" s="3"/>
      <c r="AS306" s="3"/>
      <c r="AT306" s="3"/>
      <c r="AU306" s="3"/>
      <c r="AV306" s="3"/>
      <c r="AW306" s="3"/>
      <c r="AX306" s="3"/>
      <c r="AY306" s="3"/>
      <c r="AZ306" s="5" t="s">
        <v>910</v>
      </c>
      <c r="BA306" s="5"/>
      <c r="BB306" s="1"/>
      <c r="BC306" s="1"/>
    </row>
    <row r="307" spans="1:55" s="78" customFormat="1" ht="15" customHeight="1" x14ac:dyDescent="0.25">
      <c r="A307" s="52" t="s">
        <v>4316</v>
      </c>
      <c r="B307" s="34" t="s">
        <v>59</v>
      </c>
      <c r="C307" s="53">
        <v>2026</v>
      </c>
      <c r="D307" s="53">
        <v>2026</v>
      </c>
      <c r="E307" s="54" t="s">
        <v>3117</v>
      </c>
      <c r="F307" s="55" t="s">
        <v>50</v>
      </c>
      <c r="G307" s="55" t="s">
        <v>50</v>
      </c>
      <c r="H307" s="45" t="s">
        <v>911</v>
      </c>
      <c r="I307" s="56" t="s">
        <v>78</v>
      </c>
      <c r="J307" s="56"/>
      <c r="K307" s="56" t="s">
        <v>74</v>
      </c>
      <c r="L307" s="55" t="str">
        <f>IF(K307="Mines and Quarries","Mine","")</f>
        <v/>
      </c>
      <c r="M307" s="55"/>
      <c r="N307" s="56" t="s">
        <v>110</v>
      </c>
      <c r="O307" s="56"/>
      <c r="P307" s="55" t="s">
        <v>75</v>
      </c>
      <c r="Q307" s="56" t="s">
        <v>57</v>
      </c>
      <c r="R307" s="55"/>
      <c r="S307" s="56" t="s">
        <v>58</v>
      </c>
      <c r="T307" s="55" t="str">
        <f t="shared" si="4"/>
        <v>N</v>
      </c>
      <c r="U307" s="73">
        <v>17.010000000000002</v>
      </c>
      <c r="V307" s="57" t="s">
        <v>101</v>
      </c>
      <c r="W307" s="55" t="s">
        <v>2319</v>
      </c>
      <c r="X307" s="54" t="s">
        <v>4316</v>
      </c>
      <c r="Y307" s="52"/>
      <c r="Z307" s="1" t="s">
        <v>61</v>
      </c>
      <c r="AA307" s="1" t="s">
        <v>669</v>
      </c>
      <c r="AB307" s="1"/>
      <c r="AC307" s="1"/>
      <c r="AD307" s="3" t="s">
        <v>62</v>
      </c>
      <c r="AE307" s="1" t="s">
        <v>155</v>
      </c>
      <c r="AF307" s="1" t="s">
        <v>912</v>
      </c>
      <c r="AG307" s="1" t="s">
        <v>913</v>
      </c>
      <c r="AH307" s="2">
        <v>100</v>
      </c>
      <c r="AI307" s="1"/>
      <c r="AJ307" s="1"/>
      <c r="AK307" s="1"/>
      <c r="AL307" s="1"/>
      <c r="AM307" s="1"/>
      <c r="AN307" s="1"/>
      <c r="AO307" s="1"/>
      <c r="AP307" s="1"/>
      <c r="AQ307" s="1"/>
      <c r="AR307" s="1"/>
      <c r="AS307" s="1"/>
      <c r="AT307" s="1"/>
      <c r="AU307" s="1"/>
      <c r="AV307" s="1"/>
      <c r="AW307" s="1"/>
      <c r="AX307" s="1"/>
      <c r="AY307" s="1"/>
      <c r="AZ307" s="5" t="s">
        <v>910</v>
      </c>
      <c r="BA307" s="5" t="s">
        <v>3844</v>
      </c>
      <c r="BB307" s="1"/>
      <c r="BC307" s="1"/>
    </row>
    <row r="308" spans="1:55" s="78" customFormat="1" ht="15" customHeight="1" x14ac:dyDescent="0.25">
      <c r="A308" s="52" t="s">
        <v>4317</v>
      </c>
      <c r="B308" s="34" t="s">
        <v>59</v>
      </c>
      <c r="C308" s="53">
        <v>2026</v>
      </c>
      <c r="D308" s="53">
        <v>2026</v>
      </c>
      <c r="E308" s="54" t="s">
        <v>3118</v>
      </c>
      <c r="F308" s="55" t="s">
        <v>50</v>
      </c>
      <c r="G308" s="55" t="s">
        <v>50</v>
      </c>
      <c r="H308" s="45" t="s">
        <v>917</v>
      </c>
      <c r="I308" s="63" t="s">
        <v>78</v>
      </c>
      <c r="J308" s="56"/>
      <c r="K308" s="56" t="s">
        <v>346</v>
      </c>
      <c r="L308" s="63" t="s">
        <v>88</v>
      </c>
      <c r="M308" s="55"/>
      <c r="N308" s="56" t="s">
        <v>181</v>
      </c>
      <c r="O308" s="56" t="s">
        <v>181</v>
      </c>
      <c r="P308" s="56" t="s">
        <v>89</v>
      </c>
      <c r="Q308" s="56" t="s">
        <v>89</v>
      </c>
      <c r="R308" s="55"/>
      <c r="S308" s="56" t="s">
        <v>81</v>
      </c>
      <c r="T308" s="55" t="str">
        <f t="shared" si="4"/>
        <v>N</v>
      </c>
      <c r="U308" s="57">
        <v>3000000</v>
      </c>
      <c r="V308" s="57" t="s">
        <v>101</v>
      </c>
      <c r="W308" s="55"/>
      <c r="X308" s="54" t="s">
        <v>4317</v>
      </c>
      <c r="Y308" s="52"/>
      <c r="Z308" s="1" t="s">
        <v>154</v>
      </c>
      <c r="AA308" s="1" t="s">
        <v>918</v>
      </c>
      <c r="AB308" s="1"/>
      <c r="AC308" s="1"/>
      <c r="AD308" s="3" t="s">
        <v>62</v>
      </c>
      <c r="AE308" s="1" t="s">
        <v>131</v>
      </c>
      <c r="AF308" s="3"/>
      <c r="AG308" s="3" t="s">
        <v>919</v>
      </c>
      <c r="AH308" s="2">
        <v>100</v>
      </c>
      <c r="AI308" s="1"/>
      <c r="AJ308" s="1"/>
      <c r="AK308" s="1"/>
      <c r="AL308" s="1"/>
      <c r="AM308" s="1"/>
      <c r="AN308" s="1"/>
      <c r="AO308" s="1"/>
      <c r="AP308" s="1"/>
      <c r="AQ308" s="1"/>
      <c r="AR308" s="1"/>
      <c r="AS308" s="1"/>
      <c r="AT308" s="1"/>
      <c r="AU308" s="1"/>
      <c r="AV308" s="1"/>
      <c r="AW308" s="1"/>
      <c r="AX308" s="1"/>
      <c r="AY308" s="1"/>
      <c r="AZ308" s="4" t="s">
        <v>916</v>
      </c>
      <c r="BA308" s="4"/>
      <c r="BB308" s="1"/>
      <c r="BC308" s="1"/>
    </row>
    <row r="309" spans="1:55" s="78" customFormat="1" ht="15" customHeight="1" x14ac:dyDescent="0.25">
      <c r="A309" s="52" t="s">
        <v>4318</v>
      </c>
      <c r="B309" s="34" t="s">
        <v>59</v>
      </c>
      <c r="C309" s="53">
        <v>2026</v>
      </c>
      <c r="D309" s="53">
        <v>2026</v>
      </c>
      <c r="E309" s="54" t="s">
        <v>3119</v>
      </c>
      <c r="F309" s="55" t="s">
        <v>50</v>
      </c>
      <c r="G309" s="55" t="s">
        <v>50</v>
      </c>
      <c r="H309" s="45" t="s">
        <v>921</v>
      </c>
      <c r="I309" s="56" t="s">
        <v>78</v>
      </c>
      <c r="J309" s="56"/>
      <c r="K309" s="56" t="s">
        <v>74</v>
      </c>
      <c r="L309" s="55" t="str">
        <f>IF(K309="Mines and Quarries","Mine","")</f>
        <v/>
      </c>
      <c r="M309" s="55"/>
      <c r="N309" s="56" t="s">
        <v>110</v>
      </c>
      <c r="O309" s="56"/>
      <c r="P309" s="55" t="s">
        <v>75</v>
      </c>
      <c r="Q309" s="56" t="s">
        <v>57</v>
      </c>
      <c r="R309" s="55"/>
      <c r="S309" s="56" t="s">
        <v>58</v>
      </c>
      <c r="T309" s="55" t="str">
        <f t="shared" si="4"/>
        <v>N</v>
      </c>
      <c r="U309" s="73">
        <v>2.7</v>
      </c>
      <c r="V309" s="57" t="s">
        <v>101</v>
      </c>
      <c r="W309" s="55" t="s">
        <v>2319</v>
      </c>
      <c r="X309" s="54" t="s">
        <v>4318</v>
      </c>
      <c r="Y309" s="52"/>
      <c r="Z309" s="3" t="s">
        <v>154</v>
      </c>
      <c r="AA309" s="1" t="s">
        <v>922</v>
      </c>
      <c r="AB309" s="1"/>
      <c r="AC309" s="1"/>
      <c r="AD309" s="3" t="s">
        <v>62</v>
      </c>
      <c r="AE309" s="3" t="s">
        <v>306</v>
      </c>
      <c r="AF309" s="3" t="s">
        <v>923</v>
      </c>
      <c r="AG309" s="3" t="s">
        <v>924</v>
      </c>
      <c r="AH309" s="58">
        <v>100</v>
      </c>
      <c r="AI309" s="1"/>
      <c r="AJ309" s="1"/>
      <c r="AK309" s="1"/>
      <c r="AL309" s="1"/>
      <c r="AM309" s="1"/>
      <c r="AN309" s="1"/>
      <c r="AO309" s="1"/>
      <c r="AP309" s="1"/>
      <c r="AQ309" s="1"/>
      <c r="AR309" s="1"/>
      <c r="AS309" s="1"/>
      <c r="AT309" s="1"/>
      <c r="AU309" s="1"/>
      <c r="AV309" s="1"/>
      <c r="AW309" s="1"/>
      <c r="AX309" s="1"/>
      <c r="AY309" s="1"/>
      <c r="AZ309" s="4" t="s">
        <v>920</v>
      </c>
      <c r="BA309" s="5"/>
      <c r="BB309" s="1"/>
      <c r="BC309" s="1"/>
    </row>
    <row r="310" spans="1:55" s="78" customFormat="1" ht="15" customHeight="1" x14ac:dyDescent="0.25">
      <c r="A310" s="52" t="s">
        <v>4319</v>
      </c>
      <c r="B310" s="34" t="s">
        <v>59</v>
      </c>
      <c r="C310" s="53">
        <v>2026</v>
      </c>
      <c r="D310" s="53">
        <v>2026</v>
      </c>
      <c r="E310" s="54" t="s">
        <v>3119</v>
      </c>
      <c r="F310" s="55" t="s">
        <v>50</v>
      </c>
      <c r="G310" s="55" t="s">
        <v>50</v>
      </c>
      <c r="H310" s="45" t="s">
        <v>921</v>
      </c>
      <c r="I310" s="56" t="s">
        <v>78</v>
      </c>
      <c r="J310" s="56"/>
      <c r="K310" s="56" t="s">
        <v>53</v>
      </c>
      <c r="L310" s="55" t="str">
        <f>IF(K310="Mine or Quarry","Mine","")</f>
        <v/>
      </c>
      <c r="M310" s="55"/>
      <c r="N310" s="56" t="s">
        <v>110</v>
      </c>
      <c r="O310" s="56"/>
      <c r="P310" s="55" t="s">
        <v>56</v>
      </c>
      <c r="Q310" s="55" t="s">
        <v>57</v>
      </c>
      <c r="R310" s="55"/>
      <c r="S310" s="56" t="s">
        <v>58</v>
      </c>
      <c r="T310" s="55" t="str">
        <f t="shared" si="4"/>
        <v>N</v>
      </c>
      <c r="U310" s="57">
        <v>29000</v>
      </c>
      <c r="V310" s="57" t="s">
        <v>101</v>
      </c>
      <c r="W310" s="55" t="s">
        <v>2319</v>
      </c>
      <c r="X310" s="54" t="s">
        <v>4319</v>
      </c>
      <c r="Y310" s="52"/>
      <c r="Z310" s="3" t="s">
        <v>154</v>
      </c>
      <c r="AA310" s="1" t="s">
        <v>922</v>
      </c>
      <c r="AB310" s="1"/>
      <c r="AC310" s="1"/>
      <c r="AD310" s="3" t="s">
        <v>62</v>
      </c>
      <c r="AE310" s="3" t="s">
        <v>306</v>
      </c>
      <c r="AF310" s="3" t="s">
        <v>923</v>
      </c>
      <c r="AG310" s="3" t="s">
        <v>924</v>
      </c>
      <c r="AH310" s="58">
        <v>100</v>
      </c>
      <c r="AI310" s="1"/>
      <c r="AJ310" s="1"/>
      <c r="AK310" s="1"/>
      <c r="AL310" s="1"/>
      <c r="AM310" s="1"/>
      <c r="AN310" s="1"/>
      <c r="AO310" s="1"/>
      <c r="AP310" s="1"/>
      <c r="AQ310" s="1"/>
      <c r="AR310" s="1"/>
      <c r="AS310" s="1"/>
      <c r="AT310" s="1"/>
      <c r="AU310" s="1"/>
      <c r="AV310" s="1"/>
      <c r="AW310" s="1"/>
      <c r="AX310" s="1"/>
      <c r="AY310" s="1"/>
      <c r="AZ310" s="4" t="s">
        <v>920</v>
      </c>
      <c r="BA310" s="1"/>
      <c r="BB310" s="1"/>
      <c r="BC310" s="1"/>
    </row>
    <row r="311" spans="1:55" s="78" customFormat="1" ht="15" customHeight="1" x14ac:dyDescent="0.25">
      <c r="A311" s="52" t="s">
        <v>4320</v>
      </c>
      <c r="B311" s="34" t="s">
        <v>59</v>
      </c>
      <c r="C311" s="53">
        <v>2026</v>
      </c>
      <c r="D311" s="53">
        <v>2026</v>
      </c>
      <c r="E311" s="54" t="s">
        <v>3120</v>
      </c>
      <c r="F311" s="55" t="s">
        <v>50</v>
      </c>
      <c r="G311" s="55" t="s">
        <v>50</v>
      </c>
      <c r="H311" s="45" t="s">
        <v>925</v>
      </c>
      <c r="I311" s="56" t="s">
        <v>52</v>
      </c>
      <c r="J311" s="56"/>
      <c r="K311" s="56" t="s">
        <v>204</v>
      </c>
      <c r="L311" s="55"/>
      <c r="M311" s="55"/>
      <c r="N311" s="56"/>
      <c r="O311" s="56"/>
      <c r="P311" s="55" t="s">
        <v>89</v>
      </c>
      <c r="Q311" s="55" t="s">
        <v>89</v>
      </c>
      <c r="R311" s="55"/>
      <c r="S311" s="56" t="s">
        <v>81</v>
      </c>
      <c r="T311" s="55" t="s">
        <v>81</v>
      </c>
      <c r="U311" s="57">
        <v>-999</v>
      </c>
      <c r="V311" s="57" t="s">
        <v>59</v>
      </c>
      <c r="W311" s="55" t="s">
        <v>2319</v>
      </c>
      <c r="X311" s="54" t="s">
        <v>4320</v>
      </c>
      <c r="Y311" s="52"/>
      <c r="Z311" s="2" t="s">
        <v>61</v>
      </c>
      <c r="AA311" s="1" t="s">
        <v>926</v>
      </c>
      <c r="AB311" s="1"/>
      <c r="AC311" s="1"/>
      <c r="AD311" s="3" t="s">
        <v>62</v>
      </c>
      <c r="AE311" s="2" t="s">
        <v>184</v>
      </c>
      <c r="AF311" s="3" t="s">
        <v>765</v>
      </c>
      <c r="AG311" s="3" t="s">
        <v>766</v>
      </c>
      <c r="AH311" s="58"/>
      <c r="AI311" s="1"/>
      <c r="AJ311" s="1"/>
      <c r="AK311" s="1"/>
      <c r="AL311" s="1"/>
      <c r="AM311" s="1"/>
      <c r="AN311" s="1"/>
      <c r="AO311" s="1"/>
      <c r="AP311" s="1"/>
      <c r="AQ311" s="1"/>
      <c r="AR311" s="1"/>
      <c r="AS311" s="1"/>
      <c r="AT311" s="1"/>
      <c r="AU311" s="1"/>
      <c r="AV311" s="1"/>
      <c r="AW311" s="1"/>
      <c r="AX311" s="1"/>
      <c r="AY311" s="1"/>
      <c r="AZ311" s="4" t="s">
        <v>202</v>
      </c>
      <c r="BA311" s="1"/>
      <c r="BB311" s="1"/>
      <c r="BC311" s="1"/>
    </row>
    <row r="312" spans="1:55" s="78" customFormat="1" ht="15" customHeight="1" x14ac:dyDescent="0.25">
      <c r="A312" s="52" t="s">
        <v>4321</v>
      </c>
      <c r="B312" s="34" t="s">
        <v>59</v>
      </c>
      <c r="C312" s="53">
        <v>2026</v>
      </c>
      <c r="D312" s="53">
        <v>2026</v>
      </c>
      <c r="E312" s="54" t="s">
        <v>3121</v>
      </c>
      <c r="F312" s="55" t="s">
        <v>50</v>
      </c>
      <c r="G312" s="55" t="s">
        <v>50</v>
      </c>
      <c r="H312" s="45" t="s">
        <v>927</v>
      </c>
      <c r="I312" s="56" t="s">
        <v>52</v>
      </c>
      <c r="J312" s="56"/>
      <c r="K312" s="56" t="s">
        <v>204</v>
      </c>
      <c r="L312" s="55"/>
      <c r="M312" s="55"/>
      <c r="N312" s="56"/>
      <c r="O312" s="56"/>
      <c r="P312" s="55" t="s">
        <v>89</v>
      </c>
      <c r="Q312" s="55" t="s">
        <v>89</v>
      </c>
      <c r="R312" s="55"/>
      <c r="S312" s="56" t="s">
        <v>81</v>
      </c>
      <c r="T312" s="55" t="s">
        <v>81</v>
      </c>
      <c r="U312" s="57">
        <v>-999</v>
      </c>
      <c r="V312" s="57" t="s">
        <v>59</v>
      </c>
      <c r="W312" s="55" t="s">
        <v>2319</v>
      </c>
      <c r="X312" s="54" t="s">
        <v>4321</v>
      </c>
      <c r="Y312" s="52"/>
      <c r="Z312" s="2" t="s">
        <v>61</v>
      </c>
      <c r="AA312" s="1" t="s">
        <v>926</v>
      </c>
      <c r="AB312" s="1"/>
      <c r="AC312" s="1"/>
      <c r="AD312" s="3" t="s">
        <v>62</v>
      </c>
      <c r="AE312" s="2" t="s">
        <v>184</v>
      </c>
      <c r="AF312" s="3" t="s">
        <v>765</v>
      </c>
      <c r="AG312" s="3" t="s">
        <v>766</v>
      </c>
      <c r="AH312" s="58"/>
      <c r="AI312" s="1"/>
      <c r="AJ312" s="1"/>
      <c r="AK312" s="1"/>
      <c r="AL312" s="1"/>
      <c r="AM312" s="1"/>
      <c r="AN312" s="1"/>
      <c r="AO312" s="1"/>
      <c r="AP312" s="1"/>
      <c r="AQ312" s="1"/>
      <c r="AR312" s="1"/>
      <c r="AS312" s="1"/>
      <c r="AT312" s="1"/>
      <c r="AU312" s="1"/>
      <c r="AV312" s="1"/>
      <c r="AW312" s="1"/>
      <c r="AX312" s="1"/>
      <c r="AY312" s="1"/>
      <c r="AZ312" s="4" t="s">
        <v>202</v>
      </c>
      <c r="BA312" s="1"/>
      <c r="BB312" s="1"/>
      <c r="BC312" s="1"/>
    </row>
    <row r="313" spans="1:55" s="78" customFormat="1" ht="15" customHeight="1" x14ac:dyDescent="0.25">
      <c r="A313" s="52" t="s">
        <v>4322</v>
      </c>
      <c r="B313" s="34" t="s">
        <v>59</v>
      </c>
      <c r="C313" s="53">
        <v>2026</v>
      </c>
      <c r="D313" s="53">
        <v>2026</v>
      </c>
      <c r="E313" s="54" t="s">
        <v>3122</v>
      </c>
      <c r="F313" s="55" t="s">
        <v>50</v>
      </c>
      <c r="G313" s="55" t="s">
        <v>50</v>
      </c>
      <c r="H313" s="45" t="s">
        <v>928</v>
      </c>
      <c r="I313" s="56" t="s">
        <v>52</v>
      </c>
      <c r="J313" s="56"/>
      <c r="K313" s="56" t="s">
        <v>204</v>
      </c>
      <c r="L313" s="55"/>
      <c r="M313" s="55"/>
      <c r="N313" s="56"/>
      <c r="O313" s="56"/>
      <c r="P313" s="55" t="s">
        <v>89</v>
      </c>
      <c r="Q313" s="55" t="s">
        <v>89</v>
      </c>
      <c r="R313" s="55"/>
      <c r="S313" s="56" t="s">
        <v>81</v>
      </c>
      <c r="T313" s="55" t="s">
        <v>81</v>
      </c>
      <c r="U313" s="57">
        <v>-999</v>
      </c>
      <c r="V313" s="57" t="s">
        <v>59</v>
      </c>
      <c r="W313" s="55" t="s">
        <v>2319</v>
      </c>
      <c r="X313" s="54" t="s">
        <v>4322</v>
      </c>
      <c r="Y313" s="52"/>
      <c r="Z313" s="2" t="s">
        <v>61</v>
      </c>
      <c r="AA313" s="1" t="s">
        <v>926</v>
      </c>
      <c r="AB313" s="1"/>
      <c r="AC313" s="1"/>
      <c r="AD313" s="3" t="s">
        <v>62</v>
      </c>
      <c r="AE313" s="2" t="s">
        <v>184</v>
      </c>
      <c r="AF313" s="2"/>
      <c r="AG313" s="3" t="s">
        <v>929</v>
      </c>
      <c r="AH313" s="58"/>
      <c r="AI313" s="1"/>
      <c r="AJ313" s="1"/>
      <c r="AK313" s="1"/>
      <c r="AL313" s="1"/>
      <c r="AM313" s="1"/>
      <c r="AN313" s="1"/>
      <c r="AO313" s="1"/>
      <c r="AP313" s="1"/>
      <c r="AQ313" s="1"/>
      <c r="AR313" s="1"/>
      <c r="AS313" s="1"/>
      <c r="AT313" s="1"/>
      <c r="AU313" s="1"/>
      <c r="AV313" s="1"/>
      <c r="AW313" s="1"/>
      <c r="AX313" s="1"/>
      <c r="AY313" s="1"/>
      <c r="AZ313" s="4" t="s">
        <v>202</v>
      </c>
      <c r="BA313" s="1"/>
      <c r="BB313" s="1"/>
      <c r="BC313" s="1"/>
    </row>
    <row r="314" spans="1:55" s="78" customFormat="1" ht="15" customHeight="1" x14ac:dyDescent="0.25">
      <c r="A314" s="52" t="s">
        <v>4323</v>
      </c>
      <c r="B314" s="34" t="s">
        <v>59</v>
      </c>
      <c r="C314" s="53">
        <v>2026</v>
      </c>
      <c r="D314" s="53">
        <v>2026</v>
      </c>
      <c r="E314" s="54" t="s">
        <v>3123</v>
      </c>
      <c r="F314" s="55" t="s">
        <v>50</v>
      </c>
      <c r="G314" s="55" t="s">
        <v>50</v>
      </c>
      <c r="H314" s="45" t="s">
        <v>930</v>
      </c>
      <c r="I314" s="56" t="s">
        <v>52</v>
      </c>
      <c r="J314" s="56"/>
      <c r="K314" s="56" t="s">
        <v>204</v>
      </c>
      <c r="L314" s="55"/>
      <c r="M314" s="55"/>
      <c r="N314" s="56"/>
      <c r="O314" s="56"/>
      <c r="P314" s="55" t="s">
        <v>89</v>
      </c>
      <c r="Q314" s="55" t="s">
        <v>89</v>
      </c>
      <c r="R314" s="55"/>
      <c r="S314" s="56" t="s">
        <v>81</v>
      </c>
      <c r="T314" s="55" t="s">
        <v>81</v>
      </c>
      <c r="U314" s="57">
        <v>-999</v>
      </c>
      <c r="V314" s="57" t="s">
        <v>59</v>
      </c>
      <c r="W314" s="55" t="s">
        <v>106</v>
      </c>
      <c r="X314" s="54" t="s">
        <v>4323</v>
      </c>
      <c r="Y314" s="52"/>
      <c r="Z314" s="2" t="s">
        <v>61</v>
      </c>
      <c r="AA314" s="1" t="s">
        <v>926</v>
      </c>
      <c r="AB314" s="1"/>
      <c r="AC314" s="1"/>
      <c r="AD314" s="3" t="s">
        <v>62</v>
      </c>
      <c r="AE314" s="2" t="s">
        <v>184</v>
      </c>
      <c r="AF314" s="3" t="s">
        <v>765</v>
      </c>
      <c r="AG314" s="3" t="s">
        <v>766</v>
      </c>
      <c r="AH314" s="58"/>
      <c r="AI314" s="1"/>
      <c r="AJ314" s="1"/>
      <c r="AK314" s="1"/>
      <c r="AL314" s="1"/>
      <c r="AM314" s="1"/>
      <c r="AN314" s="1"/>
      <c r="AO314" s="1"/>
      <c r="AP314" s="1"/>
      <c r="AQ314" s="1"/>
      <c r="AR314" s="1"/>
      <c r="AS314" s="1"/>
      <c r="AT314" s="1"/>
      <c r="AU314" s="1"/>
      <c r="AV314" s="1"/>
      <c r="AW314" s="1"/>
      <c r="AX314" s="1"/>
      <c r="AY314" s="1"/>
      <c r="AZ314" s="4" t="s">
        <v>202</v>
      </c>
      <c r="BA314" s="1"/>
      <c r="BB314" s="1"/>
      <c r="BC314" s="1"/>
    </row>
    <row r="315" spans="1:55" s="78" customFormat="1" ht="15" customHeight="1" x14ac:dyDescent="0.25">
      <c r="A315" s="52" t="s">
        <v>4324</v>
      </c>
      <c r="B315" s="34" t="s">
        <v>59</v>
      </c>
      <c r="C315" s="53">
        <v>2026</v>
      </c>
      <c r="D315" s="53">
        <v>2026</v>
      </c>
      <c r="E315" s="54" t="s">
        <v>3124</v>
      </c>
      <c r="F315" s="55" t="s">
        <v>50</v>
      </c>
      <c r="G315" s="55" t="s">
        <v>50</v>
      </c>
      <c r="H315" s="45" t="s">
        <v>931</v>
      </c>
      <c r="I315" s="56" t="s">
        <v>52</v>
      </c>
      <c r="J315" s="56"/>
      <c r="K315" s="56" t="s">
        <v>204</v>
      </c>
      <c r="L315" s="55"/>
      <c r="M315" s="55"/>
      <c r="N315" s="56"/>
      <c r="O315" s="56"/>
      <c r="P315" s="55" t="s">
        <v>89</v>
      </c>
      <c r="Q315" s="55" t="s">
        <v>89</v>
      </c>
      <c r="R315" s="55"/>
      <c r="S315" s="56" t="s">
        <v>81</v>
      </c>
      <c r="T315" s="55" t="s">
        <v>81</v>
      </c>
      <c r="U315" s="57">
        <v>-999</v>
      </c>
      <c r="V315" s="57" t="s">
        <v>59</v>
      </c>
      <c r="W315" s="55" t="s">
        <v>2319</v>
      </c>
      <c r="X315" s="54" t="s">
        <v>4324</v>
      </c>
      <c r="Y315" s="52"/>
      <c r="Z315" s="2" t="s">
        <v>61</v>
      </c>
      <c r="AA315" s="1" t="s">
        <v>926</v>
      </c>
      <c r="AB315" s="1"/>
      <c r="AC315" s="1"/>
      <c r="AD315" s="3" t="s">
        <v>62</v>
      </c>
      <c r="AE315" s="2" t="s">
        <v>184</v>
      </c>
      <c r="AF315" s="2"/>
      <c r="AG315" s="3" t="s">
        <v>932</v>
      </c>
      <c r="AH315" s="58"/>
      <c r="AI315" s="1"/>
      <c r="AJ315" s="1"/>
      <c r="AK315" s="1"/>
      <c r="AL315" s="1"/>
      <c r="AM315" s="1"/>
      <c r="AN315" s="1"/>
      <c r="AO315" s="1"/>
      <c r="AP315" s="1"/>
      <c r="AQ315" s="1"/>
      <c r="AR315" s="1"/>
      <c r="AS315" s="1"/>
      <c r="AT315" s="1"/>
      <c r="AU315" s="1"/>
      <c r="AV315" s="1"/>
      <c r="AW315" s="1"/>
      <c r="AX315" s="1"/>
      <c r="AY315" s="1"/>
      <c r="AZ315" s="4" t="s">
        <v>202</v>
      </c>
      <c r="BA315" s="1"/>
      <c r="BB315" s="1"/>
      <c r="BC315" s="1"/>
    </row>
    <row r="316" spans="1:55" s="78" customFormat="1" ht="15" customHeight="1" x14ac:dyDescent="0.25">
      <c r="A316" s="52" t="s">
        <v>4325</v>
      </c>
      <c r="B316" s="34" t="s">
        <v>59</v>
      </c>
      <c r="C316" s="53">
        <v>2026</v>
      </c>
      <c r="D316" s="53">
        <v>2026</v>
      </c>
      <c r="E316" s="54" t="s">
        <v>3125</v>
      </c>
      <c r="F316" s="55" t="s">
        <v>50</v>
      </c>
      <c r="G316" s="55" t="s">
        <v>50</v>
      </c>
      <c r="H316" s="45" t="s">
        <v>933</v>
      </c>
      <c r="I316" s="56" t="s">
        <v>78</v>
      </c>
      <c r="J316" s="56"/>
      <c r="K316" s="55" t="s">
        <v>74</v>
      </c>
      <c r="L316" s="55" t="s">
        <v>88</v>
      </c>
      <c r="M316" s="55"/>
      <c r="N316" s="55" t="s">
        <v>181</v>
      </c>
      <c r="O316" s="55"/>
      <c r="P316" s="55" t="s">
        <v>75</v>
      </c>
      <c r="Q316" s="56" t="s">
        <v>57</v>
      </c>
      <c r="R316" s="55"/>
      <c r="S316" s="56" t="s">
        <v>58</v>
      </c>
      <c r="T316" s="55" t="str">
        <f>IF(ISNUMBER(SEARCH(",",N316)),"Y","N")</f>
        <v>N</v>
      </c>
      <c r="U316" s="57">
        <v>3.1970000000000001</v>
      </c>
      <c r="V316" s="57" t="s">
        <v>101</v>
      </c>
      <c r="W316" s="55" t="s">
        <v>106</v>
      </c>
      <c r="X316" s="62" t="s">
        <v>4325</v>
      </c>
      <c r="Y316" s="53"/>
      <c r="Z316" s="1" t="s">
        <v>61</v>
      </c>
      <c r="AA316" s="3" t="s">
        <v>934</v>
      </c>
      <c r="AB316" s="3"/>
      <c r="AC316" s="3"/>
      <c r="AD316" s="3" t="s">
        <v>62</v>
      </c>
      <c r="AE316" s="3" t="s">
        <v>83</v>
      </c>
      <c r="AF316" s="1" t="s">
        <v>431</v>
      </c>
      <c r="AG316" s="1" t="s">
        <v>432</v>
      </c>
      <c r="AH316" s="59">
        <v>61.5</v>
      </c>
      <c r="AI316" s="1" t="s">
        <v>433</v>
      </c>
      <c r="AJ316" s="59">
        <v>38.5</v>
      </c>
      <c r="AK316" s="3"/>
      <c r="AL316" s="53"/>
      <c r="AM316" s="3"/>
      <c r="AN316" s="53"/>
      <c r="AO316" s="3"/>
      <c r="AP316" s="53"/>
      <c r="AQ316" s="3"/>
      <c r="AR316" s="53"/>
      <c r="AS316" s="3"/>
      <c r="AT316" s="53"/>
      <c r="AU316" s="3"/>
      <c r="AV316" s="53"/>
      <c r="AW316" s="3"/>
      <c r="AX316" s="53"/>
      <c r="AY316" s="3"/>
      <c r="AZ316" s="4" t="s">
        <v>295</v>
      </c>
      <c r="BA316" s="5"/>
      <c r="BB316" s="1"/>
      <c r="BC316" s="1"/>
    </row>
    <row r="317" spans="1:55" s="78" customFormat="1" ht="15" customHeight="1" x14ac:dyDescent="0.25">
      <c r="A317" s="52" t="s">
        <v>4326</v>
      </c>
      <c r="B317" s="34" t="s">
        <v>59</v>
      </c>
      <c r="C317" s="53">
        <v>2026</v>
      </c>
      <c r="D317" s="53">
        <v>2026</v>
      </c>
      <c r="E317" s="54" t="s">
        <v>3125</v>
      </c>
      <c r="F317" s="55" t="s">
        <v>50</v>
      </c>
      <c r="G317" s="55" t="s">
        <v>50</v>
      </c>
      <c r="H317" s="45" t="s">
        <v>933</v>
      </c>
      <c r="I317" s="56" t="s">
        <v>78</v>
      </c>
      <c r="J317" s="56"/>
      <c r="K317" s="55" t="s">
        <v>71</v>
      </c>
      <c r="L317" s="55" t="s">
        <v>88</v>
      </c>
      <c r="M317" s="55"/>
      <c r="N317" s="55" t="s">
        <v>181</v>
      </c>
      <c r="O317" s="55"/>
      <c r="P317" s="55" t="s">
        <v>73</v>
      </c>
      <c r="Q317" s="55" t="s">
        <v>57</v>
      </c>
      <c r="R317" s="55"/>
      <c r="S317" s="56" t="s">
        <v>58</v>
      </c>
      <c r="T317" s="55" t="str">
        <f>IF(ISNUMBER(SEARCH(",",N317)),"Y","N")</f>
        <v>N</v>
      </c>
      <c r="U317" s="57">
        <v>12.807</v>
      </c>
      <c r="V317" s="57" t="s">
        <v>101</v>
      </c>
      <c r="W317" s="55" t="s">
        <v>106</v>
      </c>
      <c r="X317" s="62" t="s">
        <v>4326</v>
      </c>
      <c r="Y317" s="53"/>
      <c r="Z317" s="1" t="s">
        <v>61</v>
      </c>
      <c r="AA317" s="3" t="s">
        <v>934</v>
      </c>
      <c r="AB317" s="3"/>
      <c r="AC317" s="3"/>
      <c r="AD317" s="3" t="s">
        <v>62</v>
      </c>
      <c r="AE317" s="3" t="s">
        <v>83</v>
      </c>
      <c r="AF317" s="1" t="s">
        <v>431</v>
      </c>
      <c r="AG317" s="1" t="s">
        <v>432</v>
      </c>
      <c r="AH317" s="53">
        <v>61.5</v>
      </c>
      <c r="AI317" s="1" t="s">
        <v>433</v>
      </c>
      <c r="AJ317" s="59">
        <v>38.5</v>
      </c>
      <c r="AK317" s="3"/>
      <c r="AL317" s="53"/>
      <c r="AM317" s="3"/>
      <c r="AN317" s="53"/>
      <c r="AO317" s="3"/>
      <c r="AP317" s="53"/>
      <c r="AQ317" s="3"/>
      <c r="AR317" s="53"/>
      <c r="AS317" s="3"/>
      <c r="AT317" s="53"/>
      <c r="AU317" s="3"/>
      <c r="AV317" s="53"/>
      <c r="AW317" s="3"/>
      <c r="AX317" s="53"/>
      <c r="AY317" s="3"/>
      <c r="AZ317" s="4" t="s">
        <v>295</v>
      </c>
      <c r="BA317" s="3"/>
      <c r="BB317" s="1"/>
      <c r="BC317" s="1"/>
    </row>
    <row r="318" spans="1:55" s="78" customFormat="1" ht="15" customHeight="1" x14ac:dyDescent="0.25">
      <c r="A318" s="52" t="s">
        <v>4327</v>
      </c>
      <c r="B318" s="34" t="s">
        <v>59</v>
      </c>
      <c r="C318" s="53">
        <v>2026</v>
      </c>
      <c r="D318" s="53">
        <v>2026</v>
      </c>
      <c r="E318" s="54" t="s">
        <v>3126</v>
      </c>
      <c r="F318" s="55" t="s">
        <v>50</v>
      </c>
      <c r="G318" s="55" t="s">
        <v>50</v>
      </c>
      <c r="H318" s="45" t="s">
        <v>935</v>
      </c>
      <c r="I318" s="56" t="s">
        <v>78</v>
      </c>
      <c r="J318" s="56"/>
      <c r="K318" s="56" t="s">
        <v>71</v>
      </c>
      <c r="L318" s="55" t="s">
        <v>88</v>
      </c>
      <c r="M318" s="55"/>
      <c r="N318" s="56" t="s">
        <v>181</v>
      </c>
      <c r="O318" s="56"/>
      <c r="P318" s="55" t="s">
        <v>73</v>
      </c>
      <c r="Q318" s="55" t="s">
        <v>57</v>
      </c>
      <c r="R318" s="55"/>
      <c r="S318" s="56" t="s">
        <v>58</v>
      </c>
      <c r="T318" s="55" t="str">
        <f>IF(ISNUMBER(SEARCH(",",N318)),"Y","N")</f>
        <v>N</v>
      </c>
      <c r="U318" s="57">
        <v>10.738</v>
      </c>
      <c r="V318" s="57" t="s">
        <v>101</v>
      </c>
      <c r="W318" s="55" t="s">
        <v>106</v>
      </c>
      <c r="X318" s="62" t="s">
        <v>4327</v>
      </c>
      <c r="Y318" s="53"/>
      <c r="Z318" s="1" t="s">
        <v>61</v>
      </c>
      <c r="AA318" s="3" t="s">
        <v>934</v>
      </c>
      <c r="AB318" s="3"/>
      <c r="AC318" s="3"/>
      <c r="AD318" s="3" t="s">
        <v>62</v>
      </c>
      <c r="AE318" s="3" t="s">
        <v>83</v>
      </c>
      <c r="AF318" s="1" t="s">
        <v>431</v>
      </c>
      <c r="AG318" s="1" t="s">
        <v>432</v>
      </c>
      <c r="AH318" s="53">
        <v>61.5</v>
      </c>
      <c r="AI318" s="1" t="s">
        <v>433</v>
      </c>
      <c r="AJ318" s="59">
        <v>38.5</v>
      </c>
      <c r="AK318" s="1"/>
      <c r="AL318" s="60"/>
      <c r="AM318" s="1"/>
      <c r="AN318" s="60"/>
      <c r="AO318" s="1"/>
      <c r="AP318" s="60"/>
      <c r="AQ318" s="1"/>
      <c r="AR318" s="60"/>
      <c r="AS318" s="1"/>
      <c r="AT318" s="60"/>
      <c r="AU318" s="1"/>
      <c r="AV318" s="60"/>
      <c r="AW318" s="1"/>
      <c r="AX318" s="60"/>
      <c r="AY318" s="1"/>
      <c r="AZ318" s="4" t="s">
        <v>295</v>
      </c>
      <c r="BA318" s="1"/>
      <c r="BB318" s="1"/>
      <c r="BC318" s="1"/>
    </row>
    <row r="319" spans="1:55" s="78" customFormat="1" ht="15" customHeight="1" x14ac:dyDescent="0.25">
      <c r="A319" s="52" t="s">
        <v>4328</v>
      </c>
      <c r="B319" s="34" t="s">
        <v>59</v>
      </c>
      <c r="C319" s="53">
        <v>2026</v>
      </c>
      <c r="D319" s="53">
        <v>2026</v>
      </c>
      <c r="E319" s="54" t="s">
        <v>3126</v>
      </c>
      <c r="F319" s="55" t="s">
        <v>50</v>
      </c>
      <c r="G319" s="55" t="s">
        <v>50</v>
      </c>
      <c r="H319" s="45" t="s">
        <v>935</v>
      </c>
      <c r="I319" s="56" t="s">
        <v>78</v>
      </c>
      <c r="J319" s="56"/>
      <c r="K319" s="56" t="s">
        <v>74</v>
      </c>
      <c r="L319" s="55" t="s">
        <v>88</v>
      </c>
      <c r="M319" s="55"/>
      <c r="N319" s="56" t="s">
        <v>181</v>
      </c>
      <c r="O319" s="56"/>
      <c r="P319" s="55" t="s">
        <v>75</v>
      </c>
      <c r="Q319" s="56" t="s">
        <v>57</v>
      </c>
      <c r="R319" s="55"/>
      <c r="S319" s="56" t="s">
        <v>58</v>
      </c>
      <c r="T319" s="55" t="str">
        <f>IF(ISNUMBER(SEARCH(",",N319)),"Y","N")</f>
        <v>N</v>
      </c>
      <c r="U319" s="57">
        <v>0.251</v>
      </c>
      <c r="V319" s="57" t="s">
        <v>101</v>
      </c>
      <c r="W319" s="55" t="s">
        <v>106</v>
      </c>
      <c r="X319" s="62" t="s">
        <v>4328</v>
      </c>
      <c r="Y319" s="53"/>
      <c r="Z319" s="1" t="s">
        <v>61</v>
      </c>
      <c r="AA319" s="3" t="s">
        <v>934</v>
      </c>
      <c r="AB319" s="3"/>
      <c r="AC319" s="3"/>
      <c r="AD319" s="3" t="s">
        <v>62</v>
      </c>
      <c r="AE319" s="3" t="s">
        <v>83</v>
      </c>
      <c r="AF319" s="1" t="s">
        <v>431</v>
      </c>
      <c r="AG319" s="1" t="s">
        <v>432</v>
      </c>
      <c r="AH319" s="59">
        <v>61.5</v>
      </c>
      <c r="AI319" s="1" t="s">
        <v>433</v>
      </c>
      <c r="AJ319" s="59">
        <v>38.5</v>
      </c>
      <c r="AK319" s="1"/>
      <c r="AL319" s="60"/>
      <c r="AM319" s="1"/>
      <c r="AN319" s="60"/>
      <c r="AO319" s="1"/>
      <c r="AP319" s="60"/>
      <c r="AQ319" s="1"/>
      <c r="AR319" s="60"/>
      <c r="AS319" s="1"/>
      <c r="AT319" s="60"/>
      <c r="AU319" s="1"/>
      <c r="AV319" s="60"/>
      <c r="AW319" s="1"/>
      <c r="AX319" s="60"/>
      <c r="AY319" s="1"/>
      <c r="AZ319" s="4" t="s">
        <v>295</v>
      </c>
      <c r="BA319" s="5"/>
      <c r="BB319" s="1"/>
      <c r="BC319" s="1"/>
    </row>
    <row r="320" spans="1:55" s="78" customFormat="1" ht="15" customHeight="1" x14ac:dyDescent="0.25">
      <c r="A320" s="52" t="s">
        <v>4329</v>
      </c>
      <c r="B320" s="34" t="s">
        <v>59</v>
      </c>
      <c r="C320" s="53">
        <v>2026</v>
      </c>
      <c r="D320" s="53">
        <v>2026</v>
      </c>
      <c r="E320" s="54" t="s">
        <v>3127</v>
      </c>
      <c r="F320" s="55" t="s">
        <v>50</v>
      </c>
      <c r="G320" s="55" t="s">
        <v>50</v>
      </c>
      <c r="H320" s="45" t="s">
        <v>936</v>
      </c>
      <c r="I320" s="56" t="s">
        <v>52</v>
      </c>
      <c r="J320" s="56"/>
      <c r="K320" s="56" t="s">
        <v>71</v>
      </c>
      <c r="L320" s="55" t="str">
        <f>IF(K320="Mine or Quarry","Mine","")</f>
        <v/>
      </c>
      <c r="M320" s="55"/>
      <c r="N320" s="55" t="s">
        <v>110</v>
      </c>
      <c r="O320" s="45" t="s">
        <v>296</v>
      </c>
      <c r="P320" s="55" t="s">
        <v>73</v>
      </c>
      <c r="Q320" s="55" t="s">
        <v>57</v>
      </c>
      <c r="R320" s="55"/>
      <c r="S320" s="56" t="s">
        <v>58</v>
      </c>
      <c r="T320" s="55" t="str">
        <f>IF(ISNUMBER(SEARCH(",",N320)),"Y","N")</f>
        <v>N</v>
      </c>
      <c r="U320" s="57">
        <v>31</v>
      </c>
      <c r="V320" s="57" t="s">
        <v>101</v>
      </c>
      <c r="W320" s="55"/>
      <c r="X320" s="62" t="s">
        <v>4329</v>
      </c>
      <c r="Y320" s="53"/>
      <c r="Z320" s="1" t="s">
        <v>61</v>
      </c>
      <c r="AA320" s="3" t="s">
        <v>934</v>
      </c>
      <c r="AB320" s="3"/>
      <c r="AC320" s="3"/>
      <c r="AD320" s="3" t="s">
        <v>62</v>
      </c>
      <c r="AE320" s="3" t="s">
        <v>83</v>
      </c>
      <c r="AF320" s="1" t="s">
        <v>431</v>
      </c>
      <c r="AG320" s="1" t="s">
        <v>432</v>
      </c>
      <c r="AH320" s="53">
        <v>61.5</v>
      </c>
      <c r="AI320" s="1" t="s">
        <v>433</v>
      </c>
      <c r="AJ320" s="59">
        <v>38.5</v>
      </c>
      <c r="AK320" s="1"/>
      <c r="AL320" s="60"/>
      <c r="AM320" s="1"/>
      <c r="AN320" s="60"/>
      <c r="AO320" s="1"/>
      <c r="AP320" s="60"/>
      <c r="AQ320" s="1"/>
      <c r="AR320" s="60"/>
      <c r="AS320" s="1"/>
      <c r="AT320" s="60"/>
      <c r="AU320" s="1"/>
      <c r="AV320" s="60"/>
      <c r="AW320" s="1"/>
      <c r="AX320" s="60"/>
      <c r="AY320" s="1"/>
      <c r="AZ320" s="4" t="s">
        <v>3845</v>
      </c>
      <c r="BA320" s="1" t="s">
        <v>3957</v>
      </c>
      <c r="BB320" s="1" t="s">
        <v>3846</v>
      </c>
      <c r="BC320" s="1"/>
    </row>
    <row r="321" spans="1:55" s="78" customFormat="1" ht="15" customHeight="1" x14ac:dyDescent="0.25">
      <c r="A321" s="52" t="s">
        <v>4330</v>
      </c>
      <c r="B321" s="34" t="s">
        <v>59</v>
      </c>
      <c r="C321" s="53">
        <v>2026</v>
      </c>
      <c r="D321" s="53">
        <v>2026</v>
      </c>
      <c r="E321" s="54" t="s">
        <v>3128</v>
      </c>
      <c r="F321" s="55" t="s">
        <v>50</v>
      </c>
      <c r="G321" s="55" t="s">
        <v>50</v>
      </c>
      <c r="H321" s="45" t="s">
        <v>937</v>
      </c>
      <c r="I321" s="56" t="s">
        <v>78</v>
      </c>
      <c r="J321" s="56"/>
      <c r="K321" s="56" t="s">
        <v>204</v>
      </c>
      <c r="L321" s="55"/>
      <c r="M321" s="55"/>
      <c r="N321" s="56"/>
      <c r="O321" s="56"/>
      <c r="P321" s="55" t="s">
        <v>89</v>
      </c>
      <c r="Q321" s="55" t="s">
        <v>89</v>
      </c>
      <c r="R321" s="55"/>
      <c r="S321" s="56" t="s">
        <v>81</v>
      </c>
      <c r="T321" s="55" t="s">
        <v>81</v>
      </c>
      <c r="U321" s="57">
        <v>90000</v>
      </c>
      <c r="V321" s="57" t="s">
        <v>101</v>
      </c>
      <c r="W321" s="55" t="s">
        <v>2319</v>
      </c>
      <c r="X321" s="54" t="s">
        <v>4330</v>
      </c>
      <c r="Y321" s="52"/>
      <c r="Z321" s="2" t="s">
        <v>61</v>
      </c>
      <c r="AA321" s="1" t="s">
        <v>452</v>
      </c>
      <c r="AB321" s="1"/>
      <c r="AC321" s="1"/>
      <c r="AD321" s="3" t="s">
        <v>62</v>
      </c>
      <c r="AE321" s="2" t="s">
        <v>83</v>
      </c>
      <c r="AF321" s="2"/>
      <c r="AG321" s="3" t="s">
        <v>938</v>
      </c>
      <c r="AH321" s="58">
        <v>100</v>
      </c>
      <c r="AI321" s="1"/>
      <c r="AJ321" s="1"/>
      <c r="AK321" s="1"/>
      <c r="AL321" s="1"/>
      <c r="AM321" s="1"/>
      <c r="AN321" s="1"/>
      <c r="AO321" s="1"/>
      <c r="AP321" s="1"/>
      <c r="AQ321" s="1"/>
      <c r="AR321" s="1"/>
      <c r="AS321" s="1"/>
      <c r="AT321" s="1"/>
      <c r="AU321" s="1"/>
      <c r="AV321" s="1"/>
      <c r="AW321" s="1"/>
      <c r="AX321" s="1"/>
      <c r="AY321" s="1"/>
      <c r="AZ321" s="4" t="s">
        <v>202</v>
      </c>
      <c r="BA321" s="1" t="s">
        <v>3822</v>
      </c>
      <c r="BB321" s="1"/>
      <c r="BC321" s="1"/>
    </row>
    <row r="322" spans="1:55" s="78" customFormat="1" ht="15" customHeight="1" x14ac:dyDescent="0.25">
      <c r="A322" s="52" t="s">
        <v>4331</v>
      </c>
      <c r="B322" s="34" t="s">
        <v>59</v>
      </c>
      <c r="C322" s="53">
        <v>2026</v>
      </c>
      <c r="D322" s="53">
        <v>2026</v>
      </c>
      <c r="E322" s="54" t="s">
        <v>3129</v>
      </c>
      <c r="F322" s="55" t="s">
        <v>50</v>
      </c>
      <c r="G322" s="55" t="s">
        <v>50</v>
      </c>
      <c r="H322" s="45" t="s">
        <v>940</v>
      </c>
      <c r="I322" s="56" t="s">
        <v>78</v>
      </c>
      <c r="J322" s="56"/>
      <c r="K322" s="56" t="s">
        <v>74</v>
      </c>
      <c r="L322" s="55" t="s">
        <v>88</v>
      </c>
      <c r="M322" s="55"/>
      <c r="N322" s="45" t="s">
        <v>110</v>
      </c>
      <c r="O322" s="56"/>
      <c r="P322" s="55" t="s">
        <v>75</v>
      </c>
      <c r="Q322" s="56" t="s">
        <v>57</v>
      </c>
      <c r="R322" s="55"/>
      <c r="S322" s="56" t="s">
        <v>81</v>
      </c>
      <c r="T322" s="55" t="str">
        <f>IF(ISNUMBER(SEARCH(",",N322)),"Y","N")</f>
        <v>N</v>
      </c>
      <c r="U322" s="57">
        <v>-999</v>
      </c>
      <c r="V322" s="57" t="s">
        <v>59</v>
      </c>
      <c r="W322" s="55" t="s">
        <v>2319</v>
      </c>
      <c r="X322" s="54" t="s">
        <v>4331</v>
      </c>
      <c r="Y322" s="52"/>
      <c r="Z322" s="1" t="s">
        <v>61</v>
      </c>
      <c r="AA322" s="1" t="s">
        <v>941</v>
      </c>
      <c r="AB322" s="1"/>
      <c r="AC322" s="1"/>
      <c r="AD322" s="3" t="s">
        <v>62</v>
      </c>
      <c r="AE322" s="1" t="s">
        <v>336</v>
      </c>
      <c r="AF322" s="1" t="s">
        <v>942</v>
      </c>
      <c r="AG322" s="1" t="s">
        <v>943</v>
      </c>
      <c r="AH322" s="2">
        <v>100</v>
      </c>
      <c r="AI322" s="1"/>
      <c r="AJ322" s="1"/>
      <c r="AK322" s="1"/>
      <c r="AL322" s="1"/>
      <c r="AM322" s="1"/>
      <c r="AN322" s="1"/>
      <c r="AO322" s="1"/>
      <c r="AP322" s="1"/>
      <c r="AQ322" s="1"/>
      <c r="AR322" s="1"/>
      <c r="AS322" s="1"/>
      <c r="AT322" s="1"/>
      <c r="AU322" s="1"/>
      <c r="AV322" s="1"/>
      <c r="AW322" s="1"/>
      <c r="AX322" s="1"/>
      <c r="AY322" s="1"/>
      <c r="AZ322" s="5" t="s">
        <v>939</v>
      </c>
      <c r="BA322" s="5"/>
      <c r="BB322" s="1"/>
      <c r="BC322" s="1"/>
    </row>
    <row r="323" spans="1:55" s="78" customFormat="1" ht="15" customHeight="1" x14ac:dyDescent="0.25">
      <c r="A323" s="52" t="s">
        <v>4332</v>
      </c>
      <c r="B323" s="34" t="s">
        <v>59</v>
      </c>
      <c r="C323" s="53">
        <v>2026</v>
      </c>
      <c r="D323" s="53">
        <v>2026</v>
      </c>
      <c r="E323" s="54" t="s">
        <v>3130</v>
      </c>
      <c r="F323" s="55" t="s">
        <v>50</v>
      </c>
      <c r="G323" s="55" t="s">
        <v>50</v>
      </c>
      <c r="H323" s="45" t="s">
        <v>945</v>
      </c>
      <c r="I323" s="56" t="s">
        <v>52</v>
      </c>
      <c r="J323" s="56"/>
      <c r="K323" s="56" t="s">
        <v>87</v>
      </c>
      <c r="L323" s="55" t="str">
        <f>IF(K323="Mine or Quarry","Mine","")</f>
        <v/>
      </c>
      <c r="M323" s="55"/>
      <c r="N323" s="56"/>
      <c r="O323" s="56" t="s">
        <v>2984</v>
      </c>
      <c r="P323" s="56" t="s">
        <v>89</v>
      </c>
      <c r="Q323" s="56" t="s">
        <v>89</v>
      </c>
      <c r="R323" s="55"/>
      <c r="S323" s="56" t="s">
        <v>81</v>
      </c>
      <c r="T323" s="55" t="s">
        <v>58</v>
      </c>
      <c r="U323" s="57">
        <v>-999</v>
      </c>
      <c r="V323" s="57" t="s">
        <v>59</v>
      </c>
      <c r="W323" s="55" t="s">
        <v>2319</v>
      </c>
      <c r="X323" s="54" t="s">
        <v>4332</v>
      </c>
      <c r="Y323" s="52"/>
      <c r="Z323" s="1" t="s">
        <v>61</v>
      </c>
      <c r="AA323" s="1" t="s">
        <v>946</v>
      </c>
      <c r="AB323" s="1"/>
      <c r="AC323" s="1"/>
      <c r="AD323" s="3" t="s">
        <v>62</v>
      </c>
      <c r="AE323" s="1" t="s">
        <v>251</v>
      </c>
      <c r="AF323" s="1" t="s">
        <v>947</v>
      </c>
      <c r="AG323" s="1" t="s">
        <v>947</v>
      </c>
      <c r="AH323" s="2"/>
      <c r="AI323" s="1"/>
      <c r="AJ323" s="1"/>
      <c r="AK323" s="1"/>
      <c r="AL323" s="1"/>
      <c r="AM323" s="1"/>
      <c r="AN323" s="1"/>
      <c r="AO323" s="1"/>
      <c r="AP323" s="1"/>
      <c r="AQ323" s="1"/>
      <c r="AR323" s="1"/>
      <c r="AS323" s="1"/>
      <c r="AT323" s="1"/>
      <c r="AU323" s="1"/>
      <c r="AV323" s="1"/>
      <c r="AW323" s="1"/>
      <c r="AX323" s="1"/>
      <c r="AY323" s="1"/>
      <c r="AZ323" s="5" t="s">
        <v>944</v>
      </c>
      <c r="BA323" s="5"/>
      <c r="BB323" s="1"/>
      <c r="BC323" s="1"/>
    </row>
    <row r="324" spans="1:55" s="78" customFormat="1" ht="15" customHeight="1" x14ac:dyDescent="0.25">
      <c r="A324" s="52" t="s">
        <v>4333</v>
      </c>
      <c r="B324" s="34" t="s">
        <v>59</v>
      </c>
      <c r="C324" s="53">
        <v>2026</v>
      </c>
      <c r="D324" s="53">
        <v>2026</v>
      </c>
      <c r="E324" s="54" t="s">
        <v>3131</v>
      </c>
      <c r="F324" s="55" t="s">
        <v>50</v>
      </c>
      <c r="G324" s="55" t="s">
        <v>50</v>
      </c>
      <c r="H324" s="45" t="s">
        <v>949</v>
      </c>
      <c r="I324" s="56" t="s">
        <v>78</v>
      </c>
      <c r="J324" s="56"/>
      <c r="K324" s="55" t="s">
        <v>71</v>
      </c>
      <c r="L324" s="55" t="s">
        <v>88</v>
      </c>
      <c r="M324" s="55"/>
      <c r="N324" s="55" t="s">
        <v>181</v>
      </c>
      <c r="O324" s="55"/>
      <c r="P324" s="55" t="s">
        <v>73</v>
      </c>
      <c r="Q324" s="55" t="s">
        <v>57</v>
      </c>
      <c r="R324" s="55"/>
      <c r="S324" s="56" t="s">
        <v>58</v>
      </c>
      <c r="T324" s="55" t="s">
        <v>81</v>
      </c>
      <c r="U324" s="57">
        <v>3.9969999999999999</v>
      </c>
      <c r="V324" s="57" t="s">
        <v>101</v>
      </c>
      <c r="W324" s="55"/>
      <c r="X324" s="54" t="s">
        <v>4333</v>
      </c>
      <c r="Y324" s="52"/>
      <c r="Z324" s="1" t="s">
        <v>61</v>
      </c>
      <c r="AA324" s="55" t="s">
        <v>950</v>
      </c>
      <c r="AB324" s="55"/>
      <c r="AC324" s="55"/>
      <c r="AD324" s="3" t="s">
        <v>62</v>
      </c>
      <c r="AE324" s="55" t="s">
        <v>574</v>
      </c>
      <c r="AF324" s="55" t="s">
        <v>951</v>
      </c>
      <c r="AG324" s="55" t="s">
        <v>951</v>
      </c>
      <c r="AH324" s="64">
        <v>100</v>
      </c>
      <c r="AI324" s="55"/>
      <c r="AJ324" s="55"/>
      <c r="AK324" s="55"/>
      <c r="AL324" s="55"/>
      <c r="AM324" s="55"/>
      <c r="AN324" s="55"/>
      <c r="AO324" s="55"/>
      <c r="AP324" s="55"/>
      <c r="AQ324" s="55"/>
      <c r="AR324" s="55"/>
      <c r="AS324" s="55"/>
      <c r="AT324" s="55"/>
      <c r="AU324" s="55"/>
      <c r="AV324" s="55"/>
      <c r="AW324" s="55"/>
      <c r="AX324" s="55"/>
      <c r="AY324" s="55"/>
      <c r="AZ324" s="33" t="s">
        <v>948</v>
      </c>
      <c r="BA324" s="33"/>
      <c r="BB324" s="1"/>
      <c r="BC324" s="1"/>
    </row>
    <row r="325" spans="1:55" s="78" customFormat="1" ht="15" customHeight="1" x14ac:dyDescent="0.25">
      <c r="A325" s="52" t="s">
        <v>4334</v>
      </c>
      <c r="B325" s="34" t="s">
        <v>59</v>
      </c>
      <c r="C325" s="53">
        <v>2026</v>
      </c>
      <c r="D325" s="53">
        <v>2026</v>
      </c>
      <c r="E325" s="54" t="s">
        <v>3131</v>
      </c>
      <c r="F325" s="55" t="s">
        <v>50</v>
      </c>
      <c r="G325" s="55" t="s">
        <v>50</v>
      </c>
      <c r="H325" s="45" t="s">
        <v>949</v>
      </c>
      <c r="I325" s="56" t="s">
        <v>78</v>
      </c>
      <c r="J325" s="56"/>
      <c r="K325" s="56" t="s">
        <v>74</v>
      </c>
      <c r="L325" s="55" t="str">
        <f>IF(K325="Mines and Quarries","Mine","")</f>
        <v/>
      </c>
      <c r="M325" s="55"/>
      <c r="N325" s="56" t="s">
        <v>181</v>
      </c>
      <c r="O325" s="56"/>
      <c r="P325" s="55" t="s">
        <v>75</v>
      </c>
      <c r="Q325" s="56" t="s">
        <v>57</v>
      </c>
      <c r="R325" s="55"/>
      <c r="S325" s="56" t="s">
        <v>58</v>
      </c>
      <c r="T325" s="55" t="str">
        <f>IF(ISNUMBER(SEARCH(",",N325)),"Y","N")</f>
        <v>N</v>
      </c>
      <c r="U325" s="57">
        <v>-999</v>
      </c>
      <c r="V325" s="57" t="s">
        <v>59</v>
      </c>
      <c r="W325" s="55"/>
      <c r="X325" s="54" t="s">
        <v>4334</v>
      </c>
      <c r="Y325" s="52"/>
      <c r="Z325" s="1" t="s">
        <v>61</v>
      </c>
      <c r="AA325" s="55" t="s">
        <v>950</v>
      </c>
      <c r="AB325" s="55"/>
      <c r="AC325" s="55"/>
      <c r="AD325" s="3" t="s">
        <v>62</v>
      </c>
      <c r="AE325" s="1" t="s">
        <v>574</v>
      </c>
      <c r="AF325" s="55" t="s">
        <v>951</v>
      </c>
      <c r="AG325" s="55" t="s">
        <v>951</v>
      </c>
      <c r="AH325" s="64">
        <v>100</v>
      </c>
      <c r="AI325" s="1"/>
      <c r="AJ325" s="1"/>
      <c r="AK325" s="1"/>
      <c r="AL325" s="1"/>
      <c r="AM325" s="1"/>
      <c r="AN325" s="1"/>
      <c r="AO325" s="1"/>
      <c r="AP325" s="1"/>
      <c r="AQ325" s="1"/>
      <c r="AR325" s="1"/>
      <c r="AS325" s="1"/>
      <c r="AT325" s="1"/>
      <c r="AU325" s="1"/>
      <c r="AV325" s="1"/>
      <c r="AW325" s="1"/>
      <c r="AX325" s="1"/>
      <c r="AY325" s="1"/>
      <c r="AZ325" s="5" t="s">
        <v>952</v>
      </c>
      <c r="BA325" s="5"/>
      <c r="BB325" s="1"/>
      <c r="BC325" s="1"/>
    </row>
    <row r="326" spans="1:55" s="78" customFormat="1" ht="15" customHeight="1" x14ac:dyDescent="0.25">
      <c r="A326" s="52" t="s">
        <v>4335</v>
      </c>
      <c r="B326" s="34" t="s">
        <v>59</v>
      </c>
      <c r="C326" s="53">
        <v>2026</v>
      </c>
      <c r="D326" s="53">
        <v>2026</v>
      </c>
      <c r="E326" s="54" t="s">
        <v>3132</v>
      </c>
      <c r="F326" s="55" t="s">
        <v>50</v>
      </c>
      <c r="G326" s="55" t="s">
        <v>50</v>
      </c>
      <c r="H326" s="45" t="s">
        <v>954</v>
      </c>
      <c r="I326" s="56" t="s">
        <v>52</v>
      </c>
      <c r="J326" s="56"/>
      <c r="K326" s="56" t="s">
        <v>74</v>
      </c>
      <c r="L326" s="55"/>
      <c r="M326" s="55"/>
      <c r="N326" s="55" t="s">
        <v>110</v>
      </c>
      <c r="O326" s="56" t="s">
        <v>296</v>
      </c>
      <c r="P326" s="55" t="s">
        <v>75</v>
      </c>
      <c r="Q326" s="56" t="s">
        <v>57</v>
      </c>
      <c r="R326" s="55"/>
      <c r="S326" s="56" t="s">
        <v>58</v>
      </c>
      <c r="T326" s="55" t="s">
        <v>81</v>
      </c>
      <c r="U326" s="57">
        <v>-999</v>
      </c>
      <c r="V326" s="57" t="s">
        <v>59</v>
      </c>
      <c r="W326" s="55" t="s">
        <v>2797</v>
      </c>
      <c r="X326" s="54" t="s">
        <v>4335</v>
      </c>
      <c r="Y326" s="52"/>
      <c r="Z326" s="1" t="s">
        <v>61</v>
      </c>
      <c r="AA326" s="1" t="s">
        <v>950</v>
      </c>
      <c r="AB326" s="1"/>
      <c r="AC326" s="1"/>
      <c r="AD326" s="3" t="s">
        <v>62</v>
      </c>
      <c r="AE326" s="1" t="s">
        <v>574</v>
      </c>
      <c r="AF326" s="55" t="s">
        <v>951</v>
      </c>
      <c r="AG326" s="55" t="s">
        <v>951</v>
      </c>
      <c r="AH326" s="64">
        <v>100</v>
      </c>
      <c r="AI326" s="1"/>
      <c r="AJ326" s="1"/>
      <c r="AK326" s="1"/>
      <c r="AL326" s="1"/>
      <c r="AM326" s="1"/>
      <c r="AN326" s="1"/>
      <c r="AO326" s="1"/>
      <c r="AP326" s="1"/>
      <c r="AQ326" s="1"/>
      <c r="AR326" s="1"/>
      <c r="AS326" s="1"/>
      <c r="AT326" s="1"/>
      <c r="AU326" s="1"/>
      <c r="AV326" s="1"/>
      <c r="AW326" s="1"/>
      <c r="AX326" s="1"/>
      <c r="AY326" s="1"/>
      <c r="AZ326" s="4" t="s">
        <v>953</v>
      </c>
      <c r="BA326" s="5"/>
      <c r="BB326" s="1"/>
      <c r="BC326" s="1"/>
    </row>
    <row r="327" spans="1:55" s="78" customFormat="1" ht="15" customHeight="1" x14ac:dyDescent="0.25">
      <c r="A327" s="52" t="s">
        <v>4336</v>
      </c>
      <c r="B327" s="34" t="s">
        <v>59</v>
      </c>
      <c r="C327" s="53">
        <v>2026</v>
      </c>
      <c r="D327" s="53">
        <v>2026</v>
      </c>
      <c r="E327" s="54" t="s">
        <v>3132</v>
      </c>
      <c r="F327" s="55" t="s">
        <v>50</v>
      </c>
      <c r="G327" s="55" t="s">
        <v>50</v>
      </c>
      <c r="H327" s="45" t="s">
        <v>954</v>
      </c>
      <c r="I327" s="56" t="s">
        <v>52</v>
      </c>
      <c r="J327" s="56"/>
      <c r="K327" s="55" t="s">
        <v>71</v>
      </c>
      <c r="L327" s="55" t="str">
        <f>IF(K327="Mine or Quarry","Mine","")</f>
        <v/>
      </c>
      <c r="M327" s="55"/>
      <c r="N327" s="55" t="s">
        <v>110</v>
      </c>
      <c r="O327" s="45" t="s">
        <v>296</v>
      </c>
      <c r="P327" s="55" t="s">
        <v>73</v>
      </c>
      <c r="Q327" s="55" t="s">
        <v>57</v>
      </c>
      <c r="R327" s="55"/>
      <c r="S327" s="56" t="s">
        <v>58</v>
      </c>
      <c r="T327" s="55" t="str">
        <f>IF(ISNUMBER(SEARCH(",",N327)),"Y","N")</f>
        <v>N</v>
      </c>
      <c r="U327" s="57">
        <v>3.9969999999999999</v>
      </c>
      <c r="V327" s="57" t="s">
        <v>101</v>
      </c>
      <c r="W327" s="55"/>
      <c r="X327" s="54" t="s">
        <v>4336</v>
      </c>
      <c r="Y327" s="52"/>
      <c r="Z327" s="1" t="s">
        <v>61</v>
      </c>
      <c r="AA327" s="55" t="s">
        <v>950</v>
      </c>
      <c r="AB327" s="55"/>
      <c r="AC327" s="55"/>
      <c r="AD327" s="3" t="s">
        <v>62</v>
      </c>
      <c r="AE327" s="55" t="s">
        <v>574</v>
      </c>
      <c r="AF327" s="55" t="s">
        <v>951</v>
      </c>
      <c r="AG327" s="55" t="s">
        <v>951</v>
      </c>
      <c r="AH327" s="64">
        <v>100</v>
      </c>
      <c r="AI327" s="55"/>
      <c r="AJ327" s="55"/>
      <c r="AK327" s="55"/>
      <c r="AL327" s="55"/>
      <c r="AM327" s="55"/>
      <c r="AN327" s="55"/>
      <c r="AO327" s="55"/>
      <c r="AP327" s="55"/>
      <c r="AQ327" s="55"/>
      <c r="AR327" s="55"/>
      <c r="AS327" s="55"/>
      <c r="AT327" s="55"/>
      <c r="AU327" s="55"/>
      <c r="AV327" s="55"/>
      <c r="AW327" s="55"/>
      <c r="AX327" s="55"/>
      <c r="AY327" s="55"/>
      <c r="AZ327" s="33" t="s">
        <v>948</v>
      </c>
      <c r="BA327" s="33"/>
      <c r="BB327" s="1"/>
      <c r="BC327" s="1"/>
    </row>
    <row r="328" spans="1:55" s="78" customFormat="1" ht="15" customHeight="1" x14ac:dyDescent="0.25">
      <c r="A328" s="52" t="s">
        <v>4337</v>
      </c>
      <c r="B328" s="34" t="s">
        <v>59</v>
      </c>
      <c r="C328" s="53">
        <v>2026</v>
      </c>
      <c r="D328" s="53">
        <v>2026</v>
      </c>
      <c r="E328" s="54" t="s">
        <v>3133</v>
      </c>
      <c r="F328" s="55" t="s">
        <v>50</v>
      </c>
      <c r="G328" s="55" t="s">
        <v>50</v>
      </c>
      <c r="H328" s="45" t="s">
        <v>955</v>
      </c>
      <c r="I328" s="56" t="s">
        <v>78</v>
      </c>
      <c r="J328" s="56"/>
      <c r="K328" s="45" t="s">
        <v>180</v>
      </c>
      <c r="L328" s="55" t="str">
        <f>IF(K328="Mine or Quarry","Mine","")</f>
        <v/>
      </c>
      <c r="M328" s="55"/>
      <c r="N328" s="55" t="s">
        <v>181</v>
      </c>
      <c r="O328" s="55"/>
      <c r="P328" s="55" t="s">
        <v>182</v>
      </c>
      <c r="Q328" s="55" t="s">
        <v>5353</v>
      </c>
      <c r="R328" s="55"/>
      <c r="S328" s="56" t="s">
        <v>81</v>
      </c>
      <c r="T328" s="55" t="str">
        <f>IF(ISNUMBER(SEARCH(",",N328)),"Y","N")</f>
        <v>N</v>
      </c>
      <c r="U328" s="57">
        <v>900</v>
      </c>
      <c r="V328" s="57" t="s">
        <v>101</v>
      </c>
      <c r="W328" s="55"/>
      <c r="X328" s="54" t="s">
        <v>4337</v>
      </c>
      <c r="Y328" s="52"/>
      <c r="Z328" s="3" t="s">
        <v>2005</v>
      </c>
      <c r="AA328" s="3" t="s">
        <v>956</v>
      </c>
      <c r="AB328" s="3"/>
      <c r="AC328" s="3"/>
      <c r="AD328" s="3" t="s">
        <v>62</v>
      </c>
      <c r="AE328" s="3" t="s">
        <v>403</v>
      </c>
      <c r="AF328" s="3"/>
      <c r="AG328" s="3" t="s">
        <v>957</v>
      </c>
      <c r="AH328" s="58">
        <v>100</v>
      </c>
      <c r="AI328" s="3"/>
      <c r="AJ328" s="53"/>
      <c r="AK328" s="3"/>
      <c r="AL328" s="3"/>
      <c r="AM328" s="3"/>
      <c r="AN328" s="3"/>
      <c r="AO328" s="3"/>
      <c r="AP328" s="3"/>
      <c r="AQ328" s="3"/>
      <c r="AR328" s="3"/>
      <c r="AS328" s="3"/>
      <c r="AT328" s="3"/>
      <c r="AU328" s="3"/>
      <c r="AV328" s="3"/>
      <c r="AW328" s="3"/>
      <c r="AX328" s="3"/>
      <c r="AY328" s="3"/>
      <c r="AZ328" s="4" t="s">
        <v>3847</v>
      </c>
      <c r="BA328" s="3" t="s">
        <v>3848</v>
      </c>
      <c r="BB328" s="1"/>
      <c r="BC328" s="1"/>
    </row>
    <row r="329" spans="1:55" s="78" customFormat="1" ht="15" customHeight="1" x14ac:dyDescent="0.25">
      <c r="A329" s="52" t="s">
        <v>4338</v>
      </c>
      <c r="B329" s="34" t="s">
        <v>59</v>
      </c>
      <c r="C329" s="53">
        <v>2026</v>
      </c>
      <c r="D329" s="53">
        <v>2026</v>
      </c>
      <c r="E329" s="54" t="s">
        <v>3134</v>
      </c>
      <c r="F329" s="55" t="s">
        <v>50</v>
      </c>
      <c r="G329" s="55" t="s">
        <v>50</v>
      </c>
      <c r="H329" s="45" t="s">
        <v>958</v>
      </c>
      <c r="I329" s="56" t="s">
        <v>52</v>
      </c>
      <c r="J329" s="56"/>
      <c r="K329" s="45" t="s">
        <v>180</v>
      </c>
      <c r="L329" s="55" t="str">
        <f>IF(K329="Mine or Quarry","Mine","")</f>
        <v/>
      </c>
      <c r="M329" s="55"/>
      <c r="N329" s="55" t="s">
        <v>110</v>
      </c>
      <c r="O329" s="55" t="s">
        <v>188</v>
      </c>
      <c r="P329" s="55" t="s">
        <v>182</v>
      </c>
      <c r="Q329" s="55" t="s">
        <v>5353</v>
      </c>
      <c r="R329" s="55"/>
      <c r="S329" s="56" t="s">
        <v>81</v>
      </c>
      <c r="T329" s="55" t="str">
        <f>IF(ISNUMBER(SEARCH(",",N329)),"Y","N")</f>
        <v>N</v>
      </c>
      <c r="U329" s="57">
        <v>900</v>
      </c>
      <c r="V329" s="57" t="s">
        <v>101</v>
      </c>
      <c r="W329" s="55"/>
      <c r="X329" s="54" t="s">
        <v>4338</v>
      </c>
      <c r="Y329" s="52"/>
      <c r="Z329" s="3" t="s">
        <v>2005</v>
      </c>
      <c r="AA329" s="3" t="s">
        <v>956</v>
      </c>
      <c r="AB329" s="3"/>
      <c r="AC329" s="3"/>
      <c r="AD329" s="3" t="s">
        <v>62</v>
      </c>
      <c r="AE329" s="3" t="s">
        <v>403</v>
      </c>
      <c r="AF329" s="3"/>
      <c r="AG329" s="3" t="s">
        <v>957</v>
      </c>
      <c r="AH329" s="58">
        <v>100</v>
      </c>
      <c r="AI329" s="3"/>
      <c r="AJ329" s="53"/>
      <c r="AK329" s="3"/>
      <c r="AL329" s="3"/>
      <c r="AM329" s="3"/>
      <c r="AN329" s="3"/>
      <c r="AO329" s="3"/>
      <c r="AP329" s="3"/>
      <c r="AQ329" s="3"/>
      <c r="AR329" s="3"/>
      <c r="AS329" s="3"/>
      <c r="AT329" s="3"/>
      <c r="AU329" s="3"/>
      <c r="AV329" s="3"/>
      <c r="AW329" s="3"/>
      <c r="AX329" s="3"/>
      <c r="AY329" s="3"/>
      <c r="AZ329" s="4" t="s">
        <v>3847</v>
      </c>
      <c r="BA329" s="3" t="s">
        <v>3848</v>
      </c>
      <c r="BB329" s="1"/>
      <c r="BC329" s="1"/>
    </row>
    <row r="330" spans="1:55" s="78" customFormat="1" ht="15" customHeight="1" x14ac:dyDescent="0.25">
      <c r="A330" s="52" t="s">
        <v>4339</v>
      </c>
      <c r="B330" s="34" t="s">
        <v>59</v>
      </c>
      <c r="C330" s="53">
        <v>2026</v>
      </c>
      <c r="D330" s="53">
        <v>2026</v>
      </c>
      <c r="E330" s="54" t="s">
        <v>3135</v>
      </c>
      <c r="F330" s="55" t="s">
        <v>50</v>
      </c>
      <c r="G330" s="55" t="s">
        <v>50</v>
      </c>
      <c r="H330" s="45" t="s">
        <v>959</v>
      </c>
      <c r="I330" s="45" t="s">
        <v>78</v>
      </c>
      <c r="J330" s="56"/>
      <c r="K330" s="56" t="s">
        <v>417</v>
      </c>
      <c r="L330" s="55" t="s">
        <v>88</v>
      </c>
      <c r="M330" s="55"/>
      <c r="N330" s="55" t="s">
        <v>418</v>
      </c>
      <c r="O330" s="55"/>
      <c r="P330" s="55" t="s">
        <v>89</v>
      </c>
      <c r="Q330" s="55" t="s">
        <v>89</v>
      </c>
      <c r="R330" s="55"/>
      <c r="S330" s="56" t="s">
        <v>81</v>
      </c>
      <c r="T330" s="55" t="s">
        <v>81</v>
      </c>
      <c r="U330" s="57">
        <v>200000</v>
      </c>
      <c r="V330" s="57" t="s">
        <v>101</v>
      </c>
      <c r="W330" s="55" t="s">
        <v>2319</v>
      </c>
      <c r="X330" s="54" t="s">
        <v>4339</v>
      </c>
      <c r="Y330" s="52"/>
      <c r="Z330" s="3" t="s">
        <v>61</v>
      </c>
      <c r="AA330" s="3" t="s">
        <v>960</v>
      </c>
      <c r="AB330" s="3"/>
      <c r="AC330" s="3"/>
      <c r="AD330" s="3" t="s">
        <v>62</v>
      </c>
      <c r="AE330" s="3" t="s">
        <v>63</v>
      </c>
      <c r="AF330" s="3"/>
      <c r="AG330" s="3" t="s">
        <v>961</v>
      </c>
      <c r="AH330" s="58">
        <v>100</v>
      </c>
      <c r="AI330" s="3"/>
      <c r="AJ330" s="3"/>
      <c r="AK330" s="3"/>
      <c r="AL330" s="3"/>
      <c r="AM330" s="3"/>
      <c r="AN330" s="3"/>
      <c r="AO330" s="3"/>
      <c r="AP330" s="3"/>
      <c r="AQ330" s="3"/>
      <c r="AR330" s="3"/>
      <c r="AS330" s="3"/>
      <c r="AT330" s="3"/>
      <c r="AU330" s="3"/>
      <c r="AV330" s="3"/>
      <c r="AW330" s="3"/>
      <c r="AX330" s="3"/>
      <c r="AY330" s="3"/>
      <c r="AZ330" s="4" t="s">
        <v>3849</v>
      </c>
      <c r="BA330" s="3" t="s">
        <v>3850</v>
      </c>
      <c r="BB330" s="1"/>
      <c r="BC330" s="1"/>
    </row>
    <row r="331" spans="1:55" s="78" customFormat="1" ht="15" customHeight="1" x14ac:dyDescent="0.25">
      <c r="A331" s="52" t="s">
        <v>4340</v>
      </c>
      <c r="B331" s="34" t="s">
        <v>59</v>
      </c>
      <c r="C331" s="53">
        <v>2026</v>
      </c>
      <c r="D331" s="53">
        <v>2026</v>
      </c>
      <c r="E331" s="54" t="s">
        <v>3136</v>
      </c>
      <c r="F331" s="55" t="s">
        <v>50</v>
      </c>
      <c r="G331" s="55" t="s">
        <v>50</v>
      </c>
      <c r="H331" s="45" t="s">
        <v>963</v>
      </c>
      <c r="I331" s="56" t="s">
        <v>78</v>
      </c>
      <c r="J331" s="56"/>
      <c r="K331" s="56" t="s">
        <v>120</v>
      </c>
      <c r="L331" s="55" t="s">
        <v>88</v>
      </c>
      <c r="M331" s="56"/>
      <c r="N331" s="45" t="s">
        <v>110</v>
      </c>
      <c r="O331" s="56"/>
      <c r="P331" s="56" t="s">
        <v>121</v>
      </c>
      <c r="Q331" s="55" t="s">
        <v>57</v>
      </c>
      <c r="R331" s="56"/>
      <c r="S331" s="55" t="s">
        <v>58</v>
      </c>
      <c r="T331" s="55" t="s">
        <v>81</v>
      </c>
      <c r="U331" s="57">
        <v>-999</v>
      </c>
      <c r="V331" s="57" t="s">
        <v>59</v>
      </c>
      <c r="W331" s="55" t="s">
        <v>2319</v>
      </c>
      <c r="X331" s="54" t="s">
        <v>4340</v>
      </c>
      <c r="Y331" s="52"/>
      <c r="Z331" s="1" t="s">
        <v>154</v>
      </c>
      <c r="AA331" s="1" t="s">
        <v>964</v>
      </c>
      <c r="AB331" s="1"/>
      <c r="AC331" s="1"/>
      <c r="AD331" s="3" t="s">
        <v>62</v>
      </c>
      <c r="AE331" s="3" t="s">
        <v>336</v>
      </c>
      <c r="AF331" s="1"/>
      <c r="AG331" s="1" t="s">
        <v>965</v>
      </c>
      <c r="AH331" s="2">
        <v>100</v>
      </c>
      <c r="AI331" s="1"/>
      <c r="AJ331" s="1"/>
      <c r="AK331" s="1"/>
      <c r="AL331" s="1"/>
      <c r="AM331" s="1"/>
      <c r="AN331" s="1"/>
      <c r="AO331" s="1"/>
      <c r="AP331" s="1"/>
      <c r="AQ331" s="1"/>
      <c r="AR331" s="1"/>
      <c r="AS331" s="1"/>
      <c r="AT331" s="1"/>
      <c r="AU331" s="1"/>
      <c r="AV331" s="1"/>
      <c r="AW331" s="1"/>
      <c r="AX331" s="1"/>
      <c r="AY331" s="1"/>
      <c r="AZ331" s="4" t="s">
        <v>962</v>
      </c>
      <c r="BA331" s="4"/>
      <c r="BB331" s="1"/>
      <c r="BC331" s="1"/>
    </row>
    <row r="332" spans="1:55" s="78" customFormat="1" ht="15" customHeight="1" x14ac:dyDescent="0.25">
      <c r="A332" s="52" t="s">
        <v>4341</v>
      </c>
      <c r="B332" s="34" t="s">
        <v>59</v>
      </c>
      <c r="C332" s="53">
        <v>2026</v>
      </c>
      <c r="D332" s="53">
        <v>2026</v>
      </c>
      <c r="E332" s="54" t="s">
        <v>3136</v>
      </c>
      <c r="F332" s="55" t="s">
        <v>50</v>
      </c>
      <c r="G332" s="55" t="s">
        <v>50</v>
      </c>
      <c r="H332" s="45" t="s">
        <v>963</v>
      </c>
      <c r="I332" s="56" t="s">
        <v>78</v>
      </c>
      <c r="J332" s="56"/>
      <c r="K332" s="56" t="s">
        <v>859</v>
      </c>
      <c r="L332" s="55" t="s">
        <v>88</v>
      </c>
      <c r="M332" s="56"/>
      <c r="N332" s="45" t="s">
        <v>110</v>
      </c>
      <c r="O332" s="56"/>
      <c r="P332" s="56" t="s">
        <v>861</v>
      </c>
      <c r="Q332" s="56" t="s">
        <v>57</v>
      </c>
      <c r="R332" s="56"/>
      <c r="S332" s="55" t="s">
        <v>58</v>
      </c>
      <c r="T332" s="55" t="s">
        <v>81</v>
      </c>
      <c r="U332" s="57">
        <v>-999</v>
      </c>
      <c r="V332" s="57" t="s">
        <v>59</v>
      </c>
      <c r="W332" s="55" t="s">
        <v>2319</v>
      </c>
      <c r="X332" s="54" t="s">
        <v>4341</v>
      </c>
      <c r="Y332" s="52"/>
      <c r="Z332" s="1" t="s">
        <v>154</v>
      </c>
      <c r="AA332" s="1" t="s">
        <v>964</v>
      </c>
      <c r="AB332" s="1"/>
      <c r="AC332" s="1"/>
      <c r="AD332" s="3" t="s">
        <v>62</v>
      </c>
      <c r="AE332" s="3" t="s">
        <v>336</v>
      </c>
      <c r="AF332" s="1"/>
      <c r="AG332" s="1" t="s">
        <v>965</v>
      </c>
      <c r="AH332" s="2">
        <v>100</v>
      </c>
      <c r="AI332" s="1"/>
      <c r="AJ332" s="1"/>
      <c r="AK332" s="1"/>
      <c r="AL332" s="1"/>
      <c r="AM332" s="1"/>
      <c r="AN332" s="1"/>
      <c r="AO332" s="1"/>
      <c r="AP332" s="1"/>
      <c r="AQ332" s="1"/>
      <c r="AR332" s="1"/>
      <c r="AS332" s="1"/>
      <c r="AT332" s="1"/>
      <c r="AU332" s="1"/>
      <c r="AV332" s="1"/>
      <c r="AW332" s="1"/>
      <c r="AX332" s="1"/>
      <c r="AY332" s="1"/>
      <c r="AZ332" s="4" t="s">
        <v>962</v>
      </c>
      <c r="BA332" s="4"/>
      <c r="BB332" s="1"/>
      <c r="BC332" s="1"/>
    </row>
    <row r="333" spans="1:55" s="78" customFormat="1" ht="15" customHeight="1" x14ac:dyDescent="0.25">
      <c r="A333" s="52" t="s">
        <v>4342</v>
      </c>
      <c r="B333" s="34" t="s">
        <v>59</v>
      </c>
      <c r="C333" s="53">
        <v>2026</v>
      </c>
      <c r="D333" s="53">
        <v>2026</v>
      </c>
      <c r="E333" s="54" t="s">
        <v>3136</v>
      </c>
      <c r="F333" s="55" t="s">
        <v>50</v>
      </c>
      <c r="G333" s="55" t="s">
        <v>50</v>
      </c>
      <c r="H333" s="45" t="s">
        <v>963</v>
      </c>
      <c r="I333" s="56" t="s">
        <v>78</v>
      </c>
      <c r="J333" s="56"/>
      <c r="K333" s="56" t="s">
        <v>264</v>
      </c>
      <c r="L333" s="55" t="s">
        <v>88</v>
      </c>
      <c r="M333" s="56"/>
      <c r="N333" s="45" t="s">
        <v>110</v>
      </c>
      <c r="O333" s="56"/>
      <c r="P333" s="55" t="s">
        <v>265</v>
      </c>
      <c r="Q333" s="55" t="s">
        <v>57</v>
      </c>
      <c r="R333" s="56"/>
      <c r="S333" s="55" t="s">
        <v>58</v>
      </c>
      <c r="T333" s="55" t="s">
        <v>81</v>
      </c>
      <c r="U333" s="72">
        <v>19.5</v>
      </c>
      <c r="V333" s="57" t="s">
        <v>101</v>
      </c>
      <c r="W333" s="55" t="s">
        <v>2319</v>
      </c>
      <c r="X333" s="54" t="s">
        <v>4342</v>
      </c>
      <c r="Y333" s="52"/>
      <c r="Z333" s="1" t="s">
        <v>154</v>
      </c>
      <c r="AA333" s="1" t="s">
        <v>964</v>
      </c>
      <c r="AB333" s="1"/>
      <c r="AC333" s="1"/>
      <c r="AD333" s="3" t="s">
        <v>62</v>
      </c>
      <c r="AE333" s="3" t="s">
        <v>336</v>
      </c>
      <c r="AF333" s="1"/>
      <c r="AG333" s="1" t="s">
        <v>965</v>
      </c>
      <c r="AH333" s="2">
        <v>100</v>
      </c>
      <c r="AI333" s="1"/>
      <c r="AJ333" s="1"/>
      <c r="AK333" s="1"/>
      <c r="AL333" s="1"/>
      <c r="AM333" s="1"/>
      <c r="AN333" s="1"/>
      <c r="AO333" s="1"/>
      <c r="AP333" s="1"/>
      <c r="AQ333" s="1"/>
      <c r="AR333" s="1"/>
      <c r="AS333" s="1"/>
      <c r="AT333" s="1"/>
      <c r="AU333" s="1"/>
      <c r="AV333" s="1"/>
      <c r="AW333" s="1"/>
      <c r="AX333" s="1"/>
      <c r="AY333" s="1"/>
      <c r="AZ333" s="5" t="s">
        <v>966</v>
      </c>
      <c r="BA333" s="4"/>
      <c r="BB333" s="1"/>
      <c r="BC333" s="1"/>
    </row>
    <row r="334" spans="1:55" s="78" customFormat="1" ht="15" customHeight="1" x14ac:dyDescent="0.25">
      <c r="A334" s="52" t="s">
        <v>4343</v>
      </c>
      <c r="B334" s="34" t="s">
        <v>59</v>
      </c>
      <c r="C334" s="53">
        <v>2026</v>
      </c>
      <c r="D334" s="53">
        <v>2026</v>
      </c>
      <c r="E334" s="54" t="s">
        <v>3136</v>
      </c>
      <c r="F334" s="55" t="s">
        <v>50</v>
      </c>
      <c r="G334" s="55" t="s">
        <v>50</v>
      </c>
      <c r="H334" s="45" t="s">
        <v>963</v>
      </c>
      <c r="I334" s="56" t="s">
        <v>78</v>
      </c>
      <c r="J334" s="56"/>
      <c r="K334" s="56" t="s">
        <v>53</v>
      </c>
      <c r="L334" s="55" t="s">
        <v>88</v>
      </c>
      <c r="M334" s="56"/>
      <c r="N334" s="45" t="s">
        <v>110</v>
      </c>
      <c r="O334" s="56"/>
      <c r="P334" s="55" t="s">
        <v>56</v>
      </c>
      <c r="Q334" s="55" t="s">
        <v>57</v>
      </c>
      <c r="R334" s="56"/>
      <c r="S334" s="55" t="s">
        <v>58</v>
      </c>
      <c r="T334" s="55" t="s">
        <v>81</v>
      </c>
      <c r="U334" s="57">
        <v>38000</v>
      </c>
      <c r="V334" s="57" t="s">
        <v>101</v>
      </c>
      <c r="W334" s="55" t="s">
        <v>2319</v>
      </c>
      <c r="X334" s="54" t="s">
        <v>4343</v>
      </c>
      <c r="Y334" s="52"/>
      <c r="Z334" s="1" t="s">
        <v>154</v>
      </c>
      <c r="AA334" s="1" t="s">
        <v>964</v>
      </c>
      <c r="AB334" s="1"/>
      <c r="AC334" s="1"/>
      <c r="AD334" s="3" t="s">
        <v>62</v>
      </c>
      <c r="AE334" s="3" t="s">
        <v>336</v>
      </c>
      <c r="AF334" s="1"/>
      <c r="AG334" s="1" t="s">
        <v>965</v>
      </c>
      <c r="AH334" s="2">
        <v>100</v>
      </c>
      <c r="AI334" s="1"/>
      <c r="AJ334" s="1"/>
      <c r="AK334" s="1"/>
      <c r="AL334" s="1"/>
      <c r="AM334" s="1"/>
      <c r="AN334" s="1"/>
      <c r="AO334" s="1"/>
      <c r="AP334" s="1"/>
      <c r="AQ334" s="1"/>
      <c r="AR334" s="1"/>
      <c r="AS334" s="1"/>
      <c r="AT334" s="1"/>
      <c r="AU334" s="1"/>
      <c r="AV334" s="1"/>
      <c r="AW334" s="1"/>
      <c r="AX334" s="1"/>
      <c r="AY334" s="1"/>
      <c r="AZ334" s="4" t="s">
        <v>962</v>
      </c>
      <c r="BA334" s="4"/>
      <c r="BB334" s="1"/>
      <c r="BC334" s="1"/>
    </row>
    <row r="335" spans="1:55" s="78" customFormat="1" ht="15" customHeight="1" x14ac:dyDescent="0.25">
      <c r="A335" s="52" t="s">
        <v>4344</v>
      </c>
      <c r="B335" s="34" t="s">
        <v>59</v>
      </c>
      <c r="C335" s="53">
        <v>2026</v>
      </c>
      <c r="D335" s="53">
        <v>2026</v>
      </c>
      <c r="E335" s="54" t="s">
        <v>3136</v>
      </c>
      <c r="F335" s="55" t="s">
        <v>50</v>
      </c>
      <c r="G335" s="55" t="s">
        <v>50</v>
      </c>
      <c r="H335" s="45" t="s">
        <v>963</v>
      </c>
      <c r="I335" s="56" t="s">
        <v>78</v>
      </c>
      <c r="J335" s="56"/>
      <c r="K335" s="56" t="s">
        <v>74</v>
      </c>
      <c r="L335" s="55" t="s">
        <v>88</v>
      </c>
      <c r="M335" s="56"/>
      <c r="N335" s="45" t="s">
        <v>110</v>
      </c>
      <c r="O335" s="56"/>
      <c r="P335" s="56" t="s">
        <v>75</v>
      </c>
      <c r="Q335" s="56" t="s">
        <v>57</v>
      </c>
      <c r="R335" s="56"/>
      <c r="S335" s="55" t="s">
        <v>58</v>
      </c>
      <c r="T335" s="55" t="s">
        <v>81</v>
      </c>
      <c r="U335" s="57">
        <v>101</v>
      </c>
      <c r="V335" s="57" t="s">
        <v>101</v>
      </c>
      <c r="W335" s="55" t="s">
        <v>2319</v>
      </c>
      <c r="X335" s="54" t="s">
        <v>4344</v>
      </c>
      <c r="Y335" s="52"/>
      <c r="Z335" s="1" t="s">
        <v>154</v>
      </c>
      <c r="AA335" s="1" t="s">
        <v>964</v>
      </c>
      <c r="AB335" s="1"/>
      <c r="AC335" s="1"/>
      <c r="AD335" s="3" t="s">
        <v>62</v>
      </c>
      <c r="AE335" s="3" t="s">
        <v>336</v>
      </c>
      <c r="AF335" s="1"/>
      <c r="AG335" s="1" t="s">
        <v>965</v>
      </c>
      <c r="AH335" s="2">
        <v>100</v>
      </c>
      <c r="AI335" s="1"/>
      <c r="AJ335" s="1"/>
      <c r="AK335" s="1"/>
      <c r="AL335" s="1"/>
      <c r="AM335" s="1"/>
      <c r="AN335" s="1"/>
      <c r="AO335" s="1"/>
      <c r="AP335" s="1"/>
      <c r="AQ335" s="1"/>
      <c r="AR335" s="1"/>
      <c r="AS335" s="1"/>
      <c r="AT335" s="1"/>
      <c r="AU335" s="1"/>
      <c r="AV335" s="1"/>
      <c r="AW335" s="1"/>
      <c r="AX335" s="1"/>
      <c r="AY335" s="1"/>
      <c r="AZ335" s="5" t="s">
        <v>966</v>
      </c>
      <c r="BA335" s="4"/>
      <c r="BB335" s="1"/>
      <c r="BC335" s="1"/>
    </row>
    <row r="336" spans="1:55" s="78" customFormat="1" ht="15" customHeight="1" x14ac:dyDescent="0.25">
      <c r="A336" s="52" t="s">
        <v>4345</v>
      </c>
      <c r="B336" s="34" t="s">
        <v>59</v>
      </c>
      <c r="C336" s="53">
        <v>2026</v>
      </c>
      <c r="D336" s="53">
        <v>2026</v>
      </c>
      <c r="E336" s="54" t="s">
        <v>3137</v>
      </c>
      <c r="F336" s="55" t="s">
        <v>50</v>
      </c>
      <c r="G336" s="55" t="s">
        <v>50</v>
      </c>
      <c r="H336" s="45" t="s">
        <v>967</v>
      </c>
      <c r="I336" s="56" t="s">
        <v>78</v>
      </c>
      <c r="J336" s="56"/>
      <c r="K336" s="56" t="s">
        <v>79</v>
      </c>
      <c r="L336" s="55" t="str">
        <f>IF(K336="Mine or Quarry","Mine","")</f>
        <v/>
      </c>
      <c r="M336" s="55"/>
      <c r="N336" s="56" t="s">
        <v>80</v>
      </c>
      <c r="O336" s="56"/>
      <c r="P336" s="56" t="s">
        <v>89</v>
      </c>
      <c r="Q336" s="56" t="s">
        <v>89</v>
      </c>
      <c r="R336" s="55"/>
      <c r="S336" s="56" t="s">
        <v>81</v>
      </c>
      <c r="T336" s="55" t="str">
        <f>IF(ISNUMBER(SEARCH(",",N336)),"Y","N")</f>
        <v>N</v>
      </c>
      <c r="U336" s="57">
        <v>-999</v>
      </c>
      <c r="V336" s="57" t="s">
        <v>59</v>
      </c>
      <c r="W336" s="55" t="s">
        <v>2319</v>
      </c>
      <c r="X336" s="54" t="s">
        <v>4345</v>
      </c>
      <c r="Y336" s="52"/>
      <c r="Z336" s="1" t="s">
        <v>61</v>
      </c>
      <c r="AA336" s="1" t="s">
        <v>968</v>
      </c>
      <c r="AB336" s="1"/>
      <c r="AC336" s="1"/>
      <c r="AD336" s="3" t="s">
        <v>62</v>
      </c>
      <c r="AE336" s="1" t="s">
        <v>192</v>
      </c>
      <c r="AF336" s="1" t="s">
        <v>84</v>
      </c>
      <c r="AG336" s="1" t="s">
        <v>84</v>
      </c>
      <c r="AH336" s="2">
        <v>100</v>
      </c>
      <c r="AI336" s="1"/>
      <c r="AJ336" s="1"/>
      <c r="AK336" s="1"/>
      <c r="AL336" s="1"/>
      <c r="AM336" s="1"/>
      <c r="AN336" s="1"/>
      <c r="AO336" s="1"/>
      <c r="AP336" s="1"/>
      <c r="AQ336" s="1"/>
      <c r="AR336" s="1"/>
      <c r="AS336" s="1"/>
      <c r="AT336" s="1"/>
      <c r="AU336" s="1"/>
      <c r="AV336" s="1"/>
      <c r="AW336" s="1"/>
      <c r="AX336" s="1"/>
      <c r="AY336" s="1"/>
      <c r="AZ336" s="4" t="s">
        <v>189</v>
      </c>
      <c r="BA336" s="5"/>
      <c r="BB336" s="1"/>
      <c r="BC336" s="1"/>
    </row>
    <row r="337" spans="1:55" s="78" customFormat="1" ht="15" customHeight="1" x14ac:dyDescent="0.25">
      <c r="A337" s="52" t="s">
        <v>4346</v>
      </c>
      <c r="B337" s="34" t="s">
        <v>59</v>
      </c>
      <c r="C337" s="53">
        <v>2026</v>
      </c>
      <c r="D337" s="53">
        <v>2026</v>
      </c>
      <c r="E337" s="54" t="s">
        <v>3138</v>
      </c>
      <c r="F337" s="55" t="s">
        <v>50</v>
      </c>
      <c r="G337" s="55" t="s">
        <v>50</v>
      </c>
      <c r="H337" s="45" t="s">
        <v>969</v>
      </c>
      <c r="I337" s="56" t="s">
        <v>78</v>
      </c>
      <c r="J337" s="56"/>
      <c r="K337" s="45" t="s">
        <v>180</v>
      </c>
      <c r="L337" s="55" t="str">
        <f>IF(K337="Mine or Quarry","Mine","")</f>
        <v/>
      </c>
      <c r="M337" s="55"/>
      <c r="N337" s="55" t="s">
        <v>181</v>
      </c>
      <c r="O337" s="55"/>
      <c r="P337" s="55" t="s">
        <v>182</v>
      </c>
      <c r="Q337" s="55" t="s">
        <v>5353</v>
      </c>
      <c r="R337" s="55"/>
      <c r="S337" s="56" t="s">
        <v>81</v>
      </c>
      <c r="T337" s="55" t="str">
        <f>IF(ISNUMBER(SEARCH(",",N337)),"Y","N")</f>
        <v>N</v>
      </c>
      <c r="U337" s="57">
        <v>227</v>
      </c>
      <c r="V337" s="57" t="s">
        <v>101</v>
      </c>
      <c r="W337" s="55"/>
      <c r="X337" s="54" t="s">
        <v>4346</v>
      </c>
      <c r="Y337" s="52"/>
      <c r="Z337" s="3" t="s">
        <v>2005</v>
      </c>
      <c r="AA337" s="3" t="s">
        <v>493</v>
      </c>
      <c r="AB337" s="3"/>
      <c r="AC337" s="3"/>
      <c r="AD337" s="3" t="s">
        <v>62</v>
      </c>
      <c r="AE337" s="3" t="s">
        <v>251</v>
      </c>
      <c r="AF337" s="3"/>
      <c r="AG337" s="3" t="s">
        <v>970</v>
      </c>
      <c r="AH337" s="58">
        <v>100</v>
      </c>
      <c r="AI337" s="3"/>
      <c r="AJ337" s="53"/>
      <c r="AK337" s="3"/>
      <c r="AL337" s="3"/>
      <c r="AM337" s="3"/>
      <c r="AN337" s="3"/>
      <c r="AO337" s="3"/>
      <c r="AP337" s="3"/>
      <c r="AQ337" s="3"/>
      <c r="AR337" s="3"/>
      <c r="AS337" s="3"/>
      <c r="AT337" s="3"/>
      <c r="AU337" s="3"/>
      <c r="AV337" s="3"/>
      <c r="AW337" s="3"/>
      <c r="AX337" s="3"/>
      <c r="AY337" s="3"/>
      <c r="AZ337" s="4" t="s">
        <v>969</v>
      </c>
      <c r="BA337" s="3" t="s">
        <v>3851</v>
      </c>
      <c r="BB337" s="1"/>
      <c r="BC337" s="1"/>
    </row>
    <row r="338" spans="1:55" s="78" customFormat="1" ht="15" customHeight="1" x14ac:dyDescent="0.25">
      <c r="A338" s="52" t="s">
        <v>4347</v>
      </c>
      <c r="B338" s="34" t="s">
        <v>59</v>
      </c>
      <c r="C338" s="53">
        <v>2026</v>
      </c>
      <c r="D338" s="53">
        <v>2026</v>
      </c>
      <c r="E338" s="54" t="s">
        <v>3139</v>
      </c>
      <c r="F338" s="55" t="s">
        <v>50</v>
      </c>
      <c r="G338" s="55" t="s">
        <v>50</v>
      </c>
      <c r="H338" s="45" t="s">
        <v>971</v>
      </c>
      <c r="I338" s="45" t="s">
        <v>52</v>
      </c>
      <c r="J338" s="56" t="s">
        <v>165</v>
      </c>
      <c r="K338" s="56" t="s">
        <v>166</v>
      </c>
      <c r="L338" s="55"/>
      <c r="M338" s="55"/>
      <c r="N338" s="56" t="s">
        <v>167</v>
      </c>
      <c r="O338" s="56"/>
      <c r="P338" s="56" t="s">
        <v>89</v>
      </c>
      <c r="Q338" s="56" t="s">
        <v>89</v>
      </c>
      <c r="R338" s="55"/>
      <c r="S338" s="56" t="s">
        <v>81</v>
      </c>
      <c r="T338" s="55" t="s">
        <v>81</v>
      </c>
      <c r="U338" s="57">
        <v>-999</v>
      </c>
      <c r="V338" s="57" t="s">
        <v>59</v>
      </c>
      <c r="W338" s="55" t="s">
        <v>2319</v>
      </c>
      <c r="X338" s="54" t="s">
        <v>4347</v>
      </c>
      <c r="Y338" s="52"/>
      <c r="Z338" s="1" t="s">
        <v>61</v>
      </c>
      <c r="AA338" s="1" t="s">
        <v>972</v>
      </c>
      <c r="AB338" s="1"/>
      <c r="AC338" s="1"/>
      <c r="AD338" s="3" t="s">
        <v>62</v>
      </c>
      <c r="AE338" s="3" t="s">
        <v>131</v>
      </c>
      <c r="AF338" s="3" t="s">
        <v>973</v>
      </c>
      <c r="AG338" s="3" t="s">
        <v>170</v>
      </c>
      <c r="AH338" s="58">
        <v>100</v>
      </c>
      <c r="AI338" s="1"/>
      <c r="AJ338" s="1"/>
      <c r="AK338" s="1"/>
      <c r="AL338" s="1"/>
      <c r="AM338" s="1"/>
      <c r="AN338" s="1"/>
      <c r="AO338" s="1"/>
      <c r="AP338" s="1"/>
      <c r="AQ338" s="1"/>
      <c r="AR338" s="1"/>
      <c r="AS338" s="1"/>
      <c r="AT338" s="1"/>
      <c r="AU338" s="1"/>
      <c r="AV338" s="1"/>
      <c r="AW338" s="1"/>
      <c r="AX338" s="1"/>
      <c r="AY338" s="1"/>
      <c r="AZ338" s="4" t="s">
        <v>163</v>
      </c>
      <c r="BA338" s="1"/>
      <c r="BB338" s="1"/>
      <c r="BC338" s="1"/>
    </row>
    <row r="339" spans="1:55" s="78" customFormat="1" ht="15" customHeight="1" x14ac:dyDescent="0.25">
      <c r="A339" s="52" t="s">
        <v>4348</v>
      </c>
      <c r="B339" s="34" t="s">
        <v>59</v>
      </c>
      <c r="C339" s="53">
        <v>2026</v>
      </c>
      <c r="D339" s="53">
        <v>2026</v>
      </c>
      <c r="E339" s="54" t="s">
        <v>3141</v>
      </c>
      <c r="F339" s="55" t="s">
        <v>50</v>
      </c>
      <c r="G339" s="55" t="s">
        <v>50</v>
      </c>
      <c r="H339" s="45" t="s">
        <v>974</v>
      </c>
      <c r="I339" s="45" t="s">
        <v>52</v>
      </c>
      <c r="J339" s="56"/>
      <c r="K339" s="55" t="s">
        <v>210</v>
      </c>
      <c r="L339" s="55" t="s">
        <v>54</v>
      </c>
      <c r="M339" s="55" t="s">
        <v>211</v>
      </c>
      <c r="N339" s="55" t="s">
        <v>212</v>
      </c>
      <c r="O339" s="55"/>
      <c r="P339" s="55" t="s">
        <v>89</v>
      </c>
      <c r="Q339" s="55" t="s">
        <v>89</v>
      </c>
      <c r="R339" s="55"/>
      <c r="S339" s="56" t="s">
        <v>81</v>
      </c>
      <c r="T339" s="55" t="s">
        <v>81</v>
      </c>
      <c r="U339" s="57">
        <v>660000</v>
      </c>
      <c r="V339" s="57" t="s">
        <v>101</v>
      </c>
      <c r="W339" s="55" t="s">
        <v>2319</v>
      </c>
      <c r="X339" s="54" t="s">
        <v>4348</v>
      </c>
      <c r="Y339" s="52"/>
      <c r="Z339" s="3" t="s">
        <v>61</v>
      </c>
      <c r="AA339" s="1" t="s">
        <v>975</v>
      </c>
      <c r="AB339" s="1"/>
      <c r="AC339" s="1"/>
      <c r="AD339" s="3" t="s">
        <v>62</v>
      </c>
      <c r="AE339" s="3" t="s">
        <v>184</v>
      </c>
      <c r="AF339" s="3"/>
      <c r="AG339" s="1" t="s">
        <v>976</v>
      </c>
      <c r="AH339" s="2">
        <v>100</v>
      </c>
      <c r="AI339" s="1"/>
      <c r="AJ339" s="2"/>
      <c r="AK339" s="3"/>
      <c r="AL339" s="3"/>
      <c r="AM339" s="3"/>
      <c r="AN339" s="3"/>
      <c r="AO339" s="3"/>
      <c r="AP339" s="3"/>
      <c r="AQ339" s="3"/>
      <c r="AR339" s="3"/>
      <c r="AS339" s="3"/>
      <c r="AT339" s="3"/>
      <c r="AU339" s="3"/>
      <c r="AV339" s="3"/>
      <c r="AW339" s="3"/>
      <c r="AX339" s="3"/>
      <c r="AY339" s="3"/>
      <c r="AZ339" s="4" t="s">
        <v>3852</v>
      </c>
      <c r="BA339" s="3" t="s">
        <v>3853</v>
      </c>
      <c r="BB339" s="1"/>
      <c r="BC339" s="1"/>
    </row>
    <row r="340" spans="1:55" s="78" customFormat="1" ht="15" customHeight="1" x14ac:dyDescent="0.25">
      <c r="A340" s="52" t="s">
        <v>4349</v>
      </c>
      <c r="B340" s="34" t="s">
        <v>59</v>
      </c>
      <c r="C340" s="53">
        <v>2026</v>
      </c>
      <c r="D340" s="53">
        <v>2026</v>
      </c>
      <c r="E340" s="54" t="s">
        <v>3142</v>
      </c>
      <c r="F340" s="55" t="s">
        <v>50</v>
      </c>
      <c r="G340" s="55" t="s">
        <v>50</v>
      </c>
      <c r="H340" s="45" t="s">
        <v>978</v>
      </c>
      <c r="I340" s="56" t="s">
        <v>78</v>
      </c>
      <c r="J340" s="56"/>
      <c r="K340" s="55" t="s">
        <v>71</v>
      </c>
      <c r="L340" s="55" t="s">
        <v>88</v>
      </c>
      <c r="M340" s="56"/>
      <c r="N340" s="45" t="s">
        <v>110</v>
      </c>
      <c r="O340" s="56"/>
      <c r="P340" s="55" t="s">
        <v>73</v>
      </c>
      <c r="Q340" s="55" t="s">
        <v>57</v>
      </c>
      <c r="R340" s="56"/>
      <c r="S340" s="56" t="s">
        <v>58</v>
      </c>
      <c r="T340" s="56" t="s">
        <v>81</v>
      </c>
      <c r="U340" s="57">
        <v>1.1619999999999999</v>
      </c>
      <c r="V340" s="57" t="s">
        <v>101</v>
      </c>
      <c r="W340" s="55" t="s">
        <v>2319</v>
      </c>
      <c r="X340" s="54" t="s">
        <v>4349</v>
      </c>
      <c r="Y340" s="52"/>
      <c r="Z340" s="1" t="s">
        <v>154</v>
      </c>
      <c r="AA340" s="1" t="s">
        <v>979</v>
      </c>
      <c r="AB340" s="1"/>
      <c r="AC340" s="1"/>
      <c r="AD340" s="3" t="s">
        <v>62</v>
      </c>
      <c r="AE340" s="3" t="s">
        <v>336</v>
      </c>
      <c r="AF340" s="1" t="s">
        <v>980</v>
      </c>
      <c r="AG340" s="1" t="s">
        <v>980</v>
      </c>
      <c r="AH340" s="2"/>
      <c r="AI340" s="1"/>
      <c r="AJ340" s="1"/>
      <c r="AK340" s="1"/>
      <c r="AL340" s="1"/>
      <c r="AM340" s="1"/>
      <c r="AN340" s="1"/>
      <c r="AO340" s="1"/>
      <c r="AP340" s="1"/>
      <c r="AQ340" s="1"/>
      <c r="AR340" s="1"/>
      <c r="AS340" s="1"/>
      <c r="AT340" s="1"/>
      <c r="AU340" s="1"/>
      <c r="AV340" s="1"/>
      <c r="AW340" s="1"/>
      <c r="AX340" s="1"/>
      <c r="AY340" s="1"/>
      <c r="AZ340" s="5" t="s">
        <v>977</v>
      </c>
      <c r="BA340" s="5"/>
      <c r="BB340" s="1"/>
      <c r="BC340" s="1"/>
    </row>
    <row r="341" spans="1:55" s="78" customFormat="1" ht="15" customHeight="1" x14ac:dyDescent="0.25">
      <c r="A341" s="52" t="s">
        <v>4350</v>
      </c>
      <c r="B341" s="34" t="s">
        <v>59</v>
      </c>
      <c r="C341" s="53">
        <v>2026</v>
      </c>
      <c r="D341" s="53">
        <v>2026</v>
      </c>
      <c r="E341" s="54" t="s">
        <v>3142</v>
      </c>
      <c r="F341" s="55" t="s">
        <v>50</v>
      </c>
      <c r="G341" s="55" t="s">
        <v>50</v>
      </c>
      <c r="H341" s="45" t="s">
        <v>978</v>
      </c>
      <c r="I341" s="56" t="s">
        <v>78</v>
      </c>
      <c r="J341" s="56"/>
      <c r="K341" s="55" t="s">
        <v>74</v>
      </c>
      <c r="L341" s="55" t="s">
        <v>88</v>
      </c>
      <c r="M341" s="56"/>
      <c r="N341" s="45" t="s">
        <v>110</v>
      </c>
      <c r="O341" s="56"/>
      <c r="P341" s="55" t="s">
        <v>75</v>
      </c>
      <c r="Q341" s="56" t="s">
        <v>57</v>
      </c>
      <c r="R341" s="56"/>
      <c r="S341" s="56" t="s">
        <v>58</v>
      </c>
      <c r="T341" s="56" t="s">
        <v>81</v>
      </c>
      <c r="U341" s="57">
        <v>56.698999999999998</v>
      </c>
      <c r="V341" s="57" t="s">
        <v>101</v>
      </c>
      <c r="W341" s="55" t="s">
        <v>2319</v>
      </c>
      <c r="X341" s="54" t="s">
        <v>4350</v>
      </c>
      <c r="Y341" s="52"/>
      <c r="Z341" s="1" t="s">
        <v>154</v>
      </c>
      <c r="AA341" s="1" t="s">
        <v>979</v>
      </c>
      <c r="AB341" s="1"/>
      <c r="AC341" s="1"/>
      <c r="AD341" s="3" t="s">
        <v>62</v>
      </c>
      <c r="AE341" s="3" t="s">
        <v>336</v>
      </c>
      <c r="AF341" s="1" t="s">
        <v>980</v>
      </c>
      <c r="AG341" s="1" t="s">
        <v>980</v>
      </c>
      <c r="AH341" s="2"/>
      <c r="AI341" s="1"/>
      <c r="AJ341" s="1"/>
      <c r="AK341" s="1"/>
      <c r="AL341" s="1"/>
      <c r="AM341" s="1"/>
      <c r="AN341" s="1"/>
      <c r="AO341" s="1"/>
      <c r="AP341" s="1"/>
      <c r="AQ341" s="1"/>
      <c r="AR341" s="1"/>
      <c r="AS341" s="1"/>
      <c r="AT341" s="1"/>
      <c r="AU341" s="1"/>
      <c r="AV341" s="1"/>
      <c r="AW341" s="1"/>
      <c r="AX341" s="1"/>
      <c r="AY341" s="1"/>
      <c r="AZ341" s="5" t="s">
        <v>977</v>
      </c>
      <c r="BA341" s="5"/>
      <c r="BB341" s="1"/>
      <c r="BC341" s="1"/>
    </row>
    <row r="342" spans="1:55" s="78" customFormat="1" ht="15" customHeight="1" x14ac:dyDescent="0.25">
      <c r="A342" s="52" t="s">
        <v>4351</v>
      </c>
      <c r="B342" s="34" t="s">
        <v>59</v>
      </c>
      <c r="C342" s="53">
        <v>2026</v>
      </c>
      <c r="D342" s="53">
        <v>2026</v>
      </c>
      <c r="E342" s="54" t="s">
        <v>3143</v>
      </c>
      <c r="F342" s="55" t="s">
        <v>50</v>
      </c>
      <c r="G342" s="55" t="s">
        <v>50</v>
      </c>
      <c r="H342" s="45" t="s">
        <v>981</v>
      </c>
      <c r="I342" s="45" t="s">
        <v>52</v>
      </c>
      <c r="J342" s="56"/>
      <c r="K342" s="55" t="s">
        <v>140</v>
      </c>
      <c r="L342" s="55" t="s">
        <v>54</v>
      </c>
      <c r="M342" s="55"/>
      <c r="N342" s="55" t="s">
        <v>270</v>
      </c>
      <c r="O342" s="55"/>
      <c r="P342" s="55" t="s">
        <v>271</v>
      </c>
      <c r="Q342" s="55" t="s">
        <v>5353</v>
      </c>
      <c r="R342" s="55"/>
      <c r="S342" s="56" t="s">
        <v>81</v>
      </c>
      <c r="T342" s="55" t="s">
        <v>81</v>
      </c>
      <c r="U342" s="57">
        <v>340000</v>
      </c>
      <c r="V342" s="57" t="s">
        <v>101</v>
      </c>
      <c r="W342" s="55" t="s">
        <v>2319</v>
      </c>
      <c r="X342" s="54" t="s">
        <v>4351</v>
      </c>
      <c r="Y342" s="52"/>
      <c r="Z342" s="3" t="s">
        <v>61</v>
      </c>
      <c r="AA342" s="3" t="s">
        <v>982</v>
      </c>
      <c r="AB342" s="3"/>
      <c r="AC342" s="3"/>
      <c r="AD342" s="3" t="s">
        <v>62</v>
      </c>
      <c r="AE342" s="3" t="s">
        <v>648</v>
      </c>
      <c r="AF342" s="3"/>
      <c r="AG342" s="3" t="s">
        <v>983</v>
      </c>
      <c r="AH342" s="58">
        <v>100</v>
      </c>
      <c r="AI342" s="3"/>
      <c r="AJ342" s="3"/>
      <c r="AK342" s="3"/>
      <c r="AL342" s="3"/>
      <c r="AM342" s="3"/>
      <c r="AN342" s="3"/>
      <c r="AO342" s="3"/>
      <c r="AP342" s="3"/>
      <c r="AQ342" s="3"/>
      <c r="AR342" s="3"/>
      <c r="AS342" s="3"/>
      <c r="AT342" s="3"/>
      <c r="AU342" s="3"/>
      <c r="AV342" s="3"/>
      <c r="AW342" s="3"/>
      <c r="AX342" s="3"/>
      <c r="AY342" s="3"/>
      <c r="AZ342" s="4" t="s">
        <v>139</v>
      </c>
      <c r="BA342" s="3"/>
      <c r="BB342" s="1"/>
      <c r="BC342" s="1"/>
    </row>
    <row r="343" spans="1:55" s="78" customFormat="1" ht="15" customHeight="1" x14ac:dyDescent="0.25">
      <c r="A343" s="52" t="s">
        <v>4352</v>
      </c>
      <c r="B343" s="34" t="s">
        <v>59</v>
      </c>
      <c r="C343" s="53">
        <v>2026</v>
      </c>
      <c r="D343" s="53">
        <v>2026</v>
      </c>
      <c r="E343" s="54" t="s">
        <v>3144</v>
      </c>
      <c r="F343" s="55" t="s">
        <v>50</v>
      </c>
      <c r="G343" s="55" t="s">
        <v>50</v>
      </c>
      <c r="H343" s="45" t="s">
        <v>3140</v>
      </c>
      <c r="I343" s="45" t="s">
        <v>52</v>
      </c>
      <c r="J343" s="56" t="s">
        <v>165</v>
      </c>
      <c r="K343" s="56" t="s">
        <v>166</v>
      </c>
      <c r="L343" s="55"/>
      <c r="M343" s="55"/>
      <c r="N343" s="56" t="s">
        <v>167</v>
      </c>
      <c r="O343" s="56"/>
      <c r="P343" s="56" t="s">
        <v>89</v>
      </c>
      <c r="Q343" s="56" t="s">
        <v>89</v>
      </c>
      <c r="R343" s="55"/>
      <c r="S343" s="56" t="s">
        <v>81</v>
      </c>
      <c r="T343" s="55" t="s">
        <v>81</v>
      </c>
      <c r="U343" s="57">
        <v>-999</v>
      </c>
      <c r="V343" s="57" t="s">
        <v>59</v>
      </c>
      <c r="W343" s="55" t="s">
        <v>2319</v>
      </c>
      <c r="X343" s="54" t="s">
        <v>4352</v>
      </c>
      <c r="Y343" s="52"/>
      <c r="Z343" s="1" t="s">
        <v>61</v>
      </c>
      <c r="AA343" s="1" t="s">
        <v>985</v>
      </c>
      <c r="AB343" s="1"/>
      <c r="AC343" s="1"/>
      <c r="AD343" s="3" t="s">
        <v>62</v>
      </c>
      <c r="AE343" s="3" t="s">
        <v>115</v>
      </c>
      <c r="AF343" s="3" t="s">
        <v>973</v>
      </c>
      <c r="AG343" s="3" t="s">
        <v>170</v>
      </c>
      <c r="AH343" s="58">
        <v>100</v>
      </c>
      <c r="AI343" s="1"/>
      <c r="AJ343" s="1"/>
      <c r="AK343" s="1"/>
      <c r="AL343" s="1"/>
      <c r="AM343" s="1"/>
      <c r="AN343" s="1"/>
      <c r="AO343" s="1"/>
      <c r="AP343" s="1"/>
      <c r="AQ343" s="1"/>
      <c r="AR343" s="1"/>
      <c r="AS343" s="1"/>
      <c r="AT343" s="1"/>
      <c r="AU343" s="1"/>
      <c r="AV343" s="1"/>
      <c r="AW343" s="1"/>
      <c r="AX343" s="1"/>
      <c r="AY343" s="1"/>
      <c r="AZ343" s="4" t="s">
        <v>163</v>
      </c>
      <c r="BA343" s="1"/>
      <c r="BB343" s="1"/>
      <c r="BC343" s="1"/>
    </row>
    <row r="344" spans="1:55" s="78" customFormat="1" ht="15" customHeight="1" x14ac:dyDescent="0.25">
      <c r="A344" s="52" t="s">
        <v>4353</v>
      </c>
      <c r="B344" s="34" t="s">
        <v>59</v>
      </c>
      <c r="C344" s="53">
        <v>2026</v>
      </c>
      <c r="D344" s="53">
        <v>2026</v>
      </c>
      <c r="E344" s="54" t="s">
        <v>3145</v>
      </c>
      <c r="F344" s="55" t="s">
        <v>50</v>
      </c>
      <c r="G344" s="55" t="s">
        <v>50</v>
      </c>
      <c r="H344" s="45" t="s">
        <v>984</v>
      </c>
      <c r="I344" s="56" t="s">
        <v>52</v>
      </c>
      <c r="J344" s="56" t="s">
        <v>291</v>
      </c>
      <c r="K344" s="55" t="s">
        <v>291</v>
      </c>
      <c r="L344" s="55"/>
      <c r="M344" s="55"/>
      <c r="N344" s="56" t="s">
        <v>300</v>
      </c>
      <c r="O344" s="55" t="s">
        <v>5355</v>
      </c>
      <c r="P344" s="56" t="s">
        <v>89</v>
      </c>
      <c r="Q344" s="56" t="s">
        <v>89</v>
      </c>
      <c r="R344" s="55"/>
      <c r="S344" s="56" t="s">
        <v>81</v>
      </c>
      <c r="T344" s="55" t="s">
        <v>81</v>
      </c>
      <c r="U344" s="57">
        <v>17000</v>
      </c>
      <c r="V344" s="57" t="s">
        <v>101</v>
      </c>
      <c r="W344" s="55" t="s">
        <v>2319</v>
      </c>
      <c r="X344" s="54" t="s">
        <v>4353</v>
      </c>
      <c r="Y344" s="52"/>
      <c r="Z344" s="3" t="s">
        <v>61</v>
      </c>
      <c r="AA344" s="3" t="s">
        <v>946</v>
      </c>
      <c r="AB344" s="3"/>
      <c r="AC344" s="3"/>
      <c r="AD344" s="3" t="s">
        <v>62</v>
      </c>
      <c r="AE344" s="3" t="s">
        <v>251</v>
      </c>
      <c r="AF344" s="3"/>
      <c r="AG344" s="3" t="s">
        <v>987</v>
      </c>
      <c r="AH344" s="53">
        <v>50</v>
      </c>
      <c r="AI344" s="3" t="s">
        <v>988</v>
      </c>
      <c r="AJ344" s="53">
        <v>50</v>
      </c>
      <c r="AK344" s="3"/>
      <c r="AL344" s="53"/>
      <c r="AM344" s="3"/>
      <c r="AN344" s="53"/>
      <c r="AO344" s="3"/>
      <c r="AP344" s="53"/>
      <c r="AQ344" s="3"/>
      <c r="AR344" s="53"/>
      <c r="AS344" s="3"/>
      <c r="AT344" s="53"/>
      <c r="AU344" s="3"/>
      <c r="AV344" s="53"/>
      <c r="AW344" s="3"/>
      <c r="AX344" s="53"/>
      <c r="AY344" s="3"/>
      <c r="AZ344" s="4" t="s">
        <v>986</v>
      </c>
      <c r="BA344" s="3"/>
      <c r="BB344" s="1"/>
      <c r="BC344" s="1"/>
    </row>
    <row r="345" spans="1:55" s="78" customFormat="1" ht="15" customHeight="1" x14ac:dyDescent="0.25">
      <c r="A345" s="52" t="s">
        <v>4354</v>
      </c>
      <c r="B345" s="34" t="s">
        <v>59</v>
      </c>
      <c r="C345" s="53">
        <v>2026</v>
      </c>
      <c r="D345" s="53">
        <v>2026</v>
      </c>
      <c r="E345" s="54" t="s">
        <v>3146</v>
      </c>
      <c r="F345" s="55" t="s">
        <v>50</v>
      </c>
      <c r="G345" s="55" t="s">
        <v>50</v>
      </c>
      <c r="H345" s="45" t="s">
        <v>989</v>
      </c>
      <c r="I345" s="56" t="s">
        <v>78</v>
      </c>
      <c r="J345" s="56"/>
      <c r="K345" s="56" t="s">
        <v>71</v>
      </c>
      <c r="L345" s="55" t="str">
        <f>IF(K345="Mine or Quarry","Mine","")</f>
        <v/>
      </c>
      <c r="M345" s="55"/>
      <c r="N345" s="56" t="s">
        <v>181</v>
      </c>
      <c r="O345" s="56"/>
      <c r="P345" s="55" t="s">
        <v>73</v>
      </c>
      <c r="Q345" s="55" t="s">
        <v>57</v>
      </c>
      <c r="R345" s="55"/>
      <c r="S345" s="56" t="s">
        <v>58</v>
      </c>
      <c r="T345" s="55" t="str">
        <f>IF(ISNUMBER(SEARCH(",",N345)),"Y","N")</f>
        <v>N</v>
      </c>
      <c r="U345" s="57">
        <v>-999</v>
      </c>
      <c r="V345" s="57" t="s">
        <v>59</v>
      </c>
      <c r="W345" s="55"/>
      <c r="X345" s="54" t="s">
        <v>4354</v>
      </c>
      <c r="Y345" s="52"/>
      <c r="Z345" s="3" t="s">
        <v>2005</v>
      </c>
      <c r="AA345" s="3" t="s">
        <v>990</v>
      </c>
      <c r="AB345" s="3"/>
      <c r="AC345" s="3"/>
      <c r="AD345" s="3" t="s">
        <v>62</v>
      </c>
      <c r="AE345" s="1" t="s">
        <v>83</v>
      </c>
      <c r="AF345" s="3"/>
      <c r="AG345" s="3" t="s">
        <v>991</v>
      </c>
      <c r="AH345" s="53">
        <v>100</v>
      </c>
      <c r="AI345" s="1"/>
      <c r="AJ345" s="59"/>
      <c r="AK345" s="1"/>
      <c r="AL345" s="60"/>
      <c r="AM345" s="1"/>
      <c r="AN345" s="60"/>
      <c r="AO345" s="1"/>
      <c r="AP345" s="60"/>
      <c r="AQ345" s="1"/>
      <c r="AR345" s="60"/>
      <c r="AS345" s="1"/>
      <c r="AT345" s="60"/>
      <c r="AU345" s="1"/>
      <c r="AV345" s="60"/>
      <c r="AW345" s="1"/>
      <c r="AX345" s="60"/>
      <c r="AY345" s="1"/>
      <c r="AZ345" s="4" t="s">
        <v>3854</v>
      </c>
      <c r="BA345" s="32" t="s">
        <v>3855</v>
      </c>
      <c r="BB345" s="1"/>
      <c r="BC345" s="1"/>
    </row>
    <row r="346" spans="1:55" s="78" customFormat="1" ht="15" customHeight="1" x14ac:dyDescent="0.25">
      <c r="A346" s="52" t="s">
        <v>4355</v>
      </c>
      <c r="B346" s="34" t="s">
        <v>59</v>
      </c>
      <c r="C346" s="53">
        <v>2026</v>
      </c>
      <c r="D346" s="53">
        <v>2026</v>
      </c>
      <c r="E346" s="54" t="s">
        <v>3146</v>
      </c>
      <c r="F346" s="55" t="s">
        <v>50</v>
      </c>
      <c r="G346" s="55" t="s">
        <v>50</v>
      </c>
      <c r="H346" s="45" t="s">
        <v>989</v>
      </c>
      <c r="I346" s="56" t="s">
        <v>78</v>
      </c>
      <c r="J346" s="56"/>
      <c r="K346" s="55" t="s">
        <v>74</v>
      </c>
      <c r="L346" s="55" t="str">
        <f>IF(K346="Mines and Quarries","Mine","")</f>
        <v/>
      </c>
      <c r="M346" s="55"/>
      <c r="N346" s="55" t="s">
        <v>181</v>
      </c>
      <c r="O346" s="55"/>
      <c r="P346" s="55" t="s">
        <v>75</v>
      </c>
      <c r="Q346" s="56" t="s">
        <v>57</v>
      </c>
      <c r="R346" s="55"/>
      <c r="S346" s="56" t="s">
        <v>58</v>
      </c>
      <c r="T346" s="55" t="s">
        <v>81</v>
      </c>
      <c r="U346" s="57">
        <v>-999</v>
      </c>
      <c r="V346" s="57" t="s">
        <v>59</v>
      </c>
      <c r="W346" s="55"/>
      <c r="X346" s="54" t="s">
        <v>4355</v>
      </c>
      <c r="Y346" s="52"/>
      <c r="Z346" s="3" t="s">
        <v>2005</v>
      </c>
      <c r="AA346" s="3" t="s">
        <v>990</v>
      </c>
      <c r="AB346" s="3"/>
      <c r="AC346" s="3"/>
      <c r="AD346" s="3" t="s">
        <v>62</v>
      </c>
      <c r="AE346" s="3" t="s">
        <v>83</v>
      </c>
      <c r="AF346" s="3"/>
      <c r="AG346" s="3" t="s">
        <v>991</v>
      </c>
      <c r="AH346" s="53">
        <v>100</v>
      </c>
      <c r="AI346" s="1"/>
      <c r="AJ346" s="59"/>
      <c r="AK346" s="3"/>
      <c r="AL346" s="53"/>
      <c r="AM346" s="3"/>
      <c r="AN346" s="53"/>
      <c r="AO346" s="3"/>
      <c r="AP346" s="53"/>
      <c r="AQ346" s="3"/>
      <c r="AR346" s="53"/>
      <c r="AS346" s="3"/>
      <c r="AT346" s="53"/>
      <c r="AU346" s="3"/>
      <c r="AV346" s="53"/>
      <c r="AW346" s="3"/>
      <c r="AX346" s="53"/>
      <c r="AY346" s="3"/>
      <c r="AZ346" s="4" t="s">
        <v>3854</v>
      </c>
      <c r="BA346" s="32" t="s">
        <v>3855</v>
      </c>
      <c r="BB346" s="1"/>
      <c r="BC346" s="1"/>
    </row>
    <row r="347" spans="1:55" s="78" customFormat="1" ht="15" customHeight="1" x14ac:dyDescent="0.25">
      <c r="A347" s="52" t="s">
        <v>4356</v>
      </c>
      <c r="B347" s="34" t="s">
        <v>59</v>
      </c>
      <c r="C347" s="53">
        <v>2026</v>
      </c>
      <c r="D347" s="53">
        <v>2026</v>
      </c>
      <c r="E347" s="54" t="s">
        <v>3147</v>
      </c>
      <c r="F347" s="55" t="s">
        <v>50</v>
      </c>
      <c r="G347" s="55" t="s">
        <v>50</v>
      </c>
      <c r="H347" s="45" t="s">
        <v>992</v>
      </c>
      <c r="I347" s="56" t="s">
        <v>52</v>
      </c>
      <c r="J347" s="56"/>
      <c r="K347" s="56" t="s">
        <v>71</v>
      </c>
      <c r="L347" s="55" t="str">
        <f>IF(K347="Mine or Quarry","Mine","")</f>
        <v/>
      </c>
      <c r="M347" s="55"/>
      <c r="N347" s="55" t="s">
        <v>110</v>
      </c>
      <c r="O347" s="45" t="s">
        <v>296</v>
      </c>
      <c r="P347" s="55" t="s">
        <v>73</v>
      </c>
      <c r="Q347" s="55" t="s">
        <v>57</v>
      </c>
      <c r="R347" s="55"/>
      <c r="S347" s="56" t="s">
        <v>58</v>
      </c>
      <c r="T347" s="55" t="str">
        <f>IF(ISNUMBER(SEARCH(",",N347)),"Y","N")</f>
        <v>N</v>
      </c>
      <c r="U347" s="57">
        <v>0.56699999999999995</v>
      </c>
      <c r="V347" s="57" t="s">
        <v>101</v>
      </c>
      <c r="W347" s="55"/>
      <c r="X347" s="54" t="s">
        <v>4356</v>
      </c>
      <c r="Y347" s="52"/>
      <c r="Z347" s="3" t="s">
        <v>2005</v>
      </c>
      <c r="AA347" s="3" t="s">
        <v>990</v>
      </c>
      <c r="AB347" s="3"/>
      <c r="AC347" s="3"/>
      <c r="AD347" s="3" t="s">
        <v>62</v>
      </c>
      <c r="AE347" s="1" t="s">
        <v>83</v>
      </c>
      <c r="AF347" s="3"/>
      <c r="AG347" s="3" t="s">
        <v>991</v>
      </c>
      <c r="AH347" s="53">
        <v>100</v>
      </c>
      <c r="AI347" s="1"/>
      <c r="AJ347" s="59"/>
      <c r="AK347" s="1"/>
      <c r="AL347" s="60"/>
      <c r="AM347" s="1"/>
      <c r="AN347" s="60"/>
      <c r="AO347" s="1"/>
      <c r="AP347" s="60"/>
      <c r="AQ347" s="1"/>
      <c r="AR347" s="60"/>
      <c r="AS347" s="1"/>
      <c r="AT347" s="60"/>
      <c r="AU347" s="1"/>
      <c r="AV347" s="60"/>
      <c r="AW347" s="1"/>
      <c r="AX347" s="60"/>
      <c r="AY347" s="1"/>
      <c r="AZ347" s="4" t="s">
        <v>3854</v>
      </c>
      <c r="BA347" s="32" t="s">
        <v>3855</v>
      </c>
      <c r="BB347" s="1"/>
      <c r="BC347" s="1"/>
    </row>
    <row r="348" spans="1:55" s="78" customFormat="1" ht="15" customHeight="1" x14ac:dyDescent="0.25">
      <c r="A348" s="52" t="s">
        <v>4357</v>
      </c>
      <c r="B348" s="34" t="s">
        <v>59</v>
      </c>
      <c r="C348" s="53">
        <v>2026</v>
      </c>
      <c r="D348" s="53">
        <v>2026</v>
      </c>
      <c r="E348" s="54" t="s">
        <v>3147</v>
      </c>
      <c r="F348" s="55" t="s">
        <v>50</v>
      </c>
      <c r="G348" s="55" t="s">
        <v>50</v>
      </c>
      <c r="H348" s="45" t="s">
        <v>992</v>
      </c>
      <c r="I348" s="56" t="s">
        <v>52</v>
      </c>
      <c r="J348" s="56"/>
      <c r="K348" s="55" t="s">
        <v>74</v>
      </c>
      <c r="L348" s="55" t="str">
        <f>IF(K348="Mines and Quarries","Mine","")</f>
        <v/>
      </c>
      <c r="M348" s="55"/>
      <c r="N348" s="55" t="s">
        <v>110</v>
      </c>
      <c r="O348" s="56" t="s">
        <v>296</v>
      </c>
      <c r="P348" s="55" t="s">
        <v>75</v>
      </c>
      <c r="Q348" s="56" t="s">
        <v>57</v>
      </c>
      <c r="R348" s="55"/>
      <c r="S348" s="56" t="s">
        <v>58</v>
      </c>
      <c r="T348" s="55" t="s">
        <v>81</v>
      </c>
      <c r="U348" s="57">
        <v>6.0949999999999998</v>
      </c>
      <c r="V348" s="57" t="s">
        <v>101</v>
      </c>
      <c r="W348" s="55"/>
      <c r="X348" s="54" t="s">
        <v>4357</v>
      </c>
      <c r="Y348" s="52"/>
      <c r="Z348" s="3" t="s">
        <v>2005</v>
      </c>
      <c r="AA348" s="3" t="s">
        <v>990</v>
      </c>
      <c r="AB348" s="3"/>
      <c r="AC348" s="3"/>
      <c r="AD348" s="3" t="s">
        <v>62</v>
      </c>
      <c r="AE348" s="3" t="s">
        <v>83</v>
      </c>
      <c r="AF348" s="3"/>
      <c r="AG348" s="3" t="s">
        <v>991</v>
      </c>
      <c r="AH348" s="53">
        <v>100</v>
      </c>
      <c r="AI348" s="1"/>
      <c r="AJ348" s="59"/>
      <c r="AK348" s="3"/>
      <c r="AL348" s="53"/>
      <c r="AM348" s="3"/>
      <c r="AN348" s="53"/>
      <c r="AO348" s="3"/>
      <c r="AP348" s="53"/>
      <c r="AQ348" s="3"/>
      <c r="AR348" s="53"/>
      <c r="AS348" s="3"/>
      <c r="AT348" s="53"/>
      <c r="AU348" s="3"/>
      <c r="AV348" s="53"/>
      <c r="AW348" s="3"/>
      <c r="AX348" s="53"/>
      <c r="AY348" s="3"/>
      <c r="AZ348" s="4" t="s">
        <v>3854</v>
      </c>
      <c r="BA348" s="32" t="s">
        <v>3855</v>
      </c>
      <c r="BB348" s="1"/>
      <c r="BC348" s="1"/>
    </row>
    <row r="349" spans="1:55" s="78" customFormat="1" ht="15" customHeight="1" x14ac:dyDescent="0.25">
      <c r="A349" s="52" t="s">
        <v>4358</v>
      </c>
      <c r="B349" s="34" t="s">
        <v>59</v>
      </c>
      <c r="C349" s="53">
        <v>2026</v>
      </c>
      <c r="D349" s="53">
        <v>2026</v>
      </c>
      <c r="E349" s="54" t="s">
        <v>3148</v>
      </c>
      <c r="F349" s="55" t="s">
        <v>50</v>
      </c>
      <c r="G349" s="55" t="s">
        <v>50</v>
      </c>
      <c r="H349" s="45" t="s">
        <v>993</v>
      </c>
      <c r="I349" s="45" t="s">
        <v>52</v>
      </c>
      <c r="J349" s="56"/>
      <c r="K349" s="45" t="s">
        <v>859</v>
      </c>
      <c r="L349" s="55" t="str">
        <f>IF(K349="Mine or Quarry","Mine","")</f>
        <v/>
      </c>
      <c r="M349" s="55" t="s">
        <v>113</v>
      </c>
      <c r="N349" s="45" t="s">
        <v>358</v>
      </c>
      <c r="O349" s="45" t="s">
        <v>994</v>
      </c>
      <c r="P349" s="55" t="s">
        <v>861</v>
      </c>
      <c r="Q349" s="56" t="s">
        <v>57</v>
      </c>
      <c r="R349" s="55"/>
      <c r="S349" s="56" t="s">
        <v>81</v>
      </c>
      <c r="T349" s="55" t="s">
        <v>58</v>
      </c>
      <c r="U349" s="57">
        <v>2500</v>
      </c>
      <c r="V349" s="57" t="s">
        <v>101</v>
      </c>
      <c r="W349" s="55" t="s">
        <v>2319</v>
      </c>
      <c r="X349" s="54" t="s">
        <v>4358</v>
      </c>
      <c r="Y349" s="52"/>
      <c r="Z349" s="1" t="s">
        <v>61</v>
      </c>
      <c r="AA349" s="2" t="s">
        <v>995</v>
      </c>
      <c r="AB349" s="2"/>
      <c r="AC349" s="2"/>
      <c r="AD349" s="3" t="s">
        <v>62</v>
      </c>
      <c r="AE349" s="2" t="s">
        <v>605</v>
      </c>
      <c r="AF349" s="1" t="s">
        <v>996</v>
      </c>
      <c r="AG349" s="3" t="s">
        <v>997</v>
      </c>
      <c r="AH349" s="53">
        <v>60</v>
      </c>
      <c r="AI349" s="1" t="s">
        <v>998</v>
      </c>
      <c r="AJ349" s="53">
        <v>40</v>
      </c>
      <c r="AK349" s="2"/>
      <c r="AL349" s="59"/>
      <c r="AM349" s="2"/>
      <c r="AN349" s="59"/>
      <c r="AO349" s="2"/>
      <c r="AP349" s="59"/>
      <c r="AQ349" s="2"/>
      <c r="AR349" s="59"/>
      <c r="AS349" s="2"/>
      <c r="AT349" s="59"/>
      <c r="AU349" s="2"/>
      <c r="AV349" s="59"/>
      <c r="AW349" s="2"/>
      <c r="AX349" s="59"/>
      <c r="AY349" s="2"/>
      <c r="AZ349" s="4" t="s">
        <v>857</v>
      </c>
      <c r="BA349" s="2" t="s">
        <v>3856</v>
      </c>
      <c r="BB349" s="1"/>
      <c r="BC349" s="1"/>
    </row>
    <row r="350" spans="1:55" s="78" customFormat="1" ht="15" customHeight="1" x14ac:dyDescent="0.25">
      <c r="A350" s="52" t="s">
        <v>4359</v>
      </c>
      <c r="B350" s="34" t="s">
        <v>59</v>
      </c>
      <c r="C350" s="53">
        <v>2026</v>
      </c>
      <c r="D350" s="53">
        <v>2026</v>
      </c>
      <c r="E350" s="54" t="s">
        <v>3149</v>
      </c>
      <c r="F350" s="55" t="s">
        <v>50</v>
      </c>
      <c r="G350" s="55" t="s">
        <v>50</v>
      </c>
      <c r="H350" s="45" t="s">
        <v>1000</v>
      </c>
      <c r="I350" s="56" t="s">
        <v>52</v>
      </c>
      <c r="J350" s="56"/>
      <c r="K350" s="55" t="s">
        <v>313</v>
      </c>
      <c r="L350" s="55" t="s">
        <v>317</v>
      </c>
      <c r="M350" s="55"/>
      <c r="N350" s="56" t="s">
        <v>55</v>
      </c>
      <c r="O350" s="56" t="s">
        <v>5379</v>
      </c>
      <c r="P350" s="56" t="s">
        <v>314</v>
      </c>
      <c r="Q350" s="61" t="s">
        <v>57</v>
      </c>
      <c r="R350" s="55"/>
      <c r="S350" s="56" t="s">
        <v>81</v>
      </c>
      <c r="T350" s="55" t="s">
        <v>58</v>
      </c>
      <c r="U350" s="57">
        <v>-999</v>
      </c>
      <c r="V350" s="57" t="s">
        <v>59</v>
      </c>
      <c r="W350" s="55" t="s">
        <v>2319</v>
      </c>
      <c r="X350" s="54" t="s">
        <v>4359</v>
      </c>
      <c r="Y350" s="52"/>
      <c r="Z350" s="2" t="s">
        <v>61</v>
      </c>
      <c r="AA350" s="1" t="s">
        <v>1001</v>
      </c>
      <c r="AB350" s="1"/>
      <c r="AC350" s="1"/>
      <c r="AD350" s="3" t="s">
        <v>62</v>
      </c>
      <c r="AE350" s="2" t="s">
        <v>306</v>
      </c>
      <c r="AF350" s="2"/>
      <c r="AG350" s="1" t="s">
        <v>1002</v>
      </c>
      <c r="AH350" s="2">
        <v>100</v>
      </c>
      <c r="AI350" s="1"/>
      <c r="AJ350" s="1"/>
      <c r="AK350" s="1"/>
      <c r="AL350" s="1"/>
      <c r="AM350" s="1"/>
      <c r="AN350" s="1"/>
      <c r="AO350" s="1"/>
      <c r="AP350" s="1"/>
      <c r="AQ350" s="1"/>
      <c r="AR350" s="1"/>
      <c r="AS350" s="1"/>
      <c r="AT350" s="1"/>
      <c r="AU350" s="1"/>
      <c r="AV350" s="1"/>
      <c r="AW350" s="1"/>
      <c r="AX350" s="1"/>
      <c r="AY350" s="1"/>
      <c r="AZ350" s="4" t="s">
        <v>999</v>
      </c>
      <c r="BA350" s="1"/>
      <c r="BB350" s="1"/>
      <c r="BC350" s="1"/>
    </row>
    <row r="351" spans="1:55" s="78" customFormat="1" ht="15" customHeight="1" x14ac:dyDescent="0.25">
      <c r="A351" s="52" t="s">
        <v>4360</v>
      </c>
      <c r="B351" s="34" t="s">
        <v>59</v>
      </c>
      <c r="C351" s="53">
        <v>2026</v>
      </c>
      <c r="D351" s="53">
        <v>2026</v>
      </c>
      <c r="E351" s="54" t="s">
        <v>3150</v>
      </c>
      <c r="F351" s="55" t="s">
        <v>50</v>
      </c>
      <c r="G351" s="55" t="s">
        <v>50</v>
      </c>
      <c r="H351" s="45" t="s">
        <v>2992</v>
      </c>
      <c r="I351" s="45" t="s">
        <v>52</v>
      </c>
      <c r="J351" s="56"/>
      <c r="K351" s="55" t="s">
        <v>442</v>
      </c>
      <c r="L351" s="55"/>
      <c r="M351" s="55"/>
      <c r="N351" s="55" t="s">
        <v>704</v>
      </c>
      <c r="O351" s="55"/>
      <c r="P351" s="55" t="s">
        <v>142</v>
      </c>
      <c r="Q351" s="55" t="s">
        <v>57</v>
      </c>
      <c r="R351" s="55"/>
      <c r="S351" s="56" t="s">
        <v>58</v>
      </c>
      <c r="T351" s="55" t="s">
        <v>81</v>
      </c>
      <c r="U351" s="57">
        <v>-999</v>
      </c>
      <c r="V351" s="57" t="s">
        <v>59</v>
      </c>
      <c r="W351" s="55" t="s">
        <v>2319</v>
      </c>
      <c r="X351" s="54" t="s">
        <v>4360</v>
      </c>
      <c r="Y351" s="52"/>
      <c r="Z351" s="3" t="s">
        <v>61</v>
      </c>
      <c r="AA351" s="3" t="s">
        <v>1001</v>
      </c>
      <c r="AB351" s="3"/>
      <c r="AC351" s="3"/>
      <c r="AD351" s="3" t="s">
        <v>62</v>
      </c>
      <c r="AE351" s="3" t="s">
        <v>306</v>
      </c>
      <c r="AF351" s="3" t="s">
        <v>1004</v>
      </c>
      <c r="AG351" s="3" t="s">
        <v>1005</v>
      </c>
      <c r="AH351" s="58">
        <v>100</v>
      </c>
      <c r="AI351" s="3"/>
      <c r="AJ351" s="3"/>
      <c r="AK351" s="3"/>
      <c r="AL351" s="3"/>
      <c r="AM351" s="3"/>
      <c r="AN351" s="3"/>
      <c r="AO351" s="3"/>
      <c r="AP351" s="3"/>
      <c r="AQ351" s="3"/>
      <c r="AR351" s="3"/>
      <c r="AS351" s="3"/>
      <c r="AT351" s="3"/>
      <c r="AU351" s="3"/>
      <c r="AV351" s="3"/>
      <c r="AW351" s="3"/>
      <c r="AX351" s="3"/>
      <c r="AY351" s="3"/>
      <c r="AZ351" s="4" t="s">
        <v>440</v>
      </c>
      <c r="BA351" s="3"/>
      <c r="BB351" s="1"/>
      <c r="BC351" s="1"/>
    </row>
    <row r="352" spans="1:55" s="78" customFormat="1" ht="15" customHeight="1" x14ac:dyDescent="0.25">
      <c r="A352" s="52" t="s">
        <v>4361</v>
      </c>
      <c r="B352" s="34" t="s">
        <v>59</v>
      </c>
      <c r="C352" s="53">
        <v>2026</v>
      </c>
      <c r="D352" s="53">
        <v>2026</v>
      </c>
      <c r="E352" s="54" t="s">
        <v>3151</v>
      </c>
      <c r="F352" s="55" t="s">
        <v>50</v>
      </c>
      <c r="G352" s="55" t="s">
        <v>50</v>
      </c>
      <c r="H352" s="45" t="s">
        <v>1003</v>
      </c>
      <c r="I352" s="45" t="s">
        <v>52</v>
      </c>
      <c r="J352" s="56" t="s">
        <v>165</v>
      </c>
      <c r="K352" s="56" t="s">
        <v>166</v>
      </c>
      <c r="L352" s="55"/>
      <c r="M352" s="55"/>
      <c r="N352" s="56" t="s">
        <v>167</v>
      </c>
      <c r="O352" s="56"/>
      <c r="P352" s="56" t="s">
        <v>89</v>
      </c>
      <c r="Q352" s="56" t="s">
        <v>89</v>
      </c>
      <c r="R352" s="55"/>
      <c r="S352" s="56" t="s">
        <v>58</v>
      </c>
      <c r="T352" s="55" t="s">
        <v>81</v>
      </c>
      <c r="U352" s="57">
        <v>-999</v>
      </c>
      <c r="V352" s="57" t="s">
        <v>59</v>
      </c>
      <c r="W352" s="55" t="s">
        <v>2319</v>
      </c>
      <c r="X352" s="54" t="s">
        <v>4361</v>
      </c>
      <c r="Y352" s="52"/>
      <c r="Z352" s="1" t="s">
        <v>61</v>
      </c>
      <c r="AA352" s="1" t="s">
        <v>1001</v>
      </c>
      <c r="AB352" s="1"/>
      <c r="AC352" s="1"/>
      <c r="AD352" s="3" t="s">
        <v>62</v>
      </c>
      <c r="AE352" s="3" t="s">
        <v>306</v>
      </c>
      <c r="AF352" s="3"/>
      <c r="AG352" s="3" t="s">
        <v>170</v>
      </c>
      <c r="AH352" s="58">
        <v>100</v>
      </c>
      <c r="AI352" s="1"/>
      <c r="AJ352" s="1"/>
      <c r="AK352" s="1"/>
      <c r="AL352" s="1"/>
      <c r="AM352" s="1"/>
      <c r="AN352" s="1"/>
      <c r="AO352" s="1"/>
      <c r="AP352" s="1"/>
      <c r="AQ352" s="1"/>
      <c r="AR352" s="1"/>
      <c r="AS352" s="1"/>
      <c r="AT352" s="1"/>
      <c r="AU352" s="1"/>
      <c r="AV352" s="1"/>
      <c r="AW352" s="1"/>
      <c r="AX352" s="1"/>
      <c r="AY352" s="1"/>
      <c r="AZ352" s="4" t="s">
        <v>163</v>
      </c>
      <c r="BA352" s="1"/>
      <c r="BB352" s="1"/>
      <c r="BC352" s="1"/>
    </row>
    <row r="353" spans="1:55" s="78" customFormat="1" ht="15" customHeight="1" x14ac:dyDescent="0.25">
      <c r="A353" s="52" t="s">
        <v>4362</v>
      </c>
      <c r="B353" s="34" t="s">
        <v>59</v>
      </c>
      <c r="C353" s="53">
        <v>2026</v>
      </c>
      <c r="D353" s="53">
        <v>2026</v>
      </c>
      <c r="E353" s="54" t="s">
        <v>3152</v>
      </c>
      <c r="F353" s="55" t="s">
        <v>50</v>
      </c>
      <c r="G353" s="55" t="s">
        <v>50</v>
      </c>
      <c r="H353" s="45" t="s">
        <v>1006</v>
      </c>
      <c r="I353" s="56" t="s">
        <v>78</v>
      </c>
      <c r="J353" s="56"/>
      <c r="K353" s="45" t="s">
        <v>180</v>
      </c>
      <c r="L353" s="55" t="str">
        <f t="shared" ref="L353:L358" si="5">IF(K353="Mine or Quarry","Mine","")</f>
        <v/>
      </c>
      <c r="M353" s="55"/>
      <c r="N353" s="55" t="s">
        <v>181</v>
      </c>
      <c r="O353" s="55"/>
      <c r="P353" s="55" t="s">
        <v>182</v>
      </c>
      <c r="Q353" s="55" t="s">
        <v>5353</v>
      </c>
      <c r="R353" s="55"/>
      <c r="S353" s="56" t="s">
        <v>81</v>
      </c>
      <c r="T353" s="55" t="str">
        <f>IF(ISNUMBER(SEARCH(",",N353)),"Y","N")</f>
        <v>N</v>
      </c>
      <c r="U353" s="57">
        <v>300</v>
      </c>
      <c r="V353" s="57" t="s">
        <v>101</v>
      </c>
      <c r="W353" s="55" t="s">
        <v>2319</v>
      </c>
      <c r="X353" s="54" t="s">
        <v>4362</v>
      </c>
      <c r="Y353" s="52"/>
      <c r="Z353" s="3" t="s">
        <v>154</v>
      </c>
      <c r="AA353" s="3" t="s">
        <v>625</v>
      </c>
      <c r="AB353" s="3"/>
      <c r="AC353" s="3"/>
      <c r="AD353" s="3" t="s">
        <v>62</v>
      </c>
      <c r="AE353" s="3" t="s">
        <v>474</v>
      </c>
      <c r="AF353" s="3"/>
      <c r="AG353" s="3" t="s">
        <v>626</v>
      </c>
      <c r="AH353" s="58">
        <v>100</v>
      </c>
      <c r="AI353" s="3"/>
      <c r="AJ353" s="53"/>
      <c r="AK353" s="3"/>
      <c r="AL353" s="3"/>
      <c r="AM353" s="3"/>
      <c r="AN353" s="3"/>
      <c r="AO353" s="3"/>
      <c r="AP353" s="3"/>
      <c r="AQ353" s="3"/>
      <c r="AR353" s="3"/>
      <c r="AS353" s="3"/>
      <c r="AT353" s="3"/>
      <c r="AU353" s="3"/>
      <c r="AV353" s="3"/>
      <c r="AW353" s="3"/>
      <c r="AX353" s="3"/>
      <c r="AY353" s="3"/>
      <c r="AZ353" s="4" t="s">
        <v>623</v>
      </c>
      <c r="BA353" s="3"/>
      <c r="BB353" s="1"/>
      <c r="BC353" s="1"/>
    </row>
    <row r="354" spans="1:55" s="78" customFormat="1" ht="15" customHeight="1" x14ac:dyDescent="0.25">
      <c r="A354" s="52" t="s">
        <v>4363</v>
      </c>
      <c r="B354" s="34" t="s">
        <v>59</v>
      </c>
      <c r="C354" s="53">
        <v>2026</v>
      </c>
      <c r="D354" s="53">
        <v>2026</v>
      </c>
      <c r="E354" s="54" t="s">
        <v>3153</v>
      </c>
      <c r="F354" s="55" t="s">
        <v>50</v>
      </c>
      <c r="G354" s="55" t="s">
        <v>50</v>
      </c>
      <c r="H354" s="45" t="s">
        <v>1008</v>
      </c>
      <c r="I354" s="61" t="s">
        <v>78</v>
      </c>
      <c r="J354" s="56" t="s">
        <v>291</v>
      </c>
      <c r="K354" s="55" t="s">
        <v>292</v>
      </c>
      <c r="L354" s="55" t="str">
        <f t="shared" si="5"/>
        <v/>
      </c>
      <c r="M354" s="55"/>
      <c r="N354" s="55" t="s">
        <v>110</v>
      </c>
      <c r="O354" s="55"/>
      <c r="P354" s="56" t="s">
        <v>293</v>
      </c>
      <c r="Q354" s="55" t="s">
        <v>57</v>
      </c>
      <c r="R354" s="55"/>
      <c r="S354" s="56" t="s">
        <v>81</v>
      </c>
      <c r="T354" s="55" t="str">
        <f>IF(ISNUMBER(SEARCH(",",N354)),"Y","N")</f>
        <v>N</v>
      </c>
      <c r="U354" s="57">
        <v>4750</v>
      </c>
      <c r="V354" s="57" t="s">
        <v>101</v>
      </c>
      <c r="W354" s="55" t="s">
        <v>2319</v>
      </c>
      <c r="X354" s="54" t="s">
        <v>4363</v>
      </c>
      <c r="Y354" s="52"/>
      <c r="Z354" s="3" t="s">
        <v>61</v>
      </c>
      <c r="AA354" s="3" t="s">
        <v>1009</v>
      </c>
      <c r="AB354" s="3"/>
      <c r="AC354" s="3"/>
      <c r="AD354" s="3" t="s">
        <v>62</v>
      </c>
      <c r="AE354" s="3" t="s">
        <v>251</v>
      </c>
      <c r="AF354" s="3"/>
      <c r="AG354" s="3" t="s">
        <v>987</v>
      </c>
      <c r="AH354" s="58">
        <v>100</v>
      </c>
      <c r="AI354" s="3"/>
      <c r="AJ354" s="3"/>
      <c r="AK354" s="3"/>
      <c r="AL354" s="3"/>
      <c r="AM354" s="3"/>
      <c r="AN354" s="3"/>
      <c r="AO354" s="3"/>
      <c r="AP354" s="3"/>
      <c r="AQ354" s="3"/>
      <c r="AR354" s="3"/>
      <c r="AS354" s="3"/>
      <c r="AT354" s="3"/>
      <c r="AU354" s="3"/>
      <c r="AV354" s="3"/>
      <c r="AW354" s="3"/>
      <c r="AX354" s="3"/>
      <c r="AY354" s="3"/>
      <c r="AZ354" s="4" t="s">
        <v>1007</v>
      </c>
      <c r="BA354" s="3"/>
      <c r="BB354" s="1"/>
      <c r="BC354" s="1"/>
    </row>
    <row r="355" spans="1:55" s="78" customFormat="1" ht="15" customHeight="1" x14ac:dyDescent="0.25">
      <c r="A355" s="52" t="s">
        <v>4364</v>
      </c>
      <c r="B355" s="34" t="s">
        <v>59</v>
      </c>
      <c r="C355" s="53">
        <v>2026</v>
      </c>
      <c r="D355" s="53">
        <v>2026</v>
      </c>
      <c r="E355" s="54" t="s">
        <v>3154</v>
      </c>
      <c r="F355" s="55" t="s">
        <v>50</v>
      </c>
      <c r="G355" s="55" t="s">
        <v>50</v>
      </c>
      <c r="H355" s="45" t="s">
        <v>1010</v>
      </c>
      <c r="I355" s="56" t="s">
        <v>78</v>
      </c>
      <c r="J355" s="56"/>
      <c r="K355" s="56" t="s">
        <v>79</v>
      </c>
      <c r="L355" s="55" t="str">
        <f t="shared" si="5"/>
        <v/>
      </c>
      <c r="M355" s="55"/>
      <c r="N355" s="56" t="s">
        <v>80</v>
      </c>
      <c r="O355" s="56"/>
      <c r="P355" s="56" t="s">
        <v>89</v>
      </c>
      <c r="Q355" s="56" t="s">
        <v>89</v>
      </c>
      <c r="R355" s="55"/>
      <c r="S355" s="56" t="s">
        <v>81</v>
      </c>
      <c r="T355" s="55" t="str">
        <f>IF(ISNUMBER(SEARCH(",",N355)),"Y","N")</f>
        <v>N</v>
      </c>
      <c r="U355" s="57">
        <v>-999</v>
      </c>
      <c r="V355" s="57" t="s">
        <v>59</v>
      </c>
      <c r="W355" s="55" t="s">
        <v>2319</v>
      </c>
      <c r="X355" s="54" t="s">
        <v>4364</v>
      </c>
      <c r="Y355" s="52"/>
      <c r="Z355" s="1" t="s">
        <v>61</v>
      </c>
      <c r="AA355" s="1" t="s">
        <v>1011</v>
      </c>
      <c r="AB355" s="1"/>
      <c r="AC355" s="1"/>
      <c r="AD355" s="3" t="s">
        <v>62</v>
      </c>
      <c r="AE355" s="1" t="s">
        <v>192</v>
      </c>
      <c r="AF355" s="1" t="s">
        <v>84</v>
      </c>
      <c r="AG355" s="1" t="s">
        <v>84</v>
      </c>
      <c r="AH355" s="2">
        <v>100</v>
      </c>
      <c r="AI355" s="1"/>
      <c r="AJ355" s="1"/>
      <c r="AK355" s="1"/>
      <c r="AL355" s="1"/>
      <c r="AM355" s="1"/>
      <c r="AN355" s="1"/>
      <c r="AO355" s="1"/>
      <c r="AP355" s="1"/>
      <c r="AQ355" s="1"/>
      <c r="AR355" s="1"/>
      <c r="AS355" s="1"/>
      <c r="AT355" s="1"/>
      <c r="AU355" s="1"/>
      <c r="AV355" s="1"/>
      <c r="AW355" s="1"/>
      <c r="AX355" s="1"/>
      <c r="AY355" s="1"/>
      <c r="AZ355" s="4" t="s">
        <v>189</v>
      </c>
      <c r="BA355" s="5"/>
      <c r="BB355" s="1"/>
      <c r="BC355" s="1"/>
    </row>
    <row r="356" spans="1:55" s="78" customFormat="1" ht="15" customHeight="1" x14ac:dyDescent="0.25">
      <c r="A356" s="52" t="s">
        <v>4365</v>
      </c>
      <c r="B356" s="34" t="s">
        <v>59</v>
      </c>
      <c r="C356" s="53">
        <v>2026</v>
      </c>
      <c r="D356" s="53">
        <v>2026</v>
      </c>
      <c r="E356" s="54" t="s">
        <v>3155</v>
      </c>
      <c r="F356" s="55" t="s">
        <v>50</v>
      </c>
      <c r="G356" s="55" t="s">
        <v>50</v>
      </c>
      <c r="H356" s="45" t="s">
        <v>1013</v>
      </c>
      <c r="I356" s="56" t="s">
        <v>78</v>
      </c>
      <c r="J356" s="56"/>
      <c r="K356" s="55" t="s">
        <v>71</v>
      </c>
      <c r="L356" s="55" t="str">
        <f t="shared" si="5"/>
        <v/>
      </c>
      <c r="M356" s="55"/>
      <c r="N356" s="55" t="s">
        <v>110</v>
      </c>
      <c r="O356" s="55"/>
      <c r="P356" s="55" t="s">
        <v>73</v>
      </c>
      <c r="Q356" s="55" t="s">
        <v>57</v>
      </c>
      <c r="R356" s="55"/>
      <c r="S356" s="56" t="s">
        <v>81</v>
      </c>
      <c r="T356" s="55" t="str">
        <f>IF(ISNUMBER(SEARCH(",",N356)),"Y","N")</f>
        <v>N</v>
      </c>
      <c r="U356" s="57">
        <v>1.1339999999999999</v>
      </c>
      <c r="V356" s="57" t="s">
        <v>101</v>
      </c>
      <c r="W356" s="55" t="s">
        <v>2319</v>
      </c>
      <c r="X356" s="54" t="s">
        <v>4365</v>
      </c>
      <c r="Y356" s="52"/>
      <c r="Z356" s="3" t="s">
        <v>2005</v>
      </c>
      <c r="AA356" s="3" t="s">
        <v>1014</v>
      </c>
      <c r="AB356" s="3"/>
      <c r="AC356" s="3"/>
      <c r="AD356" s="3" t="s">
        <v>62</v>
      </c>
      <c r="AE356" s="3" t="s">
        <v>155</v>
      </c>
      <c r="AF356" s="3" t="s">
        <v>1015</v>
      </c>
      <c r="AG356" s="3" t="s">
        <v>1016</v>
      </c>
      <c r="AH356" s="58">
        <v>100</v>
      </c>
      <c r="AI356" s="3"/>
      <c r="AJ356" s="3"/>
      <c r="AK356" s="3"/>
      <c r="AL356" s="3"/>
      <c r="AM356" s="3"/>
      <c r="AN356" s="3"/>
      <c r="AO356" s="3"/>
      <c r="AP356" s="3"/>
      <c r="AQ356" s="3"/>
      <c r="AR356" s="3"/>
      <c r="AS356" s="3"/>
      <c r="AT356" s="3"/>
      <c r="AU356" s="3"/>
      <c r="AV356" s="3"/>
      <c r="AW356" s="3"/>
      <c r="AX356" s="3"/>
      <c r="AY356" s="3"/>
      <c r="AZ356" s="4" t="s">
        <v>1012</v>
      </c>
      <c r="BA356" s="3"/>
      <c r="BB356" s="1"/>
      <c r="BC356" s="1"/>
    </row>
    <row r="357" spans="1:55" s="78" customFormat="1" ht="15" customHeight="1" x14ac:dyDescent="0.25">
      <c r="A357" s="52" t="s">
        <v>4366</v>
      </c>
      <c r="B357" s="34" t="s">
        <v>59</v>
      </c>
      <c r="C357" s="53">
        <v>2026</v>
      </c>
      <c r="D357" s="53">
        <v>2026</v>
      </c>
      <c r="E357" s="54" t="s">
        <v>3156</v>
      </c>
      <c r="F357" s="55" t="s">
        <v>50</v>
      </c>
      <c r="G357" s="55" t="s">
        <v>50</v>
      </c>
      <c r="H357" s="45" t="s">
        <v>1018</v>
      </c>
      <c r="I357" s="56" t="s">
        <v>52</v>
      </c>
      <c r="J357" s="56"/>
      <c r="K357" s="56" t="s">
        <v>1019</v>
      </c>
      <c r="L357" s="55" t="str">
        <f t="shared" si="5"/>
        <v/>
      </c>
      <c r="M357" s="55"/>
      <c r="N357" s="56"/>
      <c r="O357" s="56" t="s">
        <v>1020</v>
      </c>
      <c r="P357" s="56" t="s">
        <v>89</v>
      </c>
      <c r="Q357" s="56" t="s">
        <v>89</v>
      </c>
      <c r="R357" s="55"/>
      <c r="S357" s="56" t="s">
        <v>81</v>
      </c>
      <c r="T357" s="55" t="s">
        <v>81</v>
      </c>
      <c r="U357" s="57">
        <v>-999</v>
      </c>
      <c r="V357" s="57" t="s">
        <v>59</v>
      </c>
      <c r="W357" s="55" t="s">
        <v>2319</v>
      </c>
      <c r="X357" s="54" t="s">
        <v>4366</v>
      </c>
      <c r="Y357" s="52"/>
      <c r="Z357" s="1" t="s">
        <v>61</v>
      </c>
      <c r="AA357" s="1" t="s">
        <v>1021</v>
      </c>
      <c r="AB357" s="1"/>
      <c r="AC357" s="1"/>
      <c r="AD357" s="3" t="s">
        <v>62</v>
      </c>
      <c r="AE357" s="1" t="s">
        <v>108</v>
      </c>
      <c r="AF357" s="1" t="s">
        <v>1022</v>
      </c>
      <c r="AG357" s="1" t="s">
        <v>1023</v>
      </c>
      <c r="AH357" s="2">
        <v>100</v>
      </c>
      <c r="AI357" s="1"/>
      <c r="AJ357" s="1"/>
      <c r="AK357" s="1"/>
      <c r="AL357" s="1"/>
      <c r="AM357" s="1"/>
      <c r="AN357" s="1"/>
      <c r="AO357" s="1"/>
      <c r="AP357" s="1"/>
      <c r="AQ357" s="1"/>
      <c r="AR357" s="1"/>
      <c r="AS357" s="1"/>
      <c r="AT357" s="1"/>
      <c r="AU357" s="1"/>
      <c r="AV357" s="1"/>
      <c r="AW357" s="1"/>
      <c r="AX357" s="1"/>
      <c r="AY357" s="1"/>
      <c r="AZ357" s="4" t="s">
        <v>1017</v>
      </c>
      <c r="BA357" s="1"/>
      <c r="BB357" s="1"/>
      <c r="BC357" s="1"/>
    </row>
    <row r="358" spans="1:55" s="78" customFormat="1" ht="15" customHeight="1" x14ac:dyDescent="0.25">
      <c r="A358" s="52" t="s">
        <v>4367</v>
      </c>
      <c r="B358" s="34" t="s">
        <v>59</v>
      </c>
      <c r="C358" s="53">
        <v>2026</v>
      </c>
      <c r="D358" s="53">
        <v>2026</v>
      </c>
      <c r="E358" s="54" t="s">
        <v>3157</v>
      </c>
      <c r="F358" s="55" t="s">
        <v>50</v>
      </c>
      <c r="G358" s="55" t="s">
        <v>50</v>
      </c>
      <c r="H358" s="45" t="s">
        <v>1024</v>
      </c>
      <c r="I358" s="56" t="s">
        <v>52</v>
      </c>
      <c r="J358" s="56"/>
      <c r="K358" s="56" t="s">
        <v>1019</v>
      </c>
      <c r="L358" s="55" t="str">
        <f t="shared" si="5"/>
        <v/>
      </c>
      <c r="M358" s="55"/>
      <c r="N358" s="56"/>
      <c r="O358" s="56" t="s">
        <v>1025</v>
      </c>
      <c r="P358" s="56" t="s">
        <v>89</v>
      </c>
      <c r="Q358" s="56" t="s">
        <v>89</v>
      </c>
      <c r="R358" s="55"/>
      <c r="S358" s="56" t="s">
        <v>81</v>
      </c>
      <c r="T358" s="55" t="s">
        <v>81</v>
      </c>
      <c r="U358" s="57">
        <v>-999</v>
      </c>
      <c r="V358" s="57" t="s">
        <v>59</v>
      </c>
      <c r="W358" s="55" t="s">
        <v>2319</v>
      </c>
      <c r="X358" s="54" t="s">
        <v>4367</v>
      </c>
      <c r="Y358" s="52"/>
      <c r="Z358" s="1" t="s">
        <v>61</v>
      </c>
      <c r="AA358" s="1" t="s">
        <v>1026</v>
      </c>
      <c r="AB358" s="1"/>
      <c r="AC358" s="1"/>
      <c r="AD358" s="3" t="s">
        <v>62</v>
      </c>
      <c r="AE358" s="1" t="s">
        <v>574</v>
      </c>
      <c r="AF358" s="1"/>
      <c r="AG358" s="1" t="s">
        <v>1027</v>
      </c>
      <c r="AH358" s="2">
        <v>100</v>
      </c>
      <c r="AI358" s="1"/>
      <c r="AJ358" s="1"/>
      <c r="AK358" s="1"/>
      <c r="AL358" s="1"/>
      <c r="AM358" s="1"/>
      <c r="AN358" s="1"/>
      <c r="AO358" s="1"/>
      <c r="AP358" s="1"/>
      <c r="AQ358" s="1"/>
      <c r="AR358" s="1"/>
      <c r="AS358" s="1"/>
      <c r="AT358" s="1"/>
      <c r="AU358" s="1"/>
      <c r="AV358" s="1"/>
      <c r="AW358" s="1"/>
      <c r="AX358" s="1"/>
      <c r="AY358" s="1"/>
      <c r="AZ358" s="4" t="s">
        <v>1017</v>
      </c>
      <c r="BA358" s="1"/>
      <c r="BB358" s="1"/>
      <c r="BC358" s="1"/>
    </row>
    <row r="359" spans="1:55" s="78" customFormat="1" ht="15" customHeight="1" x14ac:dyDescent="0.25">
      <c r="A359" s="52" t="s">
        <v>4368</v>
      </c>
      <c r="B359" s="34" t="s">
        <v>59</v>
      </c>
      <c r="C359" s="53">
        <v>2026</v>
      </c>
      <c r="D359" s="53">
        <v>2026</v>
      </c>
      <c r="E359" s="54" t="s">
        <v>3158</v>
      </c>
      <c r="F359" s="55" t="s">
        <v>50</v>
      </c>
      <c r="G359" s="55" t="s">
        <v>50</v>
      </c>
      <c r="H359" s="45" t="s">
        <v>1029</v>
      </c>
      <c r="I359" s="45" t="s">
        <v>52</v>
      </c>
      <c r="J359" s="56"/>
      <c r="K359" s="55" t="s">
        <v>210</v>
      </c>
      <c r="L359" s="55" t="s">
        <v>54</v>
      </c>
      <c r="M359" s="55" t="s">
        <v>211</v>
      </c>
      <c r="N359" s="55" t="s">
        <v>212</v>
      </c>
      <c r="O359" s="55"/>
      <c r="P359" s="55" t="s">
        <v>89</v>
      </c>
      <c r="Q359" s="55" t="s">
        <v>89</v>
      </c>
      <c r="R359" s="55"/>
      <c r="S359" s="56" t="s">
        <v>81</v>
      </c>
      <c r="T359" s="55" t="s">
        <v>81</v>
      </c>
      <c r="U359" s="57">
        <v>-999</v>
      </c>
      <c r="V359" s="57" t="s">
        <v>59</v>
      </c>
      <c r="W359" s="55" t="s">
        <v>2319</v>
      </c>
      <c r="X359" s="54" t="s">
        <v>4368</v>
      </c>
      <c r="Y359" s="52"/>
      <c r="Z359" s="3" t="s">
        <v>61</v>
      </c>
      <c r="AA359" s="1" t="s">
        <v>1030</v>
      </c>
      <c r="AB359" s="1"/>
      <c r="AC359" s="1"/>
      <c r="AD359" s="3" t="s">
        <v>62</v>
      </c>
      <c r="AE359" s="3" t="s">
        <v>464</v>
      </c>
      <c r="AF359" s="3"/>
      <c r="AG359" s="1" t="s">
        <v>374</v>
      </c>
      <c r="AH359" s="2">
        <v>100</v>
      </c>
      <c r="AI359" s="1"/>
      <c r="AJ359" s="2"/>
      <c r="AK359" s="3"/>
      <c r="AL359" s="3"/>
      <c r="AM359" s="3"/>
      <c r="AN359" s="3"/>
      <c r="AO359" s="3"/>
      <c r="AP359" s="3"/>
      <c r="AQ359" s="3"/>
      <c r="AR359" s="3"/>
      <c r="AS359" s="3"/>
      <c r="AT359" s="3"/>
      <c r="AU359" s="3"/>
      <c r="AV359" s="3"/>
      <c r="AW359" s="3"/>
      <c r="AX359" s="3"/>
      <c r="AY359" s="3"/>
      <c r="AZ359" s="4" t="s">
        <v>1028</v>
      </c>
      <c r="BA359" s="3"/>
      <c r="BB359" s="1"/>
      <c r="BC359" s="1"/>
    </row>
    <row r="360" spans="1:55" s="78" customFormat="1" ht="15" customHeight="1" x14ac:dyDescent="0.25">
      <c r="A360" s="52" t="s">
        <v>4369</v>
      </c>
      <c r="B360" s="34" t="s">
        <v>59</v>
      </c>
      <c r="C360" s="53">
        <v>2026</v>
      </c>
      <c r="D360" s="53">
        <v>2026</v>
      </c>
      <c r="E360" s="54" t="s">
        <v>3159</v>
      </c>
      <c r="F360" s="55" t="s">
        <v>50</v>
      </c>
      <c r="G360" s="55" t="s">
        <v>50</v>
      </c>
      <c r="H360" s="45" t="s">
        <v>1032</v>
      </c>
      <c r="I360" s="61" t="s">
        <v>52</v>
      </c>
      <c r="J360" s="56" t="s">
        <v>291</v>
      </c>
      <c r="K360" s="55" t="s">
        <v>291</v>
      </c>
      <c r="L360" s="55"/>
      <c r="M360" s="55"/>
      <c r="N360" s="56" t="s">
        <v>300</v>
      </c>
      <c r="O360" s="55" t="s">
        <v>1033</v>
      </c>
      <c r="P360" s="56" t="s">
        <v>89</v>
      </c>
      <c r="Q360" s="56" t="s">
        <v>89</v>
      </c>
      <c r="R360" s="55"/>
      <c r="S360" s="56" t="s">
        <v>58</v>
      </c>
      <c r="T360" s="55" t="s">
        <v>58</v>
      </c>
      <c r="U360" s="57">
        <v>1000000</v>
      </c>
      <c r="V360" s="57" t="s">
        <v>101</v>
      </c>
      <c r="W360" s="55" t="s">
        <v>2319</v>
      </c>
      <c r="X360" s="54" t="s">
        <v>4369</v>
      </c>
      <c r="Y360" s="52"/>
      <c r="Z360" s="3" t="s">
        <v>61</v>
      </c>
      <c r="AA360" s="3" t="s">
        <v>1035</v>
      </c>
      <c r="AB360" s="3"/>
      <c r="AC360" s="3"/>
      <c r="AD360" s="3" t="s">
        <v>62</v>
      </c>
      <c r="AE360" s="3" t="s">
        <v>336</v>
      </c>
      <c r="AF360" s="3"/>
      <c r="AG360" s="3" t="s">
        <v>1036</v>
      </c>
      <c r="AH360" s="58">
        <v>100</v>
      </c>
      <c r="AI360" s="3"/>
      <c r="AJ360" s="3"/>
      <c r="AK360" s="3"/>
      <c r="AL360" s="3"/>
      <c r="AM360" s="3"/>
      <c r="AN360" s="3"/>
      <c r="AO360" s="3"/>
      <c r="AP360" s="3"/>
      <c r="AQ360" s="3"/>
      <c r="AR360" s="3"/>
      <c r="AS360" s="3"/>
      <c r="AT360" s="3"/>
      <c r="AU360" s="3"/>
      <c r="AV360" s="3"/>
      <c r="AW360" s="3"/>
      <c r="AX360" s="3"/>
      <c r="AY360" s="3"/>
      <c r="AZ360" s="4" t="s">
        <v>1031</v>
      </c>
      <c r="BA360" s="3"/>
      <c r="BB360" s="1"/>
      <c r="BC360" s="1"/>
    </row>
    <row r="361" spans="1:55" s="78" customFormat="1" ht="15" customHeight="1" x14ac:dyDescent="0.25">
      <c r="A361" s="52" t="s">
        <v>4370</v>
      </c>
      <c r="B361" s="34" t="s">
        <v>59</v>
      </c>
      <c r="C361" s="53">
        <v>2026</v>
      </c>
      <c r="D361" s="53">
        <v>2026</v>
      </c>
      <c r="E361" s="54" t="s">
        <v>3160</v>
      </c>
      <c r="F361" s="55" t="s">
        <v>50</v>
      </c>
      <c r="G361" s="55" t="s">
        <v>50</v>
      </c>
      <c r="H361" s="45" t="s">
        <v>1038</v>
      </c>
      <c r="I361" s="56" t="s">
        <v>78</v>
      </c>
      <c r="J361" s="56"/>
      <c r="K361" s="55" t="s">
        <v>71</v>
      </c>
      <c r="L361" s="55" t="str">
        <f>IF(K361="Mine or Quarry","Mine","")</f>
        <v/>
      </c>
      <c r="M361" s="55"/>
      <c r="N361" s="55" t="s">
        <v>110</v>
      </c>
      <c r="O361" s="45" t="s">
        <v>296</v>
      </c>
      <c r="P361" s="55" t="s">
        <v>73</v>
      </c>
      <c r="Q361" s="55" t="s">
        <v>57</v>
      </c>
      <c r="R361" s="55"/>
      <c r="S361" s="56" t="s">
        <v>81</v>
      </c>
      <c r="T361" s="55" t="str">
        <f>IF(ISNUMBER(SEARCH(",",N361)),"Y","N")</f>
        <v>N</v>
      </c>
      <c r="U361" s="57">
        <v>39.689</v>
      </c>
      <c r="V361" s="57" t="s">
        <v>101</v>
      </c>
      <c r="W361" s="55" t="s">
        <v>2319</v>
      </c>
      <c r="X361" s="54" t="s">
        <v>4370</v>
      </c>
      <c r="Y361" s="52"/>
      <c r="Z361" s="3" t="s">
        <v>154</v>
      </c>
      <c r="AA361" s="3" t="s">
        <v>1039</v>
      </c>
      <c r="AB361" s="3"/>
      <c r="AC361" s="3"/>
      <c r="AD361" s="3" t="s">
        <v>62</v>
      </c>
      <c r="AE361" s="3" t="s">
        <v>519</v>
      </c>
      <c r="AF361" s="3" t="s">
        <v>1040</v>
      </c>
      <c r="AG361" s="3" t="s">
        <v>1040</v>
      </c>
      <c r="AH361" s="58">
        <v>60</v>
      </c>
      <c r="AI361" s="3" t="s">
        <v>1041</v>
      </c>
      <c r="AJ361" s="3">
        <v>40</v>
      </c>
      <c r="AK361" s="3"/>
      <c r="AL361" s="3"/>
      <c r="AM361" s="3"/>
      <c r="AN361" s="3"/>
      <c r="AO361" s="3"/>
      <c r="AP361" s="3"/>
      <c r="AQ361" s="3"/>
      <c r="AR361" s="3"/>
      <c r="AS361" s="3"/>
      <c r="AT361" s="3"/>
      <c r="AU361" s="3"/>
      <c r="AV361" s="3"/>
      <c r="AW361" s="3"/>
      <c r="AX361" s="3"/>
      <c r="AY361" s="3"/>
      <c r="AZ361" s="5" t="s">
        <v>1037</v>
      </c>
      <c r="BA361" s="32"/>
      <c r="BB361" s="1"/>
      <c r="BC361" s="1"/>
    </row>
    <row r="362" spans="1:55" s="78" customFormat="1" ht="15" customHeight="1" x14ac:dyDescent="0.25">
      <c r="A362" s="52" t="s">
        <v>4371</v>
      </c>
      <c r="B362" s="34" t="s">
        <v>59</v>
      </c>
      <c r="C362" s="53">
        <v>2026</v>
      </c>
      <c r="D362" s="53">
        <v>2026</v>
      </c>
      <c r="E362" s="54" t="s">
        <v>3161</v>
      </c>
      <c r="F362" s="55" t="s">
        <v>50</v>
      </c>
      <c r="G362" s="55" t="s">
        <v>50</v>
      </c>
      <c r="H362" s="45" t="s">
        <v>1043</v>
      </c>
      <c r="I362" s="56" t="s">
        <v>78</v>
      </c>
      <c r="J362" s="56"/>
      <c r="K362" s="56" t="s">
        <v>79</v>
      </c>
      <c r="L362" s="55" t="str">
        <f>IF(K362="Mine or Quarry","Mine","")</f>
        <v/>
      </c>
      <c r="M362" s="55"/>
      <c r="N362" s="56" t="s">
        <v>80</v>
      </c>
      <c r="O362" s="56"/>
      <c r="P362" s="56" t="s">
        <v>89</v>
      </c>
      <c r="Q362" s="56" t="s">
        <v>89</v>
      </c>
      <c r="R362" s="55"/>
      <c r="S362" s="56" t="s">
        <v>81</v>
      </c>
      <c r="T362" s="55" t="str">
        <f>IF(ISNUMBER(SEARCH(",",N362)),"Y","N")</f>
        <v>N</v>
      </c>
      <c r="U362" s="57">
        <v>120000</v>
      </c>
      <c r="V362" s="57" t="s">
        <v>101</v>
      </c>
      <c r="W362" s="55" t="s">
        <v>2319</v>
      </c>
      <c r="X362" s="54" t="s">
        <v>4371</v>
      </c>
      <c r="Y362" s="52"/>
      <c r="Z362" s="1" t="s">
        <v>61</v>
      </c>
      <c r="AA362" s="1" t="s">
        <v>1044</v>
      </c>
      <c r="AB362" s="1"/>
      <c r="AC362" s="1"/>
      <c r="AD362" s="3" t="s">
        <v>62</v>
      </c>
      <c r="AE362" s="1" t="s">
        <v>251</v>
      </c>
      <c r="AF362" s="1" t="s">
        <v>938</v>
      </c>
      <c r="AG362" s="1" t="s">
        <v>938</v>
      </c>
      <c r="AH362" s="2">
        <v>100</v>
      </c>
      <c r="AI362" s="1"/>
      <c r="AJ362" s="1"/>
      <c r="AK362" s="1"/>
      <c r="AL362" s="1"/>
      <c r="AM362" s="1"/>
      <c r="AN362" s="1"/>
      <c r="AO362" s="1"/>
      <c r="AP362" s="1"/>
      <c r="AQ362" s="1"/>
      <c r="AR362" s="1"/>
      <c r="AS362" s="1"/>
      <c r="AT362" s="1"/>
      <c r="AU362" s="1"/>
      <c r="AV362" s="1"/>
      <c r="AW362" s="1"/>
      <c r="AX362" s="1"/>
      <c r="AY362" s="1"/>
      <c r="AZ362" s="4" t="s">
        <v>1042</v>
      </c>
      <c r="BA362" s="5"/>
      <c r="BB362" s="1"/>
      <c r="BC362" s="1"/>
    </row>
    <row r="363" spans="1:55" s="78" customFormat="1" ht="15" customHeight="1" x14ac:dyDescent="0.25">
      <c r="A363" s="52" t="s">
        <v>4372</v>
      </c>
      <c r="B363" s="34" t="s">
        <v>59</v>
      </c>
      <c r="C363" s="53">
        <v>2026</v>
      </c>
      <c r="D363" s="53">
        <v>2026</v>
      </c>
      <c r="E363" s="54" t="s">
        <v>3162</v>
      </c>
      <c r="F363" s="55" t="s">
        <v>50</v>
      </c>
      <c r="G363" s="55" t="s">
        <v>50</v>
      </c>
      <c r="H363" s="45" t="s">
        <v>1045</v>
      </c>
      <c r="I363" s="56" t="s">
        <v>52</v>
      </c>
      <c r="J363" s="56"/>
      <c r="K363" s="56" t="s">
        <v>204</v>
      </c>
      <c r="L363" s="55"/>
      <c r="M363" s="55"/>
      <c r="N363" s="56"/>
      <c r="O363" s="56"/>
      <c r="P363" s="55" t="s">
        <v>89</v>
      </c>
      <c r="Q363" s="55" t="s">
        <v>89</v>
      </c>
      <c r="R363" s="55"/>
      <c r="S363" s="56" t="s">
        <v>81</v>
      </c>
      <c r="T363" s="55" t="s">
        <v>81</v>
      </c>
      <c r="U363" s="57">
        <v>400000</v>
      </c>
      <c r="V363" s="57" t="s">
        <v>101</v>
      </c>
      <c r="W363" s="55" t="s">
        <v>2319</v>
      </c>
      <c r="X363" s="54" t="s">
        <v>4372</v>
      </c>
      <c r="Y363" s="52"/>
      <c r="Z363" s="2" t="s">
        <v>61</v>
      </c>
      <c r="AA363" s="1" t="s">
        <v>1046</v>
      </c>
      <c r="AB363" s="1"/>
      <c r="AC363" s="1"/>
      <c r="AD363" s="3" t="s">
        <v>62</v>
      </c>
      <c r="AE363" s="2" t="s">
        <v>83</v>
      </c>
      <c r="AF363" s="2"/>
      <c r="AG363" s="3" t="s">
        <v>929</v>
      </c>
      <c r="AH363" s="58"/>
      <c r="AI363" s="1"/>
      <c r="AJ363" s="1"/>
      <c r="AK363" s="1"/>
      <c r="AL363" s="1"/>
      <c r="AM363" s="1"/>
      <c r="AN363" s="1"/>
      <c r="AO363" s="1"/>
      <c r="AP363" s="1"/>
      <c r="AQ363" s="1"/>
      <c r="AR363" s="1"/>
      <c r="AS363" s="1"/>
      <c r="AT363" s="1"/>
      <c r="AU363" s="1"/>
      <c r="AV363" s="1"/>
      <c r="AW363" s="1"/>
      <c r="AX363" s="1"/>
      <c r="AY363" s="1"/>
      <c r="AZ363" s="4" t="s">
        <v>202</v>
      </c>
      <c r="BA363" s="1" t="s">
        <v>3822</v>
      </c>
      <c r="BB363" s="1"/>
      <c r="BC363" s="1"/>
    </row>
    <row r="364" spans="1:55" s="78" customFormat="1" ht="15" customHeight="1" x14ac:dyDescent="0.25">
      <c r="A364" s="52" t="s">
        <v>4373</v>
      </c>
      <c r="B364" s="34" t="s">
        <v>59</v>
      </c>
      <c r="C364" s="53">
        <v>2026</v>
      </c>
      <c r="D364" s="53">
        <v>2026</v>
      </c>
      <c r="E364" s="54" t="s">
        <v>3163</v>
      </c>
      <c r="F364" s="55" t="s">
        <v>50</v>
      </c>
      <c r="G364" s="55" t="s">
        <v>50</v>
      </c>
      <c r="H364" s="45" t="s">
        <v>1047</v>
      </c>
      <c r="I364" s="56" t="s">
        <v>52</v>
      </c>
      <c r="J364" s="56"/>
      <c r="K364" s="45" t="s">
        <v>285</v>
      </c>
      <c r="L364" s="55" t="str">
        <f>IF(K364="Mine or Quarry","Mine","")</f>
        <v/>
      </c>
      <c r="M364" s="55"/>
      <c r="N364" s="56" t="s">
        <v>286</v>
      </c>
      <c r="O364" s="56"/>
      <c r="P364" s="55" t="s">
        <v>89</v>
      </c>
      <c r="Q364" s="55" t="s">
        <v>89</v>
      </c>
      <c r="R364" s="55"/>
      <c r="S364" s="56" t="s">
        <v>58</v>
      </c>
      <c r="T364" s="55" t="str">
        <f>IF(ISNUMBER(SEARCH(",",N364)),"Y","N")</f>
        <v>N</v>
      </c>
      <c r="U364" s="57">
        <v>-999</v>
      </c>
      <c r="V364" s="57" t="s">
        <v>59</v>
      </c>
      <c r="W364" s="55" t="s">
        <v>2319</v>
      </c>
      <c r="X364" s="54" t="s">
        <v>4373</v>
      </c>
      <c r="Y364" s="52"/>
      <c r="Z364" s="1" t="s">
        <v>61</v>
      </c>
      <c r="AA364" s="65" t="s">
        <v>1048</v>
      </c>
      <c r="AB364" s="65"/>
      <c r="AC364" s="65"/>
      <c r="AD364" s="3" t="s">
        <v>62</v>
      </c>
      <c r="AE364" s="1" t="s">
        <v>396</v>
      </c>
      <c r="AF364" s="1"/>
      <c r="AG364" s="3" t="s">
        <v>983</v>
      </c>
      <c r="AH364" s="2">
        <v>100</v>
      </c>
      <c r="AI364" s="1"/>
      <c r="AJ364" s="1"/>
      <c r="AK364" s="1"/>
      <c r="AL364" s="1"/>
      <c r="AM364" s="1"/>
      <c r="AN364" s="1"/>
      <c r="AO364" s="1"/>
      <c r="AP364" s="1"/>
      <c r="AQ364" s="1"/>
      <c r="AR364" s="1"/>
      <c r="AS364" s="1"/>
      <c r="AT364" s="1"/>
      <c r="AU364" s="1"/>
      <c r="AV364" s="1"/>
      <c r="AW364" s="1"/>
      <c r="AX364" s="1"/>
      <c r="AY364" s="1"/>
      <c r="AZ364" s="1" t="s">
        <v>284</v>
      </c>
      <c r="BA364" s="1"/>
      <c r="BB364" s="1"/>
      <c r="BC364" s="1"/>
    </row>
    <row r="365" spans="1:55" s="78" customFormat="1" ht="15" customHeight="1" x14ac:dyDescent="0.25">
      <c r="A365" s="52" t="s">
        <v>4374</v>
      </c>
      <c r="B365" s="34" t="s">
        <v>59</v>
      </c>
      <c r="C365" s="53">
        <v>2026</v>
      </c>
      <c r="D365" s="53">
        <v>2026</v>
      </c>
      <c r="E365" s="54" t="s">
        <v>3164</v>
      </c>
      <c r="F365" s="55" t="s">
        <v>50</v>
      </c>
      <c r="G365" s="55" t="s">
        <v>50</v>
      </c>
      <c r="H365" s="45" t="s">
        <v>1049</v>
      </c>
      <c r="I365" s="56" t="s">
        <v>52</v>
      </c>
      <c r="J365" s="56"/>
      <c r="K365" s="56" t="s">
        <v>204</v>
      </c>
      <c r="L365" s="55"/>
      <c r="M365" s="55"/>
      <c r="N365" s="56"/>
      <c r="O365" s="56"/>
      <c r="P365" s="55" t="s">
        <v>89</v>
      </c>
      <c r="Q365" s="55" t="s">
        <v>89</v>
      </c>
      <c r="R365" s="55"/>
      <c r="S365" s="56" t="s">
        <v>81</v>
      </c>
      <c r="T365" s="55" t="s">
        <v>81</v>
      </c>
      <c r="U365" s="57">
        <v>-999</v>
      </c>
      <c r="V365" s="57" t="s">
        <v>59</v>
      </c>
      <c r="W365" s="55" t="s">
        <v>2319</v>
      </c>
      <c r="X365" s="54" t="s">
        <v>4374</v>
      </c>
      <c r="Y365" s="52"/>
      <c r="Z365" s="2" t="s">
        <v>61</v>
      </c>
      <c r="AA365" s="1" t="s">
        <v>1050</v>
      </c>
      <c r="AB365" s="1"/>
      <c r="AC365" s="1"/>
      <c r="AD365" s="3" t="s">
        <v>62</v>
      </c>
      <c r="AE365" s="2" t="s">
        <v>695</v>
      </c>
      <c r="AF365" s="3" t="s">
        <v>765</v>
      </c>
      <c r="AG365" s="3" t="s">
        <v>766</v>
      </c>
      <c r="AH365" s="58"/>
      <c r="AI365" s="1"/>
      <c r="AJ365" s="1"/>
      <c r="AK365" s="1"/>
      <c r="AL365" s="1"/>
      <c r="AM365" s="1"/>
      <c r="AN365" s="1"/>
      <c r="AO365" s="1"/>
      <c r="AP365" s="1"/>
      <c r="AQ365" s="1"/>
      <c r="AR365" s="1"/>
      <c r="AS365" s="1"/>
      <c r="AT365" s="1"/>
      <c r="AU365" s="1"/>
      <c r="AV365" s="1"/>
      <c r="AW365" s="1"/>
      <c r="AX365" s="1"/>
      <c r="AY365" s="1"/>
      <c r="AZ365" s="4" t="s">
        <v>202</v>
      </c>
      <c r="BA365" s="1"/>
      <c r="BB365" s="1"/>
      <c r="BC365" s="1"/>
    </row>
    <row r="366" spans="1:55" s="78" customFormat="1" ht="15" customHeight="1" x14ac:dyDescent="0.25">
      <c r="A366" s="52" t="s">
        <v>4375</v>
      </c>
      <c r="B366" s="34" t="s">
        <v>59</v>
      </c>
      <c r="C366" s="53">
        <v>2026</v>
      </c>
      <c r="D366" s="53">
        <v>2026</v>
      </c>
      <c r="E366" s="54" t="s">
        <v>3165</v>
      </c>
      <c r="F366" s="55" t="s">
        <v>50</v>
      </c>
      <c r="G366" s="55" t="s">
        <v>50</v>
      </c>
      <c r="H366" s="45" t="s">
        <v>1052</v>
      </c>
      <c r="I366" s="45" t="s">
        <v>52</v>
      </c>
      <c r="J366" s="56"/>
      <c r="K366" s="55" t="s">
        <v>582</v>
      </c>
      <c r="L366" s="55" t="s">
        <v>54</v>
      </c>
      <c r="M366" s="55" t="s">
        <v>113</v>
      </c>
      <c r="N366" s="55" t="s">
        <v>55</v>
      </c>
      <c r="O366" s="55"/>
      <c r="P366" s="61" t="s">
        <v>583</v>
      </c>
      <c r="Q366" s="61" t="s">
        <v>57</v>
      </c>
      <c r="R366" s="55"/>
      <c r="S366" s="56" t="s">
        <v>81</v>
      </c>
      <c r="T366" s="55" t="str">
        <f>IF(ISNUMBER(SEARCH(",",N366)),"Y","N")</f>
        <v>N</v>
      </c>
      <c r="U366" s="57">
        <v>125000</v>
      </c>
      <c r="V366" s="57" t="s">
        <v>101</v>
      </c>
      <c r="W366" s="55"/>
      <c r="X366" s="54" t="s">
        <v>4375</v>
      </c>
      <c r="Y366" s="52"/>
      <c r="Z366" s="1" t="s">
        <v>61</v>
      </c>
      <c r="AA366" s="3" t="s">
        <v>1053</v>
      </c>
      <c r="AB366" s="3"/>
      <c r="AC366" s="3"/>
      <c r="AD366" s="3" t="s">
        <v>62</v>
      </c>
      <c r="AE366" s="3" t="s">
        <v>1054</v>
      </c>
      <c r="AF366" s="3"/>
      <c r="AG366" s="3" t="s">
        <v>1055</v>
      </c>
      <c r="AH366" s="58">
        <v>100</v>
      </c>
      <c r="AI366" s="3"/>
      <c r="AJ366" s="3"/>
      <c r="AK366" s="3"/>
      <c r="AL366" s="3"/>
      <c r="AM366" s="3"/>
      <c r="AN366" s="3"/>
      <c r="AO366" s="3"/>
      <c r="AP366" s="3"/>
      <c r="AQ366" s="3"/>
      <c r="AR366" s="3"/>
      <c r="AS366" s="3"/>
      <c r="AT366" s="3"/>
      <c r="AU366" s="3"/>
      <c r="AV366" s="3"/>
      <c r="AW366" s="3"/>
      <c r="AX366" s="3"/>
      <c r="AY366" s="3"/>
      <c r="AZ366" s="4" t="s">
        <v>1051</v>
      </c>
      <c r="BA366" s="3"/>
      <c r="BB366" s="1"/>
      <c r="BC366" s="1"/>
    </row>
    <row r="367" spans="1:55" s="78" customFormat="1" ht="15" customHeight="1" x14ac:dyDescent="0.25">
      <c r="A367" s="52" t="s">
        <v>4376</v>
      </c>
      <c r="B367" s="34" t="s">
        <v>59</v>
      </c>
      <c r="C367" s="53">
        <v>2026</v>
      </c>
      <c r="D367" s="53">
        <v>2026</v>
      </c>
      <c r="E367" s="54" t="s">
        <v>3166</v>
      </c>
      <c r="F367" s="55" t="s">
        <v>50</v>
      </c>
      <c r="G367" s="55" t="s">
        <v>50</v>
      </c>
      <c r="H367" s="45" t="s">
        <v>1056</v>
      </c>
      <c r="I367" s="45" t="s">
        <v>52</v>
      </c>
      <c r="J367" s="56"/>
      <c r="K367" s="55" t="s">
        <v>582</v>
      </c>
      <c r="L367" s="55" t="s">
        <v>317</v>
      </c>
      <c r="M367" s="55" t="s">
        <v>113</v>
      </c>
      <c r="N367" s="55" t="s">
        <v>55</v>
      </c>
      <c r="O367" s="55"/>
      <c r="P367" s="61" t="s">
        <v>583</v>
      </c>
      <c r="Q367" s="61" t="s">
        <v>57</v>
      </c>
      <c r="R367" s="55"/>
      <c r="S367" s="56" t="s">
        <v>81</v>
      </c>
      <c r="T367" s="55" t="str">
        <f>IF(ISNUMBER(SEARCH(",",N367)),"Y","N")</f>
        <v>N</v>
      </c>
      <c r="U367" s="57">
        <v>125000</v>
      </c>
      <c r="V367" s="57" t="s">
        <v>101</v>
      </c>
      <c r="W367" s="55"/>
      <c r="X367" s="54" t="s">
        <v>4376</v>
      </c>
      <c r="Y367" s="52"/>
      <c r="Z367" s="1" t="s">
        <v>61</v>
      </c>
      <c r="AA367" s="3" t="s">
        <v>1053</v>
      </c>
      <c r="AB367" s="3"/>
      <c r="AC367" s="3"/>
      <c r="AD367" s="3" t="s">
        <v>62</v>
      </c>
      <c r="AE367" s="1" t="s">
        <v>1054</v>
      </c>
      <c r="AF367" s="1"/>
      <c r="AG367" s="3" t="s">
        <v>1055</v>
      </c>
      <c r="AH367" s="58">
        <v>100</v>
      </c>
      <c r="AI367" s="3"/>
      <c r="AJ367" s="3"/>
      <c r="AK367" s="3"/>
      <c r="AL367" s="3"/>
      <c r="AM367" s="3"/>
      <c r="AN367" s="3"/>
      <c r="AO367" s="3"/>
      <c r="AP367" s="3"/>
      <c r="AQ367" s="3"/>
      <c r="AR367" s="3"/>
      <c r="AS367" s="3"/>
      <c r="AT367" s="3"/>
      <c r="AU367" s="3"/>
      <c r="AV367" s="3"/>
      <c r="AW367" s="3"/>
      <c r="AX367" s="3"/>
      <c r="AY367" s="3"/>
      <c r="AZ367" s="4" t="s">
        <v>1051</v>
      </c>
      <c r="BA367" s="3"/>
      <c r="BB367" s="1"/>
      <c r="BC367" s="1"/>
    </row>
    <row r="368" spans="1:55" s="78" customFormat="1" ht="15" customHeight="1" x14ac:dyDescent="0.25">
      <c r="A368" s="52" t="s">
        <v>4377</v>
      </c>
      <c r="B368" s="34" t="s">
        <v>59</v>
      </c>
      <c r="C368" s="53">
        <v>2026</v>
      </c>
      <c r="D368" s="53">
        <v>2026</v>
      </c>
      <c r="E368" s="54" t="s">
        <v>3167</v>
      </c>
      <c r="F368" s="55" t="s">
        <v>50</v>
      </c>
      <c r="G368" s="55" t="s">
        <v>50</v>
      </c>
      <c r="H368" s="45" t="s">
        <v>3978</v>
      </c>
      <c r="I368" s="56" t="s">
        <v>78</v>
      </c>
      <c r="J368" s="56"/>
      <c r="K368" s="56" t="s">
        <v>79</v>
      </c>
      <c r="L368" s="55" t="str">
        <f>IF(K368="Mine or Quarry","Mine","")</f>
        <v/>
      </c>
      <c r="M368" s="55"/>
      <c r="N368" s="56" t="s">
        <v>80</v>
      </c>
      <c r="O368" s="56"/>
      <c r="P368" s="56" t="s">
        <v>89</v>
      </c>
      <c r="Q368" s="56" t="s">
        <v>89</v>
      </c>
      <c r="R368" s="55"/>
      <c r="S368" s="56" t="s">
        <v>81</v>
      </c>
      <c r="T368" s="55" t="str">
        <f>IF(ISNUMBER(SEARCH(",",N368)),"Y","N")</f>
        <v>N</v>
      </c>
      <c r="U368" s="57">
        <v>-999</v>
      </c>
      <c r="V368" s="57" t="s">
        <v>59</v>
      </c>
      <c r="W368" s="55" t="s">
        <v>2319</v>
      </c>
      <c r="X368" s="54" t="s">
        <v>4377</v>
      </c>
      <c r="Y368" s="52"/>
      <c r="Z368" s="1" t="s">
        <v>61</v>
      </c>
      <c r="AA368" s="1" t="s">
        <v>1059</v>
      </c>
      <c r="AB368" s="1"/>
      <c r="AC368" s="1"/>
      <c r="AD368" s="3" t="s">
        <v>62</v>
      </c>
      <c r="AE368" s="1" t="s">
        <v>574</v>
      </c>
      <c r="AF368" s="1" t="s">
        <v>1060</v>
      </c>
      <c r="AG368" s="1" t="s">
        <v>1061</v>
      </c>
      <c r="AH368" s="58">
        <v>100</v>
      </c>
      <c r="AI368" s="1"/>
      <c r="AJ368" s="1"/>
      <c r="AK368" s="1"/>
      <c r="AL368" s="1"/>
      <c r="AM368" s="1"/>
      <c r="AN368" s="1"/>
      <c r="AO368" s="1"/>
      <c r="AP368" s="1"/>
      <c r="AQ368" s="1"/>
      <c r="AR368" s="1"/>
      <c r="AS368" s="1"/>
      <c r="AT368" s="1"/>
      <c r="AU368" s="1"/>
      <c r="AV368" s="1"/>
      <c r="AW368" s="1"/>
      <c r="AX368" s="1"/>
      <c r="AY368" s="1"/>
      <c r="AZ368" s="4" t="s">
        <v>1057</v>
      </c>
      <c r="BA368" s="5"/>
      <c r="BB368" s="1"/>
      <c r="BC368" s="1"/>
    </row>
    <row r="369" spans="1:55" s="78" customFormat="1" ht="15" customHeight="1" x14ac:dyDescent="0.25">
      <c r="A369" s="52" t="s">
        <v>4378</v>
      </c>
      <c r="B369" s="34" t="s">
        <v>59</v>
      </c>
      <c r="C369" s="53">
        <v>2026</v>
      </c>
      <c r="D369" s="53">
        <v>2026</v>
      </c>
      <c r="E369" s="54" t="s">
        <v>3168</v>
      </c>
      <c r="F369" s="55" t="s">
        <v>50</v>
      </c>
      <c r="G369" s="55" t="s">
        <v>50</v>
      </c>
      <c r="H369" s="45" t="s">
        <v>1058</v>
      </c>
      <c r="I369" s="56" t="s">
        <v>78</v>
      </c>
      <c r="J369" s="56"/>
      <c r="K369" s="56" t="s">
        <v>53</v>
      </c>
      <c r="L369" s="55" t="s">
        <v>88</v>
      </c>
      <c r="M369" s="55"/>
      <c r="N369" s="56" t="s">
        <v>181</v>
      </c>
      <c r="O369" s="56"/>
      <c r="P369" s="55" t="s">
        <v>56</v>
      </c>
      <c r="Q369" s="55" t="s">
        <v>57</v>
      </c>
      <c r="R369" s="55"/>
      <c r="S369" s="56" t="s">
        <v>58</v>
      </c>
      <c r="T369" s="55" t="str">
        <f>IF(ISNUMBER(SEARCH(",",N369)),"Y","N")</f>
        <v>N</v>
      </c>
      <c r="U369" s="57">
        <v>20000</v>
      </c>
      <c r="V369" s="57" t="s">
        <v>101</v>
      </c>
      <c r="W369" s="55" t="s">
        <v>2319</v>
      </c>
      <c r="X369" s="54" t="s">
        <v>4378</v>
      </c>
      <c r="Y369" s="52"/>
      <c r="Z369" s="1" t="s">
        <v>61</v>
      </c>
      <c r="AA369" s="1" t="s">
        <v>1062</v>
      </c>
      <c r="AB369" s="1"/>
      <c r="AC369" s="1"/>
      <c r="AD369" s="3" t="s">
        <v>62</v>
      </c>
      <c r="AE369" s="1" t="s">
        <v>306</v>
      </c>
      <c r="AF369" s="1"/>
      <c r="AG369" s="1" t="s">
        <v>439</v>
      </c>
      <c r="AH369" s="2">
        <v>100</v>
      </c>
      <c r="AI369" s="1"/>
      <c r="AJ369" s="1"/>
      <c r="AK369" s="1"/>
      <c r="AL369" s="1"/>
      <c r="AM369" s="1"/>
      <c r="AN369" s="1"/>
      <c r="AO369" s="1"/>
      <c r="AP369" s="1"/>
      <c r="AQ369" s="1"/>
      <c r="AR369" s="1"/>
      <c r="AS369" s="1"/>
      <c r="AT369" s="1"/>
      <c r="AU369" s="1"/>
      <c r="AV369" s="1"/>
      <c r="AW369" s="1"/>
      <c r="AX369" s="1"/>
      <c r="AY369" s="1"/>
      <c r="AZ369" s="4" t="s">
        <v>320</v>
      </c>
      <c r="BA369" s="4" t="s">
        <v>3979</v>
      </c>
      <c r="BB369" s="1"/>
      <c r="BC369" s="1"/>
    </row>
    <row r="370" spans="1:55" s="78" customFormat="1" ht="15" customHeight="1" x14ac:dyDescent="0.25">
      <c r="A370" s="52" t="s">
        <v>4379</v>
      </c>
      <c r="B370" s="34" t="s">
        <v>59</v>
      </c>
      <c r="C370" s="53">
        <v>2026</v>
      </c>
      <c r="D370" s="53">
        <v>2026</v>
      </c>
      <c r="E370" s="54" t="s">
        <v>3168</v>
      </c>
      <c r="F370" s="55" t="s">
        <v>50</v>
      </c>
      <c r="G370" s="55" t="s">
        <v>50</v>
      </c>
      <c r="H370" s="45" t="s">
        <v>1058</v>
      </c>
      <c r="I370" s="45" t="s">
        <v>78</v>
      </c>
      <c r="J370" s="56"/>
      <c r="K370" s="56" t="s">
        <v>126</v>
      </c>
      <c r="L370" s="55" t="s">
        <v>88</v>
      </c>
      <c r="M370" s="55"/>
      <c r="N370" s="56" t="s">
        <v>181</v>
      </c>
      <c r="O370" s="56"/>
      <c r="P370" s="55" t="s">
        <v>129</v>
      </c>
      <c r="Q370" s="56" t="s">
        <v>57</v>
      </c>
      <c r="R370" s="55"/>
      <c r="S370" s="56" t="s">
        <v>58</v>
      </c>
      <c r="T370" s="55" t="s">
        <v>81</v>
      </c>
      <c r="U370" s="57">
        <v>400</v>
      </c>
      <c r="V370" s="57" t="s">
        <v>101</v>
      </c>
      <c r="W370" s="55" t="s">
        <v>2319</v>
      </c>
      <c r="X370" s="54" t="s">
        <v>4379</v>
      </c>
      <c r="Y370" s="52"/>
      <c r="Z370" s="1" t="s">
        <v>61</v>
      </c>
      <c r="AA370" s="1" t="s">
        <v>1062</v>
      </c>
      <c r="AB370" s="1"/>
      <c r="AC370" s="1"/>
      <c r="AD370" s="3" t="s">
        <v>62</v>
      </c>
      <c r="AE370" s="1" t="s">
        <v>306</v>
      </c>
      <c r="AF370" s="1"/>
      <c r="AG370" s="1" t="s">
        <v>439</v>
      </c>
      <c r="AH370" s="2">
        <v>100</v>
      </c>
      <c r="AI370" s="1"/>
      <c r="AJ370" s="1"/>
      <c r="AK370" s="1"/>
      <c r="AL370" s="1"/>
      <c r="AM370" s="1"/>
      <c r="AN370" s="1"/>
      <c r="AO370" s="1"/>
      <c r="AP370" s="1"/>
      <c r="AQ370" s="1"/>
      <c r="AR370" s="1"/>
      <c r="AS370" s="1"/>
      <c r="AT370" s="1"/>
      <c r="AU370" s="1"/>
      <c r="AV370" s="1"/>
      <c r="AW370" s="1"/>
      <c r="AX370" s="1"/>
      <c r="AY370" s="1"/>
      <c r="AZ370" s="4" t="s">
        <v>1063</v>
      </c>
      <c r="BA370" s="4" t="s">
        <v>3979</v>
      </c>
      <c r="BB370" s="1"/>
      <c r="BC370" s="1"/>
    </row>
    <row r="371" spans="1:55" s="78" customFormat="1" ht="15" customHeight="1" x14ac:dyDescent="0.25">
      <c r="A371" s="52" t="s">
        <v>4380</v>
      </c>
      <c r="B371" s="34" t="s">
        <v>59</v>
      </c>
      <c r="C371" s="53">
        <v>2026</v>
      </c>
      <c r="D371" s="53">
        <v>2026</v>
      </c>
      <c r="E371" s="54" t="s">
        <v>3168</v>
      </c>
      <c r="F371" s="55" t="s">
        <v>50</v>
      </c>
      <c r="G371" s="55" t="s">
        <v>50</v>
      </c>
      <c r="H371" s="45" t="s">
        <v>1058</v>
      </c>
      <c r="I371" s="56" t="s">
        <v>78</v>
      </c>
      <c r="J371" s="56"/>
      <c r="K371" s="56" t="s">
        <v>71</v>
      </c>
      <c r="L371" s="55" t="s">
        <v>88</v>
      </c>
      <c r="M371" s="55"/>
      <c r="N371" s="61" t="s">
        <v>181</v>
      </c>
      <c r="O371" s="61"/>
      <c r="P371" s="55" t="s">
        <v>73</v>
      </c>
      <c r="Q371" s="55" t="s">
        <v>57</v>
      </c>
      <c r="R371" s="55"/>
      <c r="S371" s="56" t="s">
        <v>58</v>
      </c>
      <c r="T371" s="55" t="str">
        <f>IF(ISNUMBER(SEARCH(",",N371)),"Y","N")</f>
        <v>N</v>
      </c>
      <c r="U371" s="57">
        <v>0.10199999999999999</v>
      </c>
      <c r="V371" s="57" t="s">
        <v>101</v>
      </c>
      <c r="W371" s="55" t="s">
        <v>2319</v>
      </c>
      <c r="X371" s="54" t="s">
        <v>4380</v>
      </c>
      <c r="Y371" s="52"/>
      <c r="Z371" s="1" t="s">
        <v>61</v>
      </c>
      <c r="AA371" s="1" t="s">
        <v>1062</v>
      </c>
      <c r="AB371" s="1"/>
      <c r="AC371" s="1"/>
      <c r="AD371" s="3" t="s">
        <v>62</v>
      </c>
      <c r="AE371" s="1" t="s">
        <v>306</v>
      </c>
      <c r="AF371" s="1"/>
      <c r="AG371" s="1" t="s">
        <v>439</v>
      </c>
      <c r="AH371" s="2">
        <v>100</v>
      </c>
      <c r="AI371" s="65"/>
      <c r="AJ371" s="65"/>
      <c r="AK371" s="65"/>
      <c r="AL371" s="65"/>
      <c r="AM371" s="65"/>
      <c r="AN371" s="65"/>
      <c r="AO371" s="65"/>
      <c r="AP371" s="65"/>
      <c r="AQ371" s="65"/>
      <c r="AR371" s="65"/>
      <c r="AS371" s="65"/>
      <c r="AT371" s="65"/>
      <c r="AU371" s="65"/>
      <c r="AV371" s="65"/>
      <c r="AW371" s="65"/>
      <c r="AX371" s="65"/>
      <c r="AY371" s="65"/>
      <c r="AZ371" s="4" t="s">
        <v>1063</v>
      </c>
      <c r="BA371" s="4" t="s">
        <v>3979</v>
      </c>
      <c r="BB371" s="1"/>
      <c r="BC371" s="1"/>
    </row>
    <row r="372" spans="1:55" s="78" customFormat="1" ht="15" customHeight="1" x14ac:dyDescent="0.25">
      <c r="A372" s="52" t="s">
        <v>4381</v>
      </c>
      <c r="B372" s="34" t="s">
        <v>59</v>
      </c>
      <c r="C372" s="53">
        <v>2026</v>
      </c>
      <c r="D372" s="53">
        <v>2026</v>
      </c>
      <c r="E372" s="54" t="s">
        <v>3168</v>
      </c>
      <c r="F372" s="55" t="s">
        <v>50</v>
      </c>
      <c r="G372" s="55" t="s">
        <v>50</v>
      </c>
      <c r="H372" s="45" t="s">
        <v>1058</v>
      </c>
      <c r="I372" s="56" t="s">
        <v>78</v>
      </c>
      <c r="J372" s="45" t="s">
        <v>65</v>
      </c>
      <c r="K372" s="56" t="s">
        <v>66</v>
      </c>
      <c r="L372" s="55" t="s">
        <v>88</v>
      </c>
      <c r="M372" s="55"/>
      <c r="N372" s="56" t="s">
        <v>181</v>
      </c>
      <c r="O372" s="56"/>
      <c r="P372" s="56" t="s">
        <v>67</v>
      </c>
      <c r="Q372" s="55" t="s">
        <v>57</v>
      </c>
      <c r="R372" s="55"/>
      <c r="S372" s="56" t="s">
        <v>58</v>
      </c>
      <c r="T372" s="55" t="s">
        <v>81</v>
      </c>
      <c r="U372" s="57">
        <v>0.17299999999999999</v>
      </c>
      <c r="V372" s="57" t="s">
        <v>101</v>
      </c>
      <c r="W372" s="55" t="s">
        <v>2319</v>
      </c>
      <c r="X372" s="54" t="s">
        <v>4381</v>
      </c>
      <c r="Y372" s="52"/>
      <c r="Z372" s="1" t="s">
        <v>61</v>
      </c>
      <c r="AA372" s="1" t="s">
        <v>1062</v>
      </c>
      <c r="AB372" s="1"/>
      <c r="AC372" s="1"/>
      <c r="AD372" s="3" t="s">
        <v>62</v>
      </c>
      <c r="AE372" s="1" t="s">
        <v>306</v>
      </c>
      <c r="AF372" s="1"/>
      <c r="AG372" s="1" t="s">
        <v>439</v>
      </c>
      <c r="AH372" s="2">
        <v>100</v>
      </c>
      <c r="AI372" s="1"/>
      <c r="AJ372" s="1"/>
      <c r="AK372" s="1"/>
      <c r="AL372" s="1"/>
      <c r="AM372" s="1"/>
      <c r="AN372" s="1"/>
      <c r="AO372" s="1"/>
      <c r="AP372" s="1"/>
      <c r="AQ372" s="1"/>
      <c r="AR372" s="1"/>
      <c r="AS372" s="1"/>
      <c r="AT372" s="1"/>
      <c r="AU372" s="1"/>
      <c r="AV372" s="1"/>
      <c r="AW372" s="1"/>
      <c r="AX372" s="1"/>
      <c r="AY372" s="1"/>
      <c r="AZ372" s="4" t="s">
        <v>1063</v>
      </c>
      <c r="BA372" s="4" t="s">
        <v>3979</v>
      </c>
      <c r="BB372" s="1"/>
      <c r="BC372" s="1"/>
    </row>
    <row r="373" spans="1:55" s="78" customFormat="1" ht="15" customHeight="1" x14ac:dyDescent="0.25">
      <c r="A373" s="52" t="s">
        <v>4382</v>
      </c>
      <c r="B373" s="34" t="s">
        <v>59</v>
      </c>
      <c r="C373" s="53">
        <v>2026</v>
      </c>
      <c r="D373" s="53">
        <v>2026</v>
      </c>
      <c r="E373" s="54" t="s">
        <v>3168</v>
      </c>
      <c r="F373" s="55" t="s">
        <v>50</v>
      </c>
      <c r="G373" s="55" t="s">
        <v>50</v>
      </c>
      <c r="H373" s="45" t="s">
        <v>1058</v>
      </c>
      <c r="I373" s="56" t="s">
        <v>78</v>
      </c>
      <c r="J373" s="45" t="s">
        <v>65</v>
      </c>
      <c r="K373" s="56" t="s">
        <v>68</v>
      </c>
      <c r="L373" s="55" t="s">
        <v>88</v>
      </c>
      <c r="M373" s="55"/>
      <c r="N373" s="56" t="s">
        <v>181</v>
      </c>
      <c r="O373" s="56"/>
      <c r="P373" s="56" t="s">
        <v>69</v>
      </c>
      <c r="Q373" s="55" t="s">
        <v>57</v>
      </c>
      <c r="R373" s="55"/>
      <c r="S373" s="56" t="s">
        <v>58</v>
      </c>
      <c r="T373" s="55" t="s">
        <v>81</v>
      </c>
      <c r="U373" s="57">
        <v>0.252</v>
      </c>
      <c r="V373" s="57" t="s">
        <v>101</v>
      </c>
      <c r="W373" s="55" t="s">
        <v>2319</v>
      </c>
      <c r="X373" s="54" t="s">
        <v>4382</v>
      </c>
      <c r="Y373" s="52"/>
      <c r="Z373" s="1" t="s">
        <v>61</v>
      </c>
      <c r="AA373" s="1" t="s">
        <v>1062</v>
      </c>
      <c r="AB373" s="1"/>
      <c r="AC373" s="1"/>
      <c r="AD373" s="3" t="s">
        <v>62</v>
      </c>
      <c r="AE373" s="1" t="s">
        <v>306</v>
      </c>
      <c r="AF373" s="1"/>
      <c r="AG373" s="1" t="s">
        <v>439</v>
      </c>
      <c r="AH373" s="2">
        <v>100</v>
      </c>
      <c r="AI373" s="1"/>
      <c r="AJ373" s="1"/>
      <c r="AK373" s="1"/>
      <c r="AL373" s="1"/>
      <c r="AM373" s="1"/>
      <c r="AN373" s="1"/>
      <c r="AO373" s="1"/>
      <c r="AP373" s="1"/>
      <c r="AQ373" s="1"/>
      <c r="AR373" s="1"/>
      <c r="AS373" s="1"/>
      <c r="AT373" s="1"/>
      <c r="AU373" s="1"/>
      <c r="AV373" s="1"/>
      <c r="AW373" s="1"/>
      <c r="AX373" s="1"/>
      <c r="AY373" s="1"/>
      <c r="AZ373" s="4" t="s">
        <v>1063</v>
      </c>
      <c r="BA373" s="4" t="s">
        <v>3979</v>
      </c>
      <c r="BB373" s="1"/>
      <c r="BC373" s="1"/>
    </row>
    <row r="374" spans="1:55" s="78" customFormat="1" ht="15" customHeight="1" x14ac:dyDescent="0.25">
      <c r="A374" s="52" t="s">
        <v>4383</v>
      </c>
      <c r="B374" s="34" t="s">
        <v>59</v>
      </c>
      <c r="C374" s="53">
        <v>2026</v>
      </c>
      <c r="D374" s="53">
        <v>2026</v>
      </c>
      <c r="E374" s="54" t="s">
        <v>3168</v>
      </c>
      <c r="F374" s="55" t="s">
        <v>50</v>
      </c>
      <c r="G374" s="55" t="s">
        <v>50</v>
      </c>
      <c r="H374" s="45" t="s">
        <v>1058</v>
      </c>
      <c r="I374" s="56" t="s">
        <v>78</v>
      </c>
      <c r="J374" s="56"/>
      <c r="K374" s="55" t="s">
        <v>137</v>
      </c>
      <c r="L374" s="55" t="s">
        <v>88</v>
      </c>
      <c r="M374" s="55"/>
      <c r="N374" s="55" t="s">
        <v>181</v>
      </c>
      <c r="O374" s="55"/>
      <c r="P374" s="56" t="s">
        <v>138</v>
      </c>
      <c r="Q374" s="55" t="s">
        <v>57</v>
      </c>
      <c r="R374" s="55"/>
      <c r="S374" s="56" t="s">
        <v>58</v>
      </c>
      <c r="T374" s="55" t="str">
        <f>IF(ISNUMBER(SEARCH(",",N374)),"Y","N")</f>
        <v>N</v>
      </c>
      <c r="U374" s="57">
        <v>17000</v>
      </c>
      <c r="V374" s="57" t="s">
        <v>101</v>
      </c>
      <c r="W374" s="55" t="s">
        <v>2319</v>
      </c>
      <c r="X374" s="54" t="s">
        <v>4383</v>
      </c>
      <c r="Y374" s="52"/>
      <c r="Z374" s="3" t="s">
        <v>61</v>
      </c>
      <c r="AA374" s="1" t="s">
        <v>1062</v>
      </c>
      <c r="AB374" s="1"/>
      <c r="AC374" s="1"/>
      <c r="AD374" s="3" t="s">
        <v>62</v>
      </c>
      <c r="AE374" s="3" t="s">
        <v>306</v>
      </c>
      <c r="AF374" s="3"/>
      <c r="AG374" s="1" t="s">
        <v>439</v>
      </c>
      <c r="AH374" s="2">
        <v>100</v>
      </c>
      <c r="AI374" s="3"/>
      <c r="AJ374" s="3"/>
      <c r="AK374" s="3"/>
      <c r="AL374" s="3"/>
      <c r="AM374" s="3"/>
      <c r="AN374" s="3"/>
      <c r="AO374" s="3"/>
      <c r="AP374" s="3"/>
      <c r="AQ374" s="3"/>
      <c r="AR374" s="3"/>
      <c r="AS374" s="3"/>
      <c r="AT374" s="3"/>
      <c r="AU374" s="3"/>
      <c r="AV374" s="3"/>
      <c r="AW374" s="3"/>
      <c r="AX374" s="3"/>
      <c r="AY374" s="3"/>
      <c r="AZ374" s="4" t="s">
        <v>1063</v>
      </c>
      <c r="BA374" s="3" t="s">
        <v>3857</v>
      </c>
      <c r="BB374" s="4" t="s">
        <v>3979</v>
      </c>
      <c r="BC374" s="1"/>
    </row>
    <row r="375" spans="1:55" s="78" customFormat="1" ht="15" customHeight="1" x14ac:dyDescent="0.25">
      <c r="A375" s="52" t="s">
        <v>4384</v>
      </c>
      <c r="B375" s="34" t="s">
        <v>59</v>
      </c>
      <c r="C375" s="53">
        <v>2026</v>
      </c>
      <c r="D375" s="53">
        <v>2026</v>
      </c>
      <c r="E375" s="54" t="s">
        <v>3169</v>
      </c>
      <c r="F375" s="55" t="s">
        <v>50</v>
      </c>
      <c r="G375" s="55" t="s">
        <v>50</v>
      </c>
      <c r="H375" s="45" t="s">
        <v>1064</v>
      </c>
      <c r="I375" s="45" t="s">
        <v>78</v>
      </c>
      <c r="J375" s="56"/>
      <c r="K375" s="55" t="s">
        <v>53</v>
      </c>
      <c r="L375" s="55" t="s">
        <v>88</v>
      </c>
      <c r="M375" s="55"/>
      <c r="N375" s="45" t="s">
        <v>110</v>
      </c>
      <c r="O375" s="55"/>
      <c r="P375" s="55" t="s">
        <v>56</v>
      </c>
      <c r="Q375" s="55" t="s">
        <v>57</v>
      </c>
      <c r="R375" s="55"/>
      <c r="S375" s="56" t="s">
        <v>58</v>
      </c>
      <c r="T375" s="55" t="s">
        <v>81</v>
      </c>
      <c r="U375" s="57">
        <v>1000</v>
      </c>
      <c r="V375" s="57" t="s">
        <v>101</v>
      </c>
      <c r="W375" s="55" t="s">
        <v>2797</v>
      </c>
      <c r="X375" s="54" t="s">
        <v>5336</v>
      </c>
      <c r="Y375" s="60"/>
      <c r="Z375" s="1" t="s">
        <v>61</v>
      </c>
      <c r="AA375" s="3" t="s">
        <v>1065</v>
      </c>
      <c r="AB375" s="3"/>
      <c r="AC375" s="3"/>
      <c r="AD375" s="3" t="s">
        <v>62</v>
      </c>
      <c r="AE375" s="2" t="s">
        <v>155</v>
      </c>
      <c r="AF375" s="2"/>
      <c r="AG375" s="3" t="s">
        <v>64</v>
      </c>
      <c r="AH375" s="2">
        <v>100</v>
      </c>
      <c r="AI375" s="3"/>
      <c r="AJ375" s="3"/>
      <c r="AK375" s="3"/>
      <c r="AL375" s="3"/>
      <c r="AM375" s="3"/>
      <c r="AN375" s="3"/>
      <c r="AO375" s="3"/>
      <c r="AP375" s="3"/>
      <c r="AQ375" s="3"/>
      <c r="AR375" s="3"/>
      <c r="AS375" s="3"/>
      <c r="AT375" s="3"/>
      <c r="AU375" s="3"/>
      <c r="AV375" s="3"/>
      <c r="AW375" s="3"/>
      <c r="AX375" s="3"/>
      <c r="AY375" s="3"/>
      <c r="AZ375" s="4" t="s">
        <v>888</v>
      </c>
      <c r="BA375" s="3"/>
      <c r="BB375" s="1"/>
      <c r="BC375" s="1"/>
    </row>
    <row r="376" spans="1:55" s="78" customFormat="1" ht="15" customHeight="1" x14ac:dyDescent="0.25">
      <c r="A376" s="52" t="s">
        <v>4385</v>
      </c>
      <c r="B376" s="34" t="s">
        <v>59</v>
      </c>
      <c r="C376" s="53">
        <v>2026</v>
      </c>
      <c r="D376" s="53">
        <v>2026</v>
      </c>
      <c r="E376" s="54" t="s">
        <v>3169</v>
      </c>
      <c r="F376" s="55" t="s">
        <v>50</v>
      </c>
      <c r="G376" s="55" t="s">
        <v>50</v>
      </c>
      <c r="H376" s="45" t="s">
        <v>1064</v>
      </c>
      <c r="I376" s="45" t="s">
        <v>78</v>
      </c>
      <c r="J376" s="56"/>
      <c r="K376" s="45" t="s">
        <v>137</v>
      </c>
      <c r="L376" s="55" t="s">
        <v>88</v>
      </c>
      <c r="M376" s="55"/>
      <c r="N376" s="45" t="s">
        <v>110</v>
      </c>
      <c r="O376" s="45"/>
      <c r="P376" s="55" t="s">
        <v>138</v>
      </c>
      <c r="Q376" s="55" t="s">
        <v>57</v>
      </c>
      <c r="R376" s="55"/>
      <c r="S376" s="56" t="s">
        <v>58</v>
      </c>
      <c r="T376" s="55" t="s">
        <v>81</v>
      </c>
      <c r="U376" s="57">
        <v>700</v>
      </c>
      <c r="V376" s="57" t="s">
        <v>101</v>
      </c>
      <c r="W376" s="55" t="s">
        <v>2797</v>
      </c>
      <c r="X376" s="66" t="s">
        <v>5337</v>
      </c>
      <c r="Y376" s="60"/>
      <c r="Z376" s="1" t="s">
        <v>61</v>
      </c>
      <c r="AA376" s="3" t="s">
        <v>1065</v>
      </c>
      <c r="AB376" s="3"/>
      <c r="AC376" s="3"/>
      <c r="AD376" s="3" t="s">
        <v>62</v>
      </c>
      <c r="AE376" s="2" t="s">
        <v>155</v>
      </c>
      <c r="AF376" s="2"/>
      <c r="AG376" s="3" t="s">
        <v>64</v>
      </c>
      <c r="AH376" s="2">
        <v>100</v>
      </c>
      <c r="AI376" s="2"/>
      <c r="AJ376" s="2"/>
      <c r="AK376" s="2"/>
      <c r="AL376" s="2"/>
      <c r="AM376" s="2"/>
      <c r="AN376" s="2"/>
      <c r="AO376" s="2"/>
      <c r="AP376" s="2"/>
      <c r="AQ376" s="2"/>
      <c r="AR376" s="2"/>
      <c r="AS376" s="2"/>
      <c r="AT376" s="2"/>
      <c r="AU376" s="2"/>
      <c r="AV376" s="2"/>
      <c r="AW376" s="2"/>
      <c r="AX376" s="2"/>
      <c r="AY376" s="2"/>
      <c r="AZ376" s="4" t="s">
        <v>888</v>
      </c>
      <c r="BA376" s="2"/>
      <c r="BB376" s="1"/>
      <c r="BC376" s="1"/>
    </row>
    <row r="377" spans="1:55" s="78" customFormat="1" ht="15" customHeight="1" x14ac:dyDescent="0.25">
      <c r="A377" s="52" t="s">
        <v>4386</v>
      </c>
      <c r="B377" s="34" t="s">
        <v>59</v>
      </c>
      <c r="C377" s="53">
        <v>2026</v>
      </c>
      <c r="D377" s="53">
        <v>2026</v>
      </c>
      <c r="E377" s="54" t="s">
        <v>3169</v>
      </c>
      <c r="F377" s="55" t="s">
        <v>50</v>
      </c>
      <c r="G377" s="55" t="s">
        <v>50</v>
      </c>
      <c r="H377" s="45" t="s">
        <v>1064</v>
      </c>
      <c r="I377" s="56" t="s">
        <v>78</v>
      </c>
      <c r="J377" s="45" t="s">
        <v>65</v>
      </c>
      <c r="K377" s="55" t="s">
        <v>66</v>
      </c>
      <c r="L377" s="55" t="s">
        <v>88</v>
      </c>
      <c r="M377" s="55"/>
      <c r="N377" s="55" t="s">
        <v>110</v>
      </c>
      <c r="O377" s="55"/>
      <c r="P377" s="55" t="s">
        <v>67</v>
      </c>
      <c r="Q377" s="55" t="s">
        <v>57</v>
      </c>
      <c r="R377" s="55"/>
      <c r="S377" s="56" t="s">
        <v>58</v>
      </c>
      <c r="T377" s="55" t="s">
        <v>81</v>
      </c>
      <c r="U377" s="57">
        <v>5.5919999999999996</v>
      </c>
      <c r="V377" s="57" t="s">
        <v>59</v>
      </c>
      <c r="W377" s="55" t="s">
        <v>106</v>
      </c>
      <c r="X377" s="54" t="s">
        <v>4386</v>
      </c>
      <c r="Y377" s="60"/>
      <c r="Z377" s="3" t="s">
        <v>61</v>
      </c>
      <c r="AA377" s="3" t="s">
        <v>1065</v>
      </c>
      <c r="AB377" s="3"/>
      <c r="AC377" s="3"/>
      <c r="AD377" s="3" t="s">
        <v>62</v>
      </c>
      <c r="AE377" s="3" t="s">
        <v>155</v>
      </c>
      <c r="AF377" s="3"/>
      <c r="AG377" s="3" t="s">
        <v>64</v>
      </c>
      <c r="AH377" s="2">
        <v>100</v>
      </c>
      <c r="AI377" s="3"/>
      <c r="AJ377" s="3"/>
      <c r="AK377" s="3"/>
      <c r="AL377" s="3"/>
      <c r="AM377" s="3"/>
      <c r="AN377" s="3"/>
      <c r="AO377" s="3"/>
      <c r="AP377" s="3"/>
      <c r="AQ377" s="3"/>
      <c r="AR377" s="3"/>
      <c r="AS377" s="3"/>
      <c r="AT377" s="3"/>
      <c r="AU377" s="3"/>
      <c r="AV377" s="3"/>
      <c r="AW377" s="3"/>
      <c r="AX377" s="3"/>
      <c r="AY377" s="3"/>
      <c r="AZ377" s="4" t="s">
        <v>888</v>
      </c>
      <c r="BA377" s="3"/>
      <c r="BB377" s="1"/>
      <c r="BC377" s="1"/>
    </row>
    <row r="378" spans="1:55" s="78" customFormat="1" ht="15" customHeight="1" x14ac:dyDescent="0.25">
      <c r="A378" s="52" t="s">
        <v>4387</v>
      </c>
      <c r="B378" s="34" t="s">
        <v>59</v>
      </c>
      <c r="C378" s="53">
        <v>2026</v>
      </c>
      <c r="D378" s="53">
        <v>2026</v>
      </c>
      <c r="E378" s="54" t="s">
        <v>3169</v>
      </c>
      <c r="F378" s="55" t="s">
        <v>50</v>
      </c>
      <c r="G378" s="55" t="s">
        <v>50</v>
      </c>
      <c r="H378" s="45" t="s">
        <v>1064</v>
      </c>
      <c r="I378" s="56" t="s">
        <v>78</v>
      </c>
      <c r="J378" s="45" t="s">
        <v>65</v>
      </c>
      <c r="K378" s="55" t="s">
        <v>68</v>
      </c>
      <c r="L378" s="55" t="s">
        <v>88</v>
      </c>
      <c r="M378" s="55"/>
      <c r="N378" s="56" t="s">
        <v>110</v>
      </c>
      <c r="O378" s="56"/>
      <c r="P378" s="56" t="s">
        <v>69</v>
      </c>
      <c r="Q378" s="55" t="s">
        <v>57</v>
      </c>
      <c r="R378" s="55"/>
      <c r="S378" s="56" t="s">
        <v>58</v>
      </c>
      <c r="T378" s="55" t="s">
        <v>81</v>
      </c>
      <c r="U378" s="57">
        <v>1.6060000000000001</v>
      </c>
      <c r="V378" s="57" t="s">
        <v>59</v>
      </c>
      <c r="W378" s="55" t="s">
        <v>106</v>
      </c>
      <c r="X378" s="54" t="s">
        <v>4387</v>
      </c>
      <c r="Y378" s="60"/>
      <c r="Z378" s="3" t="s">
        <v>61</v>
      </c>
      <c r="AA378" s="3" t="s">
        <v>1065</v>
      </c>
      <c r="AB378" s="3"/>
      <c r="AC378" s="3"/>
      <c r="AD378" s="3" t="s">
        <v>62</v>
      </c>
      <c r="AE378" s="3" t="s">
        <v>155</v>
      </c>
      <c r="AF378" s="3"/>
      <c r="AG378" s="3" t="s">
        <v>64</v>
      </c>
      <c r="AH378" s="2">
        <v>100</v>
      </c>
      <c r="AI378" s="1"/>
      <c r="AJ378" s="1"/>
      <c r="AK378" s="1"/>
      <c r="AL378" s="1"/>
      <c r="AM378" s="1"/>
      <c r="AN378" s="1"/>
      <c r="AO378" s="1"/>
      <c r="AP378" s="1"/>
      <c r="AQ378" s="1"/>
      <c r="AR378" s="1"/>
      <c r="AS378" s="1"/>
      <c r="AT378" s="1"/>
      <c r="AU378" s="1"/>
      <c r="AV378" s="1"/>
      <c r="AW378" s="1"/>
      <c r="AX378" s="1"/>
      <c r="AY378" s="1"/>
      <c r="AZ378" s="4" t="s">
        <v>888</v>
      </c>
      <c r="BA378" s="1"/>
      <c r="BB378" s="1"/>
      <c r="BC378" s="1"/>
    </row>
    <row r="379" spans="1:55" s="78" customFormat="1" ht="15" customHeight="1" x14ac:dyDescent="0.25">
      <c r="A379" s="52" t="s">
        <v>4388</v>
      </c>
      <c r="B379" s="34" t="s">
        <v>59</v>
      </c>
      <c r="C379" s="53">
        <v>2026</v>
      </c>
      <c r="D379" s="53">
        <v>2026</v>
      </c>
      <c r="E379" s="54" t="s">
        <v>3169</v>
      </c>
      <c r="F379" s="55" t="s">
        <v>50</v>
      </c>
      <c r="G379" s="55" t="s">
        <v>50</v>
      </c>
      <c r="H379" s="45" t="s">
        <v>1064</v>
      </c>
      <c r="I379" s="56" t="s">
        <v>78</v>
      </c>
      <c r="J379" s="45" t="s">
        <v>65</v>
      </c>
      <c r="K379" s="56" t="s">
        <v>890</v>
      </c>
      <c r="L379" s="55" t="s">
        <v>88</v>
      </c>
      <c r="M379" s="55"/>
      <c r="N379" s="56" t="s">
        <v>110</v>
      </c>
      <c r="O379" s="56"/>
      <c r="P379" s="56" t="s">
        <v>1066</v>
      </c>
      <c r="Q379" s="55" t="s">
        <v>57</v>
      </c>
      <c r="R379" s="55"/>
      <c r="S379" s="56" t="s">
        <v>58</v>
      </c>
      <c r="T379" s="55" t="s">
        <v>81</v>
      </c>
      <c r="U379" s="57">
        <v>-999</v>
      </c>
      <c r="V379" s="57" t="s">
        <v>59</v>
      </c>
      <c r="W379" s="55" t="s">
        <v>2797</v>
      </c>
      <c r="X379" s="54" t="s">
        <v>4388</v>
      </c>
      <c r="Y379" s="60"/>
      <c r="Z379" s="3" t="s">
        <v>61</v>
      </c>
      <c r="AA379" s="1" t="s">
        <v>1065</v>
      </c>
      <c r="AB379" s="1"/>
      <c r="AC379" s="1"/>
      <c r="AD379" s="3" t="s">
        <v>62</v>
      </c>
      <c r="AE379" s="3" t="s">
        <v>155</v>
      </c>
      <c r="AF379" s="3"/>
      <c r="AG379" s="3" t="s">
        <v>64</v>
      </c>
      <c r="AH379" s="2">
        <v>100</v>
      </c>
      <c r="AI379" s="1"/>
      <c r="AJ379" s="1"/>
      <c r="AK379" s="1"/>
      <c r="AL379" s="1"/>
      <c r="AM379" s="1"/>
      <c r="AN379" s="1"/>
      <c r="AO379" s="1"/>
      <c r="AP379" s="1"/>
      <c r="AQ379" s="1"/>
      <c r="AR379" s="1"/>
      <c r="AS379" s="1"/>
      <c r="AT379" s="1"/>
      <c r="AU379" s="1"/>
      <c r="AV379" s="1"/>
      <c r="AW379" s="1"/>
      <c r="AX379" s="1"/>
      <c r="AY379" s="1"/>
      <c r="AZ379" s="4" t="s">
        <v>888</v>
      </c>
      <c r="BA379" s="1"/>
      <c r="BB379" s="1"/>
      <c r="BC379" s="1"/>
    </row>
    <row r="380" spans="1:55" s="78" customFormat="1" ht="15" customHeight="1" x14ac:dyDescent="0.25">
      <c r="A380" s="52" t="s">
        <v>4389</v>
      </c>
      <c r="B380" s="34" t="s">
        <v>59</v>
      </c>
      <c r="C380" s="53">
        <v>2026</v>
      </c>
      <c r="D380" s="53">
        <v>2026</v>
      </c>
      <c r="E380" s="54" t="s">
        <v>3169</v>
      </c>
      <c r="F380" s="55" t="s">
        <v>50</v>
      </c>
      <c r="G380" s="55" t="s">
        <v>50</v>
      </c>
      <c r="H380" s="45" t="s">
        <v>1064</v>
      </c>
      <c r="I380" s="45" t="s">
        <v>78</v>
      </c>
      <c r="J380" s="56"/>
      <c r="K380" s="55" t="s">
        <v>194</v>
      </c>
      <c r="L380" s="55" t="s">
        <v>88</v>
      </c>
      <c r="M380" s="55"/>
      <c r="N380" s="45" t="s">
        <v>110</v>
      </c>
      <c r="O380" s="55"/>
      <c r="P380" s="55" t="s">
        <v>195</v>
      </c>
      <c r="Q380" s="55" t="s">
        <v>57</v>
      </c>
      <c r="R380" s="55"/>
      <c r="S380" s="56" t="s">
        <v>58</v>
      </c>
      <c r="T380" s="55" t="s">
        <v>81</v>
      </c>
      <c r="U380" s="57">
        <v>-999</v>
      </c>
      <c r="V380" s="57" t="s">
        <v>59</v>
      </c>
      <c r="W380" s="55" t="s">
        <v>2797</v>
      </c>
      <c r="X380" s="54" t="s">
        <v>4389</v>
      </c>
      <c r="Y380" s="60"/>
      <c r="Z380" s="1" t="s">
        <v>61</v>
      </c>
      <c r="AA380" s="3" t="s">
        <v>1065</v>
      </c>
      <c r="AB380" s="3"/>
      <c r="AC380" s="3"/>
      <c r="AD380" s="3" t="s">
        <v>62</v>
      </c>
      <c r="AE380" s="2" t="s">
        <v>155</v>
      </c>
      <c r="AF380" s="2"/>
      <c r="AG380" s="3" t="s">
        <v>64</v>
      </c>
      <c r="AH380" s="2">
        <v>100</v>
      </c>
      <c r="AI380" s="3"/>
      <c r="AJ380" s="3"/>
      <c r="AK380" s="3"/>
      <c r="AL380" s="3"/>
      <c r="AM380" s="3"/>
      <c r="AN380" s="3"/>
      <c r="AO380" s="3"/>
      <c r="AP380" s="3"/>
      <c r="AQ380" s="3"/>
      <c r="AR380" s="3"/>
      <c r="AS380" s="3"/>
      <c r="AT380" s="3"/>
      <c r="AU380" s="3"/>
      <c r="AV380" s="3"/>
      <c r="AW380" s="3"/>
      <c r="AX380" s="3"/>
      <c r="AY380" s="3"/>
      <c r="AZ380" s="4" t="s">
        <v>888</v>
      </c>
      <c r="BA380" s="3"/>
      <c r="BB380" s="1"/>
      <c r="BC380" s="1"/>
    </row>
    <row r="381" spans="1:55" s="78" customFormat="1" ht="15" customHeight="1" x14ac:dyDescent="0.25">
      <c r="A381" s="52" t="s">
        <v>4390</v>
      </c>
      <c r="B381" s="34" t="s">
        <v>59</v>
      </c>
      <c r="C381" s="53">
        <v>2026</v>
      </c>
      <c r="D381" s="53">
        <v>2026</v>
      </c>
      <c r="E381" s="54" t="s">
        <v>3169</v>
      </c>
      <c r="F381" s="55" t="s">
        <v>50</v>
      </c>
      <c r="G381" s="55" t="s">
        <v>50</v>
      </c>
      <c r="H381" s="45" t="s">
        <v>1064</v>
      </c>
      <c r="I381" s="45" t="s">
        <v>78</v>
      </c>
      <c r="J381" s="56"/>
      <c r="K381" s="55" t="s">
        <v>198</v>
      </c>
      <c r="L381" s="55" t="s">
        <v>88</v>
      </c>
      <c r="M381" s="55"/>
      <c r="N381" s="45" t="s">
        <v>110</v>
      </c>
      <c r="O381" s="55"/>
      <c r="P381" s="55" t="s">
        <v>199</v>
      </c>
      <c r="Q381" s="55" t="s">
        <v>57</v>
      </c>
      <c r="R381" s="55"/>
      <c r="S381" s="56" t="s">
        <v>58</v>
      </c>
      <c r="T381" s="55" t="s">
        <v>81</v>
      </c>
      <c r="U381" s="57">
        <v>-999</v>
      </c>
      <c r="V381" s="57" t="s">
        <v>59</v>
      </c>
      <c r="W381" s="55" t="s">
        <v>2797</v>
      </c>
      <c r="X381" s="54" t="s">
        <v>4390</v>
      </c>
      <c r="Y381" s="60"/>
      <c r="Z381" s="1" t="s">
        <v>61</v>
      </c>
      <c r="AA381" s="3" t="s">
        <v>1065</v>
      </c>
      <c r="AB381" s="3"/>
      <c r="AC381" s="3"/>
      <c r="AD381" s="3" t="s">
        <v>62</v>
      </c>
      <c r="AE381" s="2" t="s">
        <v>155</v>
      </c>
      <c r="AF381" s="2"/>
      <c r="AG381" s="3" t="s">
        <v>64</v>
      </c>
      <c r="AH381" s="2">
        <v>100</v>
      </c>
      <c r="AI381" s="3"/>
      <c r="AJ381" s="3"/>
      <c r="AK381" s="3"/>
      <c r="AL381" s="3"/>
      <c r="AM381" s="3"/>
      <c r="AN381" s="3"/>
      <c r="AO381" s="3"/>
      <c r="AP381" s="3"/>
      <c r="AQ381" s="3"/>
      <c r="AR381" s="3"/>
      <c r="AS381" s="3"/>
      <c r="AT381" s="3"/>
      <c r="AU381" s="3"/>
      <c r="AV381" s="3"/>
      <c r="AW381" s="3"/>
      <c r="AX381" s="3"/>
      <c r="AY381" s="3"/>
      <c r="AZ381" s="4" t="s">
        <v>888</v>
      </c>
      <c r="BA381" s="3"/>
      <c r="BB381" s="1"/>
      <c r="BC381" s="1"/>
    </row>
    <row r="382" spans="1:55" s="78" customFormat="1" ht="15" customHeight="1" x14ac:dyDescent="0.25">
      <c r="A382" s="52" t="s">
        <v>4391</v>
      </c>
      <c r="B382" s="34" t="s">
        <v>59</v>
      </c>
      <c r="C382" s="53">
        <v>2026</v>
      </c>
      <c r="D382" s="53">
        <v>2026</v>
      </c>
      <c r="E382" s="54" t="s">
        <v>3170</v>
      </c>
      <c r="F382" s="55" t="s">
        <v>50</v>
      </c>
      <c r="G382" s="55" t="s">
        <v>50</v>
      </c>
      <c r="H382" s="45" t="s">
        <v>1068</v>
      </c>
      <c r="I382" s="61" t="s">
        <v>78</v>
      </c>
      <c r="J382" s="56"/>
      <c r="K382" s="55" t="s">
        <v>218</v>
      </c>
      <c r="L382" s="55"/>
      <c r="M382" s="55"/>
      <c r="N382" s="55" t="s">
        <v>181</v>
      </c>
      <c r="O382" s="55"/>
      <c r="P382" s="55" t="s">
        <v>219</v>
      </c>
      <c r="Q382" s="55" t="s">
        <v>57</v>
      </c>
      <c r="R382" s="55"/>
      <c r="S382" s="56" t="s">
        <v>58</v>
      </c>
      <c r="T382" s="55" t="s">
        <v>81</v>
      </c>
      <c r="U382" s="57">
        <v>42600</v>
      </c>
      <c r="V382" s="57" t="s">
        <v>101</v>
      </c>
      <c r="W382" s="55" t="s">
        <v>2319</v>
      </c>
      <c r="X382" s="54" t="s">
        <v>4391</v>
      </c>
      <c r="Y382" s="52"/>
      <c r="Z382" s="3" t="s">
        <v>61</v>
      </c>
      <c r="AA382" s="3" t="s">
        <v>717</v>
      </c>
      <c r="AB382" s="3"/>
      <c r="AC382" s="3"/>
      <c r="AD382" s="3" t="s">
        <v>62</v>
      </c>
      <c r="AE382" s="3" t="s">
        <v>718</v>
      </c>
      <c r="AF382" s="3"/>
      <c r="AG382" s="3" t="s">
        <v>719</v>
      </c>
      <c r="AH382" s="58">
        <v>100</v>
      </c>
      <c r="AI382" s="3"/>
      <c r="AJ382" s="3"/>
      <c r="AK382" s="3"/>
      <c r="AL382" s="3"/>
      <c r="AM382" s="3"/>
      <c r="AN382" s="3"/>
      <c r="AO382" s="3"/>
      <c r="AP382" s="3"/>
      <c r="AQ382" s="3"/>
      <c r="AR382" s="3"/>
      <c r="AS382" s="3"/>
      <c r="AT382" s="3"/>
      <c r="AU382" s="3"/>
      <c r="AV382" s="3"/>
      <c r="AW382" s="3"/>
      <c r="AX382" s="3"/>
      <c r="AY382" s="3"/>
      <c r="AZ382" s="4" t="s">
        <v>1067</v>
      </c>
      <c r="BA382" s="3"/>
      <c r="BB382" s="1"/>
      <c r="BC382" s="1"/>
    </row>
    <row r="383" spans="1:55" s="78" customFormat="1" ht="15" customHeight="1" x14ac:dyDescent="0.25">
      <c r="A383" s="52" t="s">
        <v>4392</v>
      </c>
      <c r="B383" s="34" t="s">
        <v>59</v>
      </c>
      <c r="C383" s="53">
        <v>2026</v>
      </c>
      <c r="D383" s="53">
        <v>2026</v>
      </c>
      <c r="E383" s="54" t="s">
        <v>3171</v>
      </c>
      <c r="F383" s="55" t="s">
        <v>50</v>
      </c>
      <c r="G383" s="55" t="s">
        <v>50</v>
      </c>
      <c r="H383" s="45" t="s">
        <v>1070</v>
      </c>
      <c r="I383" s="56" t="s">
        <v>78</v>
      </c>
      <c r="J383" s="56"/>
      <c r="K383" s="56" t="s">
        <v>836</v>
      </c>
      <c r="L383" s="55" t="s">
        <v>88</v>
      </c>
      <c r="M383" s="55"/>
      <c r="N383" s="56" t="s">
        <v>110</v>
      </c>
      <c r="O383" s="56"/>
      <c r="P383" s="56" t="s">
        <v>838</v>
      </c>
      <c r="Q383" s="56" t="s">
        <v>57</v>
      </c>
      <c r="R383" s="55"/>
      <c r="S383" s="56" t="s">
        <v>58</v>
      </c>
      <c r="T383" s="55" t="s">
        <v>81</v>
      </c>
      <c r="U383" s="57">
        <v>270</v>
      </c>
      <c r="V383" s="57" t="s">
        <v>101</v>
      </c>
      <c r="W383" s="55" t="s">
        <v>2797</v>
      </c>
      <c r="X383" s="54" t="s">
        <v>5329</v>
      </c>
      <c r="Y383" s="52"/>
      <c r="Z383" s="1" t="s">
        <v>61</v>
      </c>
      <c r="AA383" s="1" t="s">
        <v>1071</v>
      </c>
      <c r="AB383" s="1"/>
      <c r="AC383" s="1"/>
      <c r="AD383" s="3" t="s">
        <v>62</v>
      </c>
      <c r="AE383" s="1" t="s">
        <v>695</v>
      </c>
      <c r="AF383" s="1"/>
      <c r="AG383" s="1" t="s">
        <v>828</v>
      </c>
      <c r="AH383" s="58">
        <v>100</v>
      </c>
      <c r="AI383" s="1"/>
      <c r="AJ383" s="1"/>
      <c r="AK383" s="1"/>
      <c r="AL383" s="1"/>
      <c r="AM383" s="1"/>
      <c r="AN383" s="1"/>
      <c r="AO383" s="1"/>
      <c r="AP383" s="1"/>
      <c r="AQ383" s="1"/>
      <c r="AR383" s="1"/>
      <c r="AS383" s="1"/>
      <c r="AT383" s="1"/>
      <c r="AU383" s="1"/>
      <c r="AV383" s="1"/>
      <c r="AW383" s="1"/>
      <c r="AX383" s="1"/>
      <c r="AY383" s="1"/>
      <c r="AZ383" s="4" t="s">
        <v>1069</v>
      </c>
      <c r="BA383" s="1"/>
      <c r="BB383" s="1"/>
      <c r="BC383" s="1"/>
    </row>
    <row r="384" spans="1:55" s="78" customFormat="1" ht="15" customHeight="1" x14ac:dyDescent="0.25">
      <c r="A384" s="52" t="s">
        <v>4393</v>
      </c>
      <c r="B384" s="34" t="s">
        <v>59</v>
      </c>
      <c r="C384" s="53">
        <v>2026</v>
      </c>
      <c r="D384" s="53">
        <v>2026</v>
      </c>
      <c r="E384" s="54" t="s">
        <v>3171</v>
      </c>
      <c r="F384" s="55" t="s">
        <v>50</v>
      </c>
      <c r="G384" s="55" t="s">
        <v>50</v>
      </c>
      <c r="H384" s="45" t="s">
        <v>1070</v>
      </c>
      <c r="I384" s="56" t="s">
        <v>78</v>
      </c>
      <c r="J384" s="56"/>
      <c r="K384" s="56" t="s">
        <v>53</v>
      </c>
      <c r="L384" s="55" t="s">
        <v>88</v>
      </c>
      <c r="M384" s="55"/>
      <c r="N384" s="56" t="s">
        <v>110</v>
      </c>
      <c r="O384" s="56"/>
      <c r="P384" s="55" t="s">
        <v>56</v>
      </c>
      <c r="Q384" s="55" t="s">
        <v>57</v>
      </c>
      <c r="R384" s="55"/>
      <c r="S384" s="56" t="s">
        <v>58</v>
      </c>
      <c r="T384" s="55" t="str">
        <f>IF(ISNUMBER(SEARCH(",",N384)),"Y","N")</f>
        <v>N</v>
      </c>
      <c r="U384" s="57">
        <v>35000</v>
      </c>
      <c r="V384" s="57" t="s">
        <v>101</v>
      </c>
      <c r="W384" s="55" t="s">
        <v>2797</v>
      </c>
      <c r="X384" s="54" t="s">
        <v>5330</v>
      </c>
      <c r="Y384" s="52"/>
      <c r="Z384" s="1" t="s">
        <v>61</v>
      </c>
      <c r="AA384" s="1" t="s">
        <v>1071</v>
      </c>
      <c r="AB384" s="1"/>
      <c r="AC384" s="1"/>
      <c r="AD384" s="3" t="s">
        <v>62</v>
      </c>
      <c r="AE384" s="1" t="s">
        <v>695</v>
      </c>
      <c r="AF384" s="1"/>
      <c r="AG384" s="1" t="s">
        <v>828</v>
      </c>
      <c r="AH384" s="58">
        <v>100</v>
      </c>
      <c r="AI384" s="1"/>
      <c r="AJ384" s="1"/>
      <c r="AK384" s="1"/>
      <c r="AL384" s="1"/>
      <c r="AM384" s="1"/>
      <c r="AN384" s="1"/>
      <c r="AO384" s="1"/>
      <c r="AP384" s="1"/>
      <c r="AQ384" s="1"/>
      <c r="AR384" s="1"/>
      <c r="AS384" s="1"/>
      <c r="AT384" s="1"/>
      <c r="AU384" s="1"/>
      <c r="AV384" s="1"/>
      <c r="AW384" s="1"/>
      <c r="AX384" s="1"/>
      <c r="AY384" s="1"/>
      <c r="AZ384" s="4" t="s">
        <v>1072</v>
      </c>
      <c r="BA384" s="1"/>
      <c r="BB384" s="1"/>
      <c r="BC384" s="1"/>
    </row>
    <row r="385" spans="1:55" s="78" customFormat="1" ht="15" customHeight="1" x14ac:dyDescent="0.25">
      <c r="A385" s="52" t="s">
        <v>4394</v>
      </c>
      <c r="B385" s="34" t="s">
        <v>59</v>
      </c>
      <c r="C385" s="53">
        <v>2026</v>
      </c>
      <c r="D385" s="53">
        <v>2026</v>
      </c>
      <c r="E385" s="54" t="s">
        <v>3171</v>
      </c>
      <c r="F385" s="55" t="s">
        <v>50</v>
      </c>
      <c r="G385" s="55" t="s">
        <v>50</v>
      </c>
      <c r="H385" s="45" t="s">
        <v>1070</v>
      </c>
      <c r="I385" s="56" t="s">
        <v>78</v>
      </c>
      <c r="J385" s="56"/>
      <c r="K385" s="55" t="s">
        <v>313</v>
      </c>
      <c r="L385" s="55" t="s">
        <v>88</v>
      </c>
      <c r="M385" s="55"/>
      <c r="N385" s="55" t="s">
        <v>110</v>
      </c>
      <c r="O385" s="55"/>
      <c r="P385" s="61" t="s">
        <v>314</v>
      </c>
      <c r="Q385" s="61" t="s">
        <v>57</v>
      </c>
      <c r="R385" s="55"/>
      <c r="S385" s="56" t="s">
        <v>58</v>
      </c>
      <c r="T385" s="55" t="str">
        <f>IF(ISNUMBER(SEARCH(",",N385)),"Y","N")</f>
        <v>N</v>
      </c>
      <c r="U385" s="57">
        <v>58000</v>
      </c>
      <c r="V385" s="57" t="s">
        <v>101</v>
      </c>
      <c r="W385" s="67" t="s">
        <v>106</v>
      </c>
      <c r="X385" s="54" t="s">
        <v>4394</v>
      </c>
      <c r="Y385" s="52"/>
      <c r="Z385" s="3" t="s">
        <v>61</v>
      </c>
      <c r="AA385" s="1" t="s">
        <v>1071</v>
      </c>
      <c r="AB385" s="1"/>
      <c r="AC385" s="1"/>
      <c r="AD385" s="3" t="s">
        <v>62</v>
      </c>
      <c r="AE385" s="3" t="s">
        <v>695</v>
      </c>
      <c r="AF385" s="3"/>
      <c r="AG385" s="1" t="s">
        <v>828</v>
      </c>
      <c r="AH385" s="58">
        <v>100</v>
      </c>
      <c r="AI385" s="3"/>
      <c r="AJ385" s="3"/>
      <c r="AK385" s="3"/>
      <c r="AL385" s="3"/>
      <c r="AM385" s="3"/>
      <c r="AN385" s="3"/>
      <c r="AO385" s="3"/>
      <c r="AP385" s="3"/>
      <c r="AQ385" s="3"/>
      <c r="AR385" s="3"/>
      <c r="AS385" s="3"/>
      <c r="AT385" s="3"/>
      <c r="AU385" s="3"/>
      <c r="AV385" s="3"/>
      <c r="AW385" s="3"/>
      <c r="AX385" s="3"/>
      <c r="AY385" s="3"/>
      <c r="AZ385" s="4" t="s">
        <v>1073</v>
      </c>
      <c r="BA385" s="3" t="s">
        <v>5306</v>
      </c>
      <c r="BB385" s="4" t="s">
        <v>5327</v>
      </c>
      <c r="BC385" s="1"/>
    </row>
    <row r="386" spans="1:55" s="78" customFormat="1" ht="15" customHeight="1" x14ac:dyDescent="0.25">
      <c r="A386" s="52" t="s">
        <v>4395</v>
      </c>
      <c r="B386" s="34" t="s">
        <v>59</v>
      </c>
      <c r="C386" s="53">
        <v>2026</v>
      </c>
      <c r="D386" s="53">
        <v>2026</v>
      </c>
      <c r="E386" s="54" t="s">
        <v>3171</v>
      </c>
      <c r="F386" s="55" t="s">
        <v>50</v>
      </c>
      <c r="G386" s="55" t="s">
        <v>50</v>
      </c>
      <c r="H386" s="45" t="s">
        <v>1070</v>
      </c>
      <c r="I386" s="56" t="s">
        <v>78</v>
      </c>
      <c r="J386" s="56"/>
      <c r="K386" s="55" t="s">
        <v>831</v>
      </c>
      <c r="L386" s="55" t="s">
        <v>88</v>
      </c>
      <c r="M386" s="55"/>
      <c r="N386" s="55" t="s">
        <v>110</v>
      </c>
      <c r="O386" s="55"/>
      <c r="P386" s="55" t="s">
        <v>832</v>
      </c>
      <c r="Q386" s="56" t="s">
        <v>57</v>
      </c>
      <c r="R386" s="55"/>
      <c r="S386" s="56" t="s">
        <v>58</v>
      </c>
      <c r="T386" s="55" t="s">
        <v>81</v>
      </c>
      <c r="U386" s="57">
        <v>44</v>
      </c>
      <c r="V386" s="57" t="s">
        <v>101</v>
      </c>
      <c r="W386" s="55" t="s">
        <v>2797</v>
      </c>
      <c r="X386" s="54" t="s">
        <v>5326</v>
      </c>
      <c r="Y386" s="52"/>
      <c r="Z386" s="3" t="s">
        <v>61</v>
      </c>
      <c r="AA386" s="1" t="s">
        <v>1071</v>
      </c>
      <c r="AB386" s="1"/>
      <c r="AC386" s="1"/>
      <c r="AD386" s="3" t="s">
        <v>62</v>
      </c>
      <c r="AE386" s="3" t="s">
        <v>695</v>
      </c>
      <c r="AF386" s="1"/>
      <c r="AG386" s="1" t="s">
        <v>828</v>
      </c>
      <c r="AH386" s="53">
        <v>100</v>
      </c>
      <c r="AI386" s="3"/>
      <c r="AJ386" s="53"/>
      <c r="AK386" s="3"/>
      <c r="AL386" s="53"/>
      <c r="AM386" s="3"/>
      <c r="AN386" s="53"/>
      <c r="AO386" s="3"/>
      <c r="AP386" s="53"/>
      <c r="AQ386" s="3"/>
      <c r="AR386" s="53"/>
      <c r="AS386" s="3"/>
      <c r="AT386" s="53"/>
      <c r="AU386" s="3"/>
      <c r="AV386" s="53"/>
      <c r="AW386" s="3"/>
      <c r="AX386" s="53"/>
      <c r="AY386" s="3"/>
      <c r="AZ386" s="4" t="s">
        <v>1767</v>
      </c>
      <c r="BA386" s="32"/>
      <c r="BB386" s="1"/>
      <c r="BC386" s="1"/>
    </row>
    <row r="387" spans="1:55" s="78" customFormat="1" ht="15" customHeight="1" x14ac:dyDescent="0.25">
      <c r="A387" s="52" t="s">
        <v>4396</v>
      </c>
      <c r="B387" s="34" t="s">
        <v>59</v>
      </c>
      <c r="C387" s="53">
        <v>2026</v>
      </c>
      <c r="D387" s="53">
        <v>2026</v>
      </c>
      <c r="E387" s="54" t="s">
        <v>3172</v>
      </c>
      <c r="F387" s="55" t="s">
        <v>50</v>
      </c>
      <c r="G387" s="55" t="s">
        <v>50</v>
      </c>
      <c r="H387" s="45" t="s">
        <v>1075</v>
      </c>
      <c r="I387" s="56" t="s">
        <v>52</v>
      </c>
      <c r="J387" s="56"/>
      <c r="K387" s="56" t="s">
        <v>87</v>
      </c>
      <c r="L387" s="55" t="str">
        <f>IF(K387="Mine or Quarry","Mine","")</f>
        <v/>
      </c>
      <c r="M387" s="55"/>
      <c r="N387" s="56"/>
      <c r="O387" s="56" t="s">
        <v>2986</v>
      </c>
      <c r="P387" s="56" t="s">
        <v>89</v>
      </c>
      <c r="Q387" s="56" t="s">
        <v>89</v>
      </c>
      <c r="R387" s="55"/>
      <c r="S387" s="56" t="s">
        <v>81</v>
      </c>
      <c r="T387" s="55" t="s">
        <v>58</v>
      </c>
      <c r="U387" s="57">
        <v>-999</v>
      </c>
      <c r="V387" s="57" t="s">
        <v>59</v>
      </c>
      <c r="W387" s="55" t="s">
        <v>2319</v>
      </c>
      <c r="X387" s="54" t="s">
        <v>4396</v>
      </c>
      <c r="Y387" s="52"/>
      <c r="Z387" s="1" t="s">
        <v>61</v>
      </c>
      <c r="AA387" s="1" t="s">
        <v>1076</v>
      </c>
      <c r="AB387" s="1"/>
      <c r="AC387" s="1"/>
      <c r="AD387" s="3" t="s">
        <v>62</v>
      </c>
      <c r="AE387" s="1" t="s">
        <v>1077</v>
      </c>
      <c r="AF387" s="1" t="s">
        <v>947</v>
      </c>
      <c r="AG387" s="1" t="s">
        <v>947</v>
      </c>
      <c r="AH387" s="1"/>
      <c r="AI387" s="1"/>
      <c r="AJ387" s="1"/>
      <c r="AK387" s="1"/>
      <c r="AL387" s="1"/>
      <c r="AM387" s="1"/>
      <c r="AN387" s="1"/>
      <c r="AO387" s="1"/>
      <c r="AP387" s="1"/>
      <c r="AQ387" s="1"/>
      <c r="AR387" s="1"/>
      <c r="AS387" s="1"/>
      <c r="AT387" s="1"/>
      <c r="AU387" s="1"/>
      <c r="AV387" s="1"/>
      <c r="AW387" s="1"/>
      <c r="AX387" s="1"/>
      <c r="AY387" s="1"/>
      <c r="AZ387" s="5" t="s">
        <v>1074</v>
      </c>
      <c r="BA387" s="5"/>
      <c r="BB387" s="1"/>
      <c r="BC387" s="1"/>
    </row>
    <row r="388" spans="1:55" s="78" customFormat="1" ht="15" customHeight="1" x14ac:dyDescent="0.25">
      <c r="A388" s="52" t="s">
        <v>4397</v>
      </c>
      <c r="B388" s="34" t="s">
        <v>59</v>
      </c>
      <c r="C388" s="53">
        <v>2026</v>
      </c>
      <c r="D388" s="53">
        <v>2026</v>
      </c>
      <c r="E388" s="54" t="s">
        <v>3173</v>
      </c>
      <c r="F388" s="55" t="s">
        <v>50</v>
      </c>
      <c r="G388" s="55" t="s">
        <v>50</v>
      </c>
      <c r="H388" s="45" t="s">
        <v>1079</v>
      </c>
      <c r="I388" s="61" t="s">
        <v>52</v>
      </c>
      <c r="J388" s="56"/>
      <c r="K388" s="55" t="s">
        <v>133</v>
      </c>
      <c r="L388" s="55" t="s">
        <v>54</v>
      </c>
      <c r="M388" s="55"/>
      <c r="N388" s="55" t="s">
        <v>240</v>
      </c>
      <c r="O388" s="55"/>
      <c r="P388" s="55" t="s">
        <v>134</v>
      </c>
      <c r="Q388" s="55" t="s">
        <v>57</v>
      </c>
      <c r="R388" s="55"/>
      <c r="S388" s="56" t="s">
        <v>81</v>
      </c>
      <c r="T388" s="55" t="s">
        <v>81</v>
      </c>
      <c r="U388" s="57">
        <v>1015</v>
      </c>
      <c r="V388" s="57" t="s">
        <v>101</v>
      </c>
      <c r="W388" s="55" t="s">
        <v>2319</v>
      </c>
      <c r="X388" s="54" t="s">
        <v>4397</v>
      </c>
      <c r="Y388" s="52"/>
      <c r="Z388" s="3" t="s">
        <v>61</v>
      </c>
      <c r="AA388" s="3" t="s">
        <v>746</v>
      </c>
      <c r="AB388" s="3"/>
      <c r="AC388" s="3"/>
      <c r="AD388" s="3" t="s">
        <v>62</v>
      </c>
      <c r="AE388" s="3" t="s">
        <v>366</v>
      </c>
      <c r="AF388" s="3"/>
      <c r="AG388" s="3" t="s">
        <v>1080</v>
      </c>
      <c r="AH388" s="58">
        <v>100</v>
      </c>
      <c r="AI388" s="3"/>
      <c r="AJ388" s="3"/>
      <c r="AK388" s="3"/>
      <c r="AL388" s="3"/>
      <c r="AM388" s="3"/>
      <c r="AN388" s="3"/>
      <c r="AO388" s="3"/>
      <c r="AP388" s="3"/>
      <c r="AQ388" s="3"/>
      <c r="AR388" s="3"/>
      <c r="AS388" s="3"/>
      <c r="AT388" s="3"/>
      <c r="AU388" s="3"/>
      <c r="AV388" s="3"/>
      <c r="AW388" s="3"/>
      <c r="AX388" s="3"/>
      <c r="AY388" s="3"/>
      <c r="AZ388" s="4" t="s">
        <v>1078</v>
      </c>
      <c r="BA388" s="3"/>
      <c r="BB388" s="1"/>
      <c r="BC388" s="1"/>
    </row>
    <row r="389" spans="1:55" s="78" customFormat="1" ht="15" customHeight="1" x14ac:dyDescent="0.25">
      <c r="A389" s="52" t="s">
        <v>4398</v>
      </c>
      <c r="B389" s="34" t="s">
        <v>59</v>
      </c>
      <c r="C389" s="53">
        <v>2026</v>
      </c>
      <c r="D389" s="53">
        <v>2026</v>
      </c>
      <c r="E389" s="54" t="s">
        <v>3174</v>
      </c>
      <c r="F389" s="55" t="s">
        <v>50</v>
      </c>
      <c r="G389" s="55" t="s">
        <v>50</v>
      </c>
      <c r="H389" s="45" t="s">
        <v>1081</v>
      </c>
      <c r="I389" s="56" t="s">
        <v>52</v>
      </c>
      <c r="J389" s="56"/>
      <c r="K389" s="56" t="s">
        <v>194</v>
      </c>
      <c r="L389" s="55" t="s">
        <v>54</v>
      </c>
      <c r="M389" s="55"/>
      <c r="N389" s="56"/>
      <c r="O389" s="56" t="s">
        <v>1082</v>
      </c>
      <c r="P389" s="56" t="s">
        <v>195</v>
      </c>
      <c r="Q389" s="55" t="s">
        <v>57</v>
      </c>
      <c r="R389" s="55"/>
      <c r="S389" s="56" t="s">
        <v>58</v>
      </c>
      <c r="T389" s="55" t="s">
        <v>81</v>
      </c>
      <c r="U389" s="57">
        <v>-999</v>
      </c>
      <c r="V389" s="57" t="s">
        <v>59</v>
      </c>
      <c r="W389" s="55" t="s">
        <v>2797</v>
      </c>
      <c r="X389" s="62" t="s">
        <v>4398</v>
      </c>
      <c r="Y389" s="53"/>
      <c r="Z389" s="1" t="s">
        <v>61</v>
      </c>
      <c r="AA389" s="1" t="s">
        <v>530</v>
      </c>
      <c r="AB389" s="1"/>
      <c r="AC389" s="1"/>
      <c r="AD389" s="3" t="s">
        <v>62</v>
      </c>
      <c r="AE389" s="1" t="s">
        <v>184</v>
      </c>
      <c r="AF389" s="1"/>
      <c r="AG389" s="1" t="s">
        <v>109</v>
      </c>
      <c r="AH389" s="2">
        <v>100</v>
      </c>
      <c r="AI389" s="1"/>
      <c r="AJ389" s="1"/>
      <c r="AK389" s="1"/>
      <c r="AL389" s="1"/>
      <c r="AM389" s="1"/>
      <c r="AN389" s="1"/>
      <c r="AO389" s="1"/>
      <c r="AP389" s="1"/>
      <c r="AQ389" s="1"/>
      <c r="AR389" s="1"/>
      <c r="AS389" s="1"/>
      <c r="AT389" s="1"/>
      <c r="AU389" s="1"/>
      <c r="AV389" s="1"/>
      <c r="AW389" s="1"/>
      <c r="AX389" s="1"/>
      <c r="AY389" s="1"/>
      <c r="AZ389" s="4" t="s">
        <v>461</v>
      </c>
      <c r="BA389" s="5"/>
      <c r="BB389" s="1"/>
      <c r="BC389" s="1"/>
    </row>
    <row r="390" spans="1:55" s="78" customFormat="1" ht="15" customHeight="1" x14ac:dyDescent="0.25">
      <c r="A390" s="52" t="s">
        <v>4399</v>
      </c>
      <c r="B390" s="34" t="s">
        <v>59</v>
      </c>
      <c r="C390" s="53">
        <v>2026</v>
      </c>
      <c r="D390" s="53">
        <v>2026</v>
      </c>
      <c r="E390" s="54" t="s">
        <v>3174</v>
      </c>
      <c r="F390" s="55" t="s">
        <v>50</v>
      </c>
      <c r="G390" s="55" t="s">
        <v>50</v>
      </c>
      <c r="H390" s="45" t="s">
        <v>1081</v>
      </c>
      <c r="I390" s="45" t="s">
        <v>52</v>
      </c>
      <c r="J390" s="56"/>
      <c r="K390" s="45" t="s">
        <v>104</v>
      </c>
      <c r="L390" s="55" t="str">
        <f>IF(K390="Mine or Quarry","Mine","")</f>
        <v/>
      </c>
      <c r="M390" s="55"/>
      <c r="N390" s="55" t="s">
        <v>5387</v>
      </c>
      <c r="O390" s="55"/>
      <c r="P390" s="55" t="s">
        <v>56</v>
      </c>
      <c r="Q390" s="55" t="s">
        <v>57</v>
      </c>
      <c r="R390" s="55"/>
      <c r="S390" s="56" t="s">
        <v>58</v>
      </c>
      <c r="T390" s="55" t="str">
        <f>IF(ISNUMBER(SEARCH(",",N390)),"Y","N")</f>
        <v>Y</v>
      </c>
      <c r="U390" s="57">
        <v>415000</v>
      </c>
      <c r="V390" s="57" t="s">
        <v>101</v>
      </c>
      <c r="W390" s="55"/>
      <c r="X390" s="54" t="s">
        <v>4399</v>
      </c>
      <c r="Y390" s="53"/>
      <c r="Z390" s="1" t="s">
        <v>61</v>
      </c>
      <c r="AA390" s="1" t="s">
        <v>530</v>
      </c>
      <c r="AB390" s="1"/>
      <c r="AC390" s="1"/>
      <c r="AD390" s="3" t="s">
        <v>62</v>
      </c>
      <c r="AE390" s="2" t="s">
        <v>184</v>
      </c>
      <c r="AF390" s="2"/>
      <c r="AG390" s="1" t="s">
        <v>109</v>
      </c>
      <c r="AH390" s="58">
        <v>100</v>
      </c>
      <c r="AI390" s="3"/>
      <c r="AJ390" s="3"/>
      <c r="AK390" s="3"/>
      <c r="AL390" s="3"/>
      <c r="AM390" s="3"/>
      <c r="AN390" s="3"/>
      <c r="AO390" s="3"/>
      <c r="AP390" s="3"/>
      <c r="AQ390" s="3"/>
      <c r="AR390" s="3"/>
      <c r="AS390" s="3"/>
      <c r="AT390" s="3"/>
      <c r="AU390" s="3"/>
      <c r="AV390" s="3"/>
      <c r="AW390" s="3"/>
      <c r="AX390" s="3"/>
      <c r="AY390" s="3"/>
      <c r="AZ390" s="2" t="s">
        <v>1083</v>
      </c>
      <c r="BA390" s="3"/>
      <c r="BB390" s="1"/>
      <c r="BC390" s="1"/>
    </row>
    <row r="391" spans="1:55" s="78" customFormat="1" ht="15" customHeight="1" x14ac:dyDescent="0.25">
      <c r="A391" s="52" t="s">
        <v>4400</v>
      </c>
      <c r="B391" s="34" t="s">
        <v>59</v>
      </c>
      <c r="C391" s="53">
        <v>2026</v>
      </c>
      <c r="D391" s="53">
        <v>2026</v>
      </c>
      <c r="E391" s="54" t="s">
        <v>3174</v>
      </c>
      <c r="F391" s="55" t="s">
        <v>50</v>
      </c>
      <c r="G391" s="55" t="s">
        <v>50</v>
      </c>
      <c r="H391" s="45" t="s">
        <v>1081</v>
      </c>
      <c r="I391" s="45" t="s">
        <v>52</v>
      </c>
      <c r="J391" s="56"/>
      <c r="K391" s="56" t="s">
        <v>137</v>
      </c>
      <c r="L391" s="55" t="s">
        <v>54</v>
      </c>
      <c r="M391" s="55"/>
      <c r="N391" s="56" t="s">
        <v>1084</v>
      </c>
      <c r="O391" s="56"/>
      <c r="P391" s="56" t="s">
        <v>138</v>
      </c>
      <c r="Q391" s="55" t="s">
        <v>57</v>
      </c>
      <c r="R391" s="55"/>
      <c r="S391" s="56" t="s">
        <v>58</v>
      </c>
      <c r="T391" s="55" t="str">
        <f>IF(ISNUMBER(SEARCH(",",N391)),"Y","N")</f>
        <v>N</v>
      </c>
      <c r="U391" s="57">
        <v>-999</v>
      </c>
      <c r="V391" s="57" t="s">
        <v>59</v>
      </c>
      <c r="W391" s="55"/>
      <c r="X391" s="62" t="s">
        <v>4400</v>
      </c>
      <c r="Y391" s="53"/>
      <c r="Z391" s="1" t="s">
        <v>61</v>
      </c>
      <c r="AA391" s="1" t="s">
        <v>530</v>
      </c>
      <c r="AB391" s="1"/>
      <c r="AC391" s="1"/>
      <c r="AD391" s="3" t="s">
        <v>62</v>
      </c>
      <c r="AE391" s="2" t="s">
        <v>184</v>
      </c>
      <c r="AF391" s="2"/>
      <c r="AG391" s="1" t="s">
        <v>109</v>
      </c>
      <c r="AH391" s="58">
        <v>100</v>
      </c>
      <c r="AI391" s="1"/>
      <c r="AJ391" s="1"/>
      <c r="AK391" s="1"/>
      <c r="AL391" s="1"/>
      <c r="AM391" s="1"/>
      <c r="AN391" s="1"/>
      <c r="AO391" s="1"/>
      <c r="AP391" s="1"/>
      <c r="AQ391" s="1"/>
      <c r="AR391" s="1"/>
      <c r="AS391" s="1"/>
      <c r="AT391" s="1"/>
      <c r="AU391" s="1"/>
      <c r="AV391" s="1"/>
      <c r="AW391" s="1"/>
      <c r="AX391" s="1"/>
      <c r="AY391" s="1"/>
      <c r="AZ391" s="2" t="s">
        <v>1083</v>
      </c>
      <c r="BA391" s="1"/>
      <c r="BB391" s="1"/>
      <c r="BC391" s="1"/>
    </row>
    <row r="392" spans="1:55" s="78" customFormat="1" ht="15" customHeight="1" x14ac:dyDescent="0.25">
      <c r="A392" s="52" t="s">
        <v>4401</v>
      </c>
      <c r="B392" s="34" t="s">
        <v>59</v>
      </c>
      <c r="C392" s="53">
        <v>2026</v>
      </c>
      <c r="D392" s="53">
        <v>2026</v>
      </c>
      <c r="E392" s="54" t="s">
        <v>3175</v>
      </c>
      <c r="F392" s="55" t="s">
        <v>50</v>
      </c>
      <c r="G392" s="55" t="s">
        <v>50</v>
      </c>
      <c r="H392" s="45" t="s">
        <v>1086</v>
      </c>
      <c r="I392" s="45" t="s">
        <v>78</v>
      </c>
      <c r="J392" s="56"/>
      <c r="K392" s="56" t="s">
        <v>417</v>
      </c>
      <c r="L392" s="55" t="s">
        <v>88</v>
      </c>
      <c r="M392" s="55"/>
      <c r="N392" s="55" t="s">
        <v>418</v>
      </c>
      <c r="O392" s="55"/>
      <c r="P392" s="55" t="s">
        <v>89</v>
      </c>
      <c r="Q392" s="55" t="s">
        <v>89</v>
      </c>
      <c r="R392" s="55"/>
      <c r="S392" s="56" t="s">
        <v>81</v>
      </c>
      <c r="T392" s="55" t="s">
        <v>81</v>
      </c>
      <c r="U392" s="57">
        <v>2600000</v>
      </c>
      <c r="V392" s="57" t="s">
        <v>101</v>
      </c>
      <c r="W392" s="55" t="s">
        <v>2319</v>
      </c>
      <c r="X392" s="54" t="s">
        <v>4401</v>
      </c>
      <c r="Y392" s="52"/>
      <c r="Z392" s="3" t="s">
        <v>61</v>
      </c>
      <c r="AA392" s="3" t="s">
        <v>1087</v>
      </c>
      <c r="AB392" s="3"/>
      <c r="AC392" s="3"/>
      <c r="AD392" s="3" t="s">
        <v>62</v>
      </c>
      <c r="AE392" s="3" t="s">
        <v>175</v>
      </c>
      <c r="AF392" s="3"/>
      <c r="AG392" s="3" t="s">
        <v>420</v>
      </c>
      <c r="AH392" s="58">
        <v>100</v>
      </c>
      <c r="AI392" s="3"/>
      <c r="AJ392" s="3"/>
      <c r="AK392" s="3"/>
      <c r="AL392" s="3"/>
      <c r="AM392" s="3"/>
      <c r="AN392" s="3"/>
      <c r="AO392" s="3"/>
      <c r="AP392" s="3"/>
      <c r="AQ392" s="3"/>
      <c r="AR392" s="3"/>
      <c r="AS392" s="3"/>
      <c r="AT392" s="3"/>
      <c r="AU392" s="3"/>
      <c r="AV392" s="3"/>
      <c r="AW392" s="3"/>
      <c r="AX392" s="3"/>
      <c r="AY392" s="3"/>
      <c r="AZ392" s="4" t="s">
        <v>1085</v>
      </c>
      <c r="BA392" s="3"/>
      <c r="BB392" s="1"/>
      <c r="BC392" s="1"/>
    </row>
    <row r="393" spans="1:55" s="78" customFormat="1" ht="15" customHeight="1" x14ac:dyDescent="0.25">
      <c r="A393" s="52" t="s">
        <v>4402</v>
      </c>
      <c r="B393" s="34" t="s">
        <v>59</v>
      </c>
      <c r="C393" s="53">
        <v>2026</v>
      </c>
      <c r="D393" s="53">
        <v>2026</v>
      </c>
      <c r="E393" s="54" t="s">
        <v>3178</v>
      </c>
      <c r="F393" s="55" t="s">
        <v>50</v>
      </c>
      <c r="G393" s="55" t="s">
        <v>50</v>
      </c>
      <c r="H393" s="45" t="s">
        <v>1089</v>
      </c>
      <c r="I393" s="56" t="s">
        <v>78</v>
      </c>
      <c r="J393" s="56" t="s">
        <v>551</v>
      </c>
      <c r="K393" s="55" t="s">
        <v>552</v>
      </c>
      <c r="L393" s="55" t="s">
        <v>88</v>
      </c>
      <c r="M393" s="55"/>
      <c r="N393" s="55" t="s">
        <v>181</v>
      </c>
      <c r="O393" s="55"/>
      <c r="P393" s="55" t="s">
        <v>553</v>
      </c>
      <c r="Q393" s="55" t="s">
        <v>57</v>
      </c>
      <c r="R393" s="55"/>
      <c r="S393" s="56" t="s">
        <v>58</v>
      </c>
      <c r="T393" s="55" t="s">
        <v>81</v>
      </c>
      <c r="U393" s="57">
        <v>4500</v>
      </c>
      <c r="V393" s="57" t="s">
        <v>101</v>
      </c>
      <c r="W393" s="55"/>
      <c r="X393" s="54" t="s">
        <v>4402</v>
      </c>
      <c r="Y393" s="52"/>
      <c r="Z393" s="3" t="s">
        <v>154</v>
      </c>
      <c r="AA393" s="3" t="s">
        <v>1090</v>
      </c>
      <c r="AB393" s="3"/>
      <c r="AC393" s="3"/>
      <c r="AD393" s="3" t="s">
        <v>62</v>
      </c>
      <c r="AE393" s="3" t="s">
        <v>403</v>
      </c>
      <c r="AF393" s="3"/>
      <c r="AG393" s="3" t="s">
        <v>1091</v>
      </c>
      <c r="AH393" s="58">
        <v>100</v>
      </c>
      <c r="AI393" s="3"/>
      <c r="AJ393" s="3"/>
      <c r="AK393" s="3"/>
      <c r="AL393" s="3"/>
      <c r="AM393" s="3"/>
      <c r="AN393" s="3"/>
      <c r="AO393" s="3"/>
      <c r="AP393" s="3"/>
      <c r="AQ393" s="3"/>
      <c r="AR393" s="3"/>
      <c r="AS393" s="3"/>
      <c r="AT393" s="3"/>
      <c r="AU393" s="3"/>
      <c r="AV393" s="3"/>
      <c r="AW393" s="3"/>
      <c r="AX393" s="3"/>
      <c r="AY393" s="3"/>
      <c r="AZ393" s="4" t="s">
        <v>1088</v>
      </c>
      <c r="BA393" s="3"/>
      <c r="BB393" s="1"/>
      <c r="BC393" s="1"/>
    </row>
    <row r="394" spans="1:55" s="78" customFormat="1" ht="15" customHeight="1" x14ac:dyDescent="0.25">
      <c r="A394" s="52" t="s">
        <v>4403</v>
      </c>
      <c r="B394" s="34" t="s">
        <v>59</v>
      </c>
      <c r="C394" s="53">
        <v>2026</v>
      </c>
      <c r="D394" s="53">
        <v>2026</v>
      </c>
      <c r="E394" s="54" t="s">
        <v>3178</v>
      </c>
      <c r="F394" s="55" t="s">
        <v>50</v>
      </c>
      <c r="G394" s="55" t="s">
        <v>50</v>
      </c>
      <c r="H394" s="45" t="s">
        <v>1089</v>
      </c>
      <c r="I394" s="56" t="s">
        <v>78</v>
      </c>
      <c r="J394" s="55" t="s">
        <v>384</v>
      </c>
      <c r="K394" s="55" t="s">
        <v>384</v>
      </c>
      <c r="L394" s="55" t="s">
        <v>88</v>
      </c>
      <c r="M394" s="56"/>
      <c r="N394" s="45" t="s">
        <v>181</v>
      </c>
      <c r="O394" s="56"/>
      <c r="P394" s="55" t="s">
        <v>385</v>
      </c>
      <c r="Q394" s="55" t="s">
        <v>5353</v>
      </c>
      <c r="R394" s="56"/>
      <c r="S394" s="55" t="s">
        <v>58</v>
      </c>
      <c r="T394" s="55" t="s">
        <v>81</v>
      </c>
      <c r="U394" s="72">
        <v>632.9</v>
      </c>
      <c r="V394" s="57" t="s">
        <v>101</v>
      </c>
      <c r="W394" s="55"/>
      <c r="X394" s="54" t="s">
        <v>4403</v>
      </c>
      <c r="Y394" s="52"/>
      <c r="Z394" s="3" t="s">
        <v>154</v>
      </c>
      <c r="AA394" s="3" t="s">
        <v>1090</v>
      </c>
      <c r="AB394" s="3"/>
      <c r="AC394" s="3"/>
      <c r="AD394" s="3" t="s">
        <v>62</v>
      </c>
      <c r="AE394" s="3" t="s">
        <v>403</v>
      </c>
      <c r="AF394" s="1"/>
      <c r="AG394" s="3" t="s">
        <v>1091</v>
      </c>
      <c r="AH394" s="58">
        <v>100</v>
      </c>
      <c r="AI394" s="1"/>
      <c r="AJ394" s="1"/>
      <c r="AK394" s="1"/>
      <c r="AL394" s="1"/>
      <c r="AM394" s="1"/>
      <c r="AN394" s="1"/>
      <c r="AO394" s="1"/>
      <c r="AP394" s="1"/>
      <c r="AQ394" s="1"/>
      <c r="AR394" s="1"/>
      <c r="AS394" s="1"/>
      <c r="AT394" s="1"/>
      <c r="AU394" s="1"/>
      <c r="AV394" s="1"/>
      <c r="AW394" s="1"/>
      <c r="AX394" s="1"/>
      <c r="AY394" s="1"/>
      <c r="AZ394" s="4" t="s">
        <v>1088</v>
      </c>
      <c r="BA394" s="4"/>
      <c r="BB394" s="1"/>
      <c r="BC394" s="1"/>
    </row>
    <row r="395" spans="1:55" s="78" customFormat="1" ht="15" customHeight="1" x14ac:dyDescent="0.25">
      <c r="A395" s="52" t="s">
        <v>4404</v>
      </c>
      <c r="B395" s="34" t="s">
        <v>59</v>
      </c>
      <c r="C395" s="53">
        <v>2026</v>
      </c>
      <c r="D395" s="53">
        <v>2026</v>
      </c>
      <c r="E395" s="54" t="s">
        <v>3178</v>
      </c>
      <c r="F395" s="55" t="s">
        <v>50</v>
      </c>
      <c r="G395" s="55" t="s">
        <v>50</v>
      </c>
      <c r="H395" s="45" t="s">
        <v>1089</v>
      </c>
      <c r="I395" s="56" t="s">
        <v>78</v>
      </c>
      <c r="J395" s="56"/>
      <c r="K395" s="55" t="s">
        <v>1092</v>
      </c>
      <c r="L395" s="55" t="s">
        <v>88</v>
      </c>
      <c r="M395" s="55"/>
      <c r="N395" s="55" t="s">
        <v>181</v>
      </c>
      <c r="O395" s="55"/>
      <c r="P395" s="55" t="s">
        <v>1093</v>
      </c>
      <c r="Q395" s="55" t="s">
        <v>57</v>
      </c>
      <c r="R395" s="55"/>
      <c r="S395" s="56" t="s">
        <v>58</v>
      </c>
      <c r="T395" s="55" t="s">
        <v>81</v>
      </c>
      <c r="U395" s="72">
        <v>2396.752</v>
      </c>
      <c r="V395" s="57" t="s">
        <v>101</v>
      </c>
      <c r="W395" s="55"/>
      <c r="X395" s="54" t="s">
        <v>4404</v>
      </c>
      <c r="Y395" s="52"/>
      <c r="Z395" s="3" t="s">
        <v>154</v>
      </c>
      <c r="AA395" s="3" t="s">
        <v>1090</v>
      </c>
      <c r="AB395" s="3"/>
      <c r="AC395" s="3"/>
      <c r="AD395" s="3" t="s">
        <v>62</v>
      </c>
      <c r="AE395" s="3" t="s">
        <v>403</v>
      </c>
      <c r="AF395" s="3"/>
      <c r="AG395" s="3" t="s">
        <v>1091</v>
      </c>
      <c r="AH395" s="58">
        <v>100</v>
      </c>
      <c r="AI395" s="3"/>
      <c r="AJ395" s="3"/>
      <c r="AK395" s="3"/>
      <c r="AL395" s="3"/>
      <c r="AM395" s="3"/>
      <c r="AN395" s="3"/>
      <c r="AO395" s="3"/>
      <c r="AP395" s="3"/>
      <c r="AQ395" s="3"/>
      <c r="AR395" s="3"/>
      <c r="AS395" s="3"/>
      <c r="AT395" s="3"/>
      <c r="AU395" s="3"/>
      <c r="AV395" s="3"/>
      <c r="AW395" s="3"/>
      <c r="AX395" s="3"/>
      <c r="AY395" s="3"/>
      <c r="AZ395" s="4" t="s">
        <v>1088</v>
      </c>
      <c r="BA395" s="3"/>
      <c r="BB395" s="1"/>
      <c r="BC395" s="1"/>
    </row>
    <row r="396" spans="1:55" s="78" customFormat="1" ht="14.45" customHeight="1" x14ac:dyDescent="0.25">
      <c r="A396" s="52" t="s">
        <v>4405</v>
      </c>
      <c r="B396" s="34" t="s">
        <v>59</v>
      </c>
      <c r="C396" s="53">
        <v>2026</v>
      </c>
      <c r="D396" s="53">
        <v>2026</v>
      </c>
      <c r="E396" s="54" t="s">
        <v>3178</v>
      </c>
      <c r="F396" s="55" t="s">
        <v>50</v>
      </c>
      <c r="G396" s="55" t="s">
        <v>50</v>
      </c>
      <c r="H396" s="45" t="s">
        <v>1089</v>
      </c>
      <c r="I396" s="45" t="s">
        <v>78</v>
      </c>
      <c r="J396" s="56"/>
      <c r="K396" s="55" t="s">
        <v>140</v>
      </c>
      <c r="L396" s="55" t="s">
        <v>88</v>
      </c>
      <c r="M396" s="55"/>
      <c r="N396" s="55" t="s">
        <v>110</v>
      </c>
      <c r="O396" s="55"/>
      <c r="P396" s="55" t="s">
        <v>142</v>
      </c>
      <c r="Q396" s="55" t="s">
        <v>57</v>
      </c>
      <c r="R396" s="55"/>
      <c r="S396" s="56" t="s">
        <v>58</v>
      </c>
      <c r="T396" s="55" t="s">
        <v>81</v>
      </c>
      <c r="U396" s="72">
        <v>259075.8</v>
      </c>
      <c r="V396" s="57" t="s">
        <v>101</v>
      </c>
      <c r="W396" s="55"/>
      <c r="X396" s="54" t="s">
        <v>4405</v>
      </c>
      <c r="Y396" s="52"/>
      <c r="Z396" s="3" t="s">
        <v>154</v>
      </c>
      <c r="AA396" s="3" t="s">
        <v>1090</v>
      </c>
      <c r="AB396" s="3"/>
      <c r="AC396" s="3"/>
      <c r="AD396" s="3" t="s">
        <v>62</v>
      </c>
      <c r="AE396" s="3" t="s">
        <v>403</v>
      </c>
      <c r="AF396" s="3"/>
      <c r="AG396" s="3" t="s">
        <v>1091</v>
      </c>
      <c r="AH396" s="58">
        <v>100</v>
      </c>
      <c r="AI396" s="3"/>
      <c r="AJ396" s="3"/>
      <c r="AK396" s="3"/>
      <c r="AL396" s="3"/>
      <c r="AM396" s="3"/>
      <c r="AN396" s="3"/>
      <c r="AO396" s="3"/>
      <c r="AP396" s="3"/>
      <c r="AQ396" s="3"/>
      <c r="AR396" s="3"/>
      <c r="AS396" s="3"/>
      <c r="AT396" s="3"/>
      <c r="AU396" s="3"/>
      <c r="AV396" s="3"/>
      <c r="AW396" s="3"/>
      <c r="AX396" s="3"/>
      <c r="AY396" s="3"/>
      <c r="AZ396" s="4" t="s">
        <v>1088</v>
      </c>
      <c r="BA396" s="3"/>
      <c r="BB396" s="1"/>
      <c r="BC396" s="1"/>
    </row>
    <row r="397" spans="1:55" s="78" customFormat="1" ht="14.45" customHeight="1" x14ac:dyDescent="0.25">
      <c r="A397" s="52" t="s">
        <v>4406</v>
      </c>
      <c r="B397" s="34" t="s">
        <v>59</v>
      </c>
      <c r="C397" s="53">
        <v>2026</v>
      </c>
      <c r="D397" s="53">
        <v>2026</v>
      </c>
      <c r="E397" s="54" t="s">
        <v>3179</v>
      </c>
      <c r="F397" s="55" t="s">
        <v>50</v>
      </c>
      <c r="G397" s="55" t="s">
        <v>50</v>
      </c>
      <c r="H397" s="45" t="s">
        <v>1094</v>
      </c>
      <c r="I397" s="56" t="s">
        <v>52</v>
      </c>
      <c r="J397" s="55" t="s">
        <v>384</v>
      </c>
      <c r="K397" s="55" t="s">
        <v>384</v>
      </c>
      <c r="L397" s="55" t="s">
        <v>54</v>
      </c>
      <c r="M397" s="55"/>
      <c r="N397" s="55" t="s">
        <v>400</v>
      </c>
      <c r="O397" s="55"/>
      <c r="P397" s="55" t="s">
        <v>385</v>
      </c>
      <c r="Q397" s="55" t="s">
        <v>5353</v>
      </c>
      <c r="R397" s="55"/>
      <c r="S397" s="56" t="s">
        <v>58</v>
      </c>
      <c r="T397" s="55" t="str">
        <f>IF(ISNUMBER(SEARCH(",",N397)),"Y","N")</f>
        <v>N</v>
      </c>
      <c r="U397" s="72">
        <v>632.9</v>
      </c>
      <c r="V397" s="57" t="s">
        <v>101</v>
      </c>
      <c r="W397" s="55"/>
      <c r="X397" s="54" t="s">
        <v>4406</v>
      </c>
      <c r="Y397" s="52"/>
      <c r="Z397" s="3" t="s">
        <v>154</v>
      </c>
      <c r="AA397" s="3" t="s">
        <v>1090</v>
      </c>
      <c r="AB397" s="3"/>
      <c r="AC397" s="3"/>
      <c r="AD397" s="3" t="s">
        <v>62</v>
      </c>
      <c r="AE397" s="3" t="s">
        <v>403</v>
      </c>
      <c r="AF397" s="3"/>
      <c r="AG397" s="3" t="s">
        <v>1091</v>
      </c>
      <c r="AH397" s="58">
        <v>100</v>
      </c>
      <c r="AI397" s="3"/>
      <c r="AJ397" s="3"/>
      <c r="AK397" s="3"/>
      <c r="AL397" s="3"/>
      <c r="AM397" s="3"/>
      <c r="AN397" s="3"/>
      <c r="AO397" s="3"/>
      <c r="AP397" s="3"/>
      <c r="AQ397" s="3"/>
      <c r="AR397" s="3"/>
      <c r="AS397" s="3"/>
      <c r="AT397" s="3"/>
      <c r="AU397" s="3"/>
      <c r="AV397" s="3"/>
      <c r="AW397" s="3"/>
      <c r="AX397" s="3"/>
      <c r="AY397" s="3"/>
      <c r="AZ397" s="4" t="s">
        <v>1088</v>
      </c>
      <c r="BA397" s="3"/>
      <c r="BB397" s="1"/>
      <c r="BC397" s="1"/>
    </row>
    <row r="398" spans="1:55" s="78" customFormat="1" ht="15" customHeight="1" x14ac:dyDescent="0.25">
      <c r="A398" s="52" t="s">
        <v>4407</v>
      </c>
      <c r="B398" s="34" t="s">
        <v>59</v>
      </c>
      <c r="C398" s="53">
        <v>2026</v>
      </c>
      <c r="D398" s="53">
        <v>2026</v>
      </c>
      <c r="E398" s="54" t="s">
        <v>3179</v>
      </c>
      <c r="F398" s="55" t="s">
        <v>50</v>
      </c>
      <c r="G398" s="55" t="s">
        <v>50</v>
      </c>
      <c r="H398" s="45" t="s">
        <v>1094</v>
      </c>
      <c r="I398" s="56" t="s">
        <v>52</v>
      </c>
      <c r="J398" s="56"/>
      <c r="K398" s="55" t="s">
        <v>1092</v>
      </c>
      <c r="L398" s="55"/>
      <c r="M398" s="55"/>
      <c r="N398" s="55" t="s">
        <v>400</v>
      </c>
      <c r="O398" s="55"/>
      <c r="P398" s="55" t="s">
        <v>1093</v>
      </c>
      <c r="Q398" s="55" t="s">
        <v>57</v>
      </c>
      <c r="R398" s="55"/>
      <c r="S398" s="56" t="s">
        <v>58</v>
      </c>
      <c r="T398" s="55" t="str">
        <f>IF(ISNUMBER(SEARCH(",",N398)),"Y","N")</f>
        <v>N</v>
      </c>
      <c r="U398" s="72">
        <v>2396.752</v>
      </c>
      <c r="V398" s="57" t="s">
        <v>101</v>
      </c>
      <c r="W398" s="55"/>
      <c r="X398" s="54" t="s">
        <v>4407</v>
      </c>
      <c r="Y398" s="52"/>
      <c r="Z398" s="3" t="s">
        <v>154</v>
      </c>
      <c r="AA398" s="3" t="s">
        <v>1090</v>
      </c>
      <c r="AB398" s="3"/>
      <c r="AC398" s="3"/>
      <c r="AD398" s="3" t="s">
        <v>62</v>
      </c>
      <c r="AE398" s="3" t="s">
        <v>403</v>
      </c>
      <c r="AF398" s="3"/>
      <c r="AG398" s="3" t="s">
        <v>1091</v>
      </c>
      <c r="AH398" s="58">
        <v>100</v>
      </c>
      <c r="AI398" s="3"/>
      <c r="AJ398" s="3"/>
      <c r="AK398" s="3"/>
      <c r="AL398" s="3"/>
      <c r="AM398" s="3"/>
      <c r="AN398" s="3"/>
      <c r="AO398" s="3"/>
      <c r="AP398" s="3"/>
      <c r="AQ398" s="3"/>
      <c r="AR398" s="3"/>
      <c r="AS398" s="3"/>
      <c r="AT398" s="3"/>
      <c r="AU398" s="3"/>
      <c r="AV398" s="3"/>
      <c r="AW398" s="3"/>
      <c r="AX398" s="3"/>
      <c r="AY398" s="3"/>
      <c r="AZ398" s="4" t="s">
        <v>1088</v>
      </c>
      <c r="BA398" s="3"/>
      <c r="BB398" s="1"/>
      <c r="BC398" s="1"/>
    </row>
    <row r="399" spans="1:55" s="78" customFormat="1" ht="15" customHeight="1" x14ac:dyDescent="0.25">
      <c r="A399" s="52" t="s">
        <v>4408</v>
      </c>
      <c r="B399" s="34" t="s">
        <v>59</v>
      </c>
      <c r="C399" s="53">
        <v>2026</v>
      </c>
      <c r="D399" s="53">
        <v>2026</v>
      </c>
      <c r="E399" s="54" t="s">
        <v>3179</v>
      </c>
      <c r="F399" s="55" t="s">
        <v>50</v>
      </c>
      <c r="G399" s="55" t="s">
        <v>50</v>
      </c>
      <c r="H399" s="45" t="s">
        <v>1094</v>
      </c>
      <c r="I399" s="56" t="s">
        <v>52</v>
      </c>
      <c r="J399" s="56"/>
      <c r="K399" s="55" t="s">
        <v>442</v>
      </c>
      <c r="L399" s="55"/>
      <c r="M399" s="55"/>
      <c r="N399" s="55" t="s">
        <v>1095</v>
      </c>
      <c r="O399" s="55"/>
      <c r="P399" s="55" t="s">
        <v>553</v>
      </c>
      <c r="Q399" s="55" t="s">
        <v>57</v>
      </c>
      <c r="R399" s="55"/>
      <c r="S399" s="56" t="s">
        <v>58</v>
      </c>
      <c r="T399" s="55" t="str">
        <f>IF(ISNUMBER(SEARCH(",",N399)),"Y","N")</f>
        <v>N</v>
      </c>
      <c r="U399" s="57">
        <v>4500</v>
      </c>
      <c r="V399" s="57" t="s">
        <v>101</v>
      </c>
      <c r="W399" s="55"/>
      <c r="X399" s="54" t="s">
        <v>4408</v>
      </c>
      <c r="Y399" s="52"/>
      <c r="Z399" s="3" t="s">
        <v>154</v>
      </c>
      <c r="AA399" s="3" t="s">
        <v>1090</v>
      </c>
      <c r="AB399" s="3"/>
      <c r="AC399" s="3"/>
      <c r="AD399" s="3" t="s">
        <v>62</v>
      </c>
      <c r="AE399" s="3" t="s">
        <v>403</v>
      </c>
      <c r="AF399" s="3"/>
      <c r="AG399" s="3" t="s">
        <v>1091</v>
      </c>
      <c r="AH399" s="58">
        <v>100</v>
      </c>
      <c r="AI399" s="3"/>
      <c r="AJ399" s="3"/>
      <c r="AK399" s="3"/>
      <c r="AL399" s="3"/>
      <c r="AM399" s="3"/>
      <c r="AN399" s="3"/>
      <c r="AO399" s="3"/>
      <c r="AP399" s="3"/>
      <c r="AQ399" s="3"/>
      <c r="AR399" s="3"/>
      <c r="AS399" s="3"/>
      <c r="AT399" s="3"/>
      <c r="AU399" s="3"/>
      <c r="AV399" s="3"/>
      <c r="AW399" s="3"/>
      <c r="AX399" s="3"/>
      <c r="AY399" s="3"/>
      <c r="AZ399" s="4" t="s">
        <v>1088</v>
      </c>
      <c r="BA399" s="3"/>
      <c r="BB399" s="1"/>
      <c r="BC399" s="1"/>
    </row>
    <row r="400" spans="1:55" s="78" customFormat="1" ht="15" customHeight="1" x14ac:dyDescent="0.25">
      <c r="A400" s="52" t="s">
        <v>4409</v>
      </c>
      <c r="B400" s="34" t="s">
        <v>59</v>
      </c>
      <c r="C400" s="53">
        <v>2026</v>
      </c>
      <c r="D400" s="53">
        <v>2026</v>
      </c>
      <c r="E400" s="54" t="s">
        <v>3179</v>
      </c>
      <c r="F400" s="55" t="s">
        <v>50</v>
      </c>
      <c r="G400" s="55" t="s">
        <v>50</v>
      </c>
      <c r="H400" s="45" t="s">
        <v>1094</v>
      </c>
      <c r="I400" s="56" t="s">
        <v>52</v>
      </c>
      <c r="J400" s="56"/>
      <c r="K400" s="55" t="s">
        <v>140</v>
      </c>
      <c r="L400" s="55" t="s">
        <v>54</v>
      </c>
      <c r="M400" s="55"/>
      <c r="N400" s="55" t="s">
        <v>400</v>
      </c>
      <c r="O400" s="55"/>
      <c r="P400" s="55" t="s">
        <v>142</v>
      </c>
      <c r="Q400" s="55" t="s">
        <v>57</v>
      </c>
      <c r="R400" s="55"/>
      <c r="S400" s="56" t="s">
        <v>58</v>
      </c>
      <c r="T400" s="55" t="str">
        <f>IF(ISNUMBER(SEARCH(",",N400)),"Y","N")</f>
        <v>N</v>
      </c>
      <c r="U400" s="72">
        <v>259075.8</v>
      </c>
      <c r="V400" s="57" t="s">
        <v>101</v>
      </c>
      <c r="W400" s="55"/>
      <c r="X400" s="54" t="s">
        <v>4409</v>
      </c>
      <c r="Y400" s="52"/>
      <c r="Z400" s="3" t="s">
        <v>154</v>
      </c>
      <c r="AA400" s="3" t="s">
        <v>1090</v>
      </c>
      <c r="AB400" s="3"/>
      <c r="AC400" s="3"/>
      <c r="AD400" s="3" t="s">
        <v>62</v>
      </c>
      <c r="AE400" s="3" t="s">
        <v>403</v>
      </c>
      <c r="AF400" s="3"/>
      <c r="AG400" s="3" t="s">
        <v>1091</v>
      </c>
      <c r="AH400" s="58">
        <v>100</v>
      </c>
      <c r="AI400" s="3"/>
      <c r="AJ400" s="3"/>
      <c r="AK400" s="3"/>
      <c r="AL400" s="3"/>
      <c r="AM400" s="3"/>
      <c r="AN400" s="3"/>
      <c r="AO400" s="3"/>
      <c r="AP400" s="3"/>
      <c r="AQ400" s="3"/>
      <c r="AR400" s="3"/>
      <c r="AS400" s="3"/>
      <c r="AT400" s="3"/>
      <c r="AU400" s="3"/>
      <c r="AV400" s="3"/>
      <c r="AW400" s="3"/>
      <c r="AX400" s="3"/>
      <c r="AY400" s="3"/>
      <c r="AZ400" s="4" t="s">
        <v>1088</v>
      </c>
      <c r="BA400" s="3"/>
      <c r="BB400" s="1"/>
      <c r="BC400" s="1"/>
    </row>
    <row r="401" spans="1:55" s="78" customFormat="1" ht="15" customHeight="1" x14ac:dyDescent="0.25">
      <c r="A401" s="52" t="s">
        <v>4410</v>
      </c>
      <c r="B401" s="34" t="s">
        <v>59</v>
      </c>
      <c r="C401" s="53">
        <v>2026</v>
      </c>
      <c r="D401" s="53">
        <v>2026</v>
      </c>
      <c r="E401" s="54" t="s">
        <v>3180</v>
      </c>
      <c r="F401" s="55" t="s">
        <v>50</v>
      </c>
      <c r="G401" s="55" t="s">
        <v>50</v>
      </c>
      <c r="H401" s="45" t="s">
        <v>1097</v>
      </c>
      <c r="I401" s="56" t="s">
        <v>52</v>
      </c>
      <c r="J401" s="56"/>
      <c r="K401" s="55" t="s">
        <v>120</v>
      </c>
      <c r="L401" s="55" t="s">
        <v>54</v>
      </c>
      <c r="M401" s="55" t="s">
        <v>113</v>
      </c>
      <c r="N401" s="55" t="s">
        <v>5354</v>
      </c>
      <c r="O401" s="55"/>
      <c r="P401" s="55" t="s">
        <v>121</v>
      </c>
      <c r="Q401" s="55" t="s">
        <v>57</v>
      </c>
      <c r="R401" s="55"/>
      <c r="S401" s="56" t="s">
        <v>58</v>
      </c>
      <c r="T401" s="55" t="s">
        <v>58</v>
      </c>
      <c r="U401" s="57">
        <v>-999</v>
      </c>
      <c r="V401" s="57" t="s">
        <v>59</v>
      </c>
      <c r="W401" s="55"/>
      <c r="X401" s="54" t="s">
        <v>4410</v>
      </c>
      <c r="Y401" s="52"/>
      <c r="Z401" s="3" t="s">
        <v>61</v>
      </c>
      <c r="AA401" s="3" t="s">
        <v>1098</v>
      </c>
      <c r="AB401" s="3"/>
      <c r="AC401" s="3"/>
      <c r="AD401" s="3" t="s">
        <v>62</v>
      </c>
      <c r="AE401" s="3" t="s">
        <v>342</v>
      </c>
      <c r="AF401" s="3"/>
      <c r="AG401" s="3" t="s">
        <v>278</v>
      </c>
      <c r="AH401" s="58">
        <v>100</v>
      </c>
      <c r="AI401" s="3"/>
      <c r="AJ401" s="3"/>
      <c r="AK401" s="3"/>
      <c r="AL401" s="3"/>
      <c r="AM401" s="3"/>
      <c r="AN401" s="3"/>
      <c r="AO401" s="3"/>
      <c r="AP401" s="3"/>
      <c r="AQ401" s="3"/>
      <c r="AR401" s="3"/>
      <c r="AS401" s="3"/>
      <c r="AT401" s="3"/>
      <c r="AU401" s="3"/>
      <c r="AV401" s="3"/>
      <c r="AW401" s="3"/>
      <c r="AX401" s="3"/>
      <c r="AY401" s="3"/>
      <c r="AZ401" s="4" t="s">
        <v>1096</v>
      </c>
      <c r="BA401" s="3"/>
      <c r="BB401" s="1"/>
      <c r="BC401" s="1"/>
    </row>
    <row r="402" spans="1:55" s="78" customFormat="1" ht="15" customHeight="1" x14ac:dyDescent="0.25">
      <c r="A402" s="52" t="s">
        <v>4411</v>
      </c>
      <c r="B402" s="34" t="s">
        <v>59</v>
      </c>
      <c r="C402" s="53">
        <v>2026</v>
      </c>
      <c r="D402" s="53">
        <v>2026</v>
      </c>
      <c r="E402" s="54" t="s">
        <v>3180</v>
      </c>
      <c r="F402" s="55" t="s">
        <v>50</v>
      </c>
      <c r="G402" s="55" t="s">
        <v>50</v>
      </c>
      <c r="H402" s="45" t="s">
        <v>1097</v>
      </c>
      <c r="I402" s="56" t="s">
        <v>52</v>
      </c>
      <c r="J402" s="45" t="s">
        <v>65</v>
      </c>
      <c r="K402" s="55" t="s">
        <v>122</v>
      </c>
      <c r="L402" s="55" t="s">
        <v>54</v>
      </c>
      <c r="M402" s="55" t="s">
        <v>113</v>
      </c>
      <c r="N402" s="55" t="s">
        <v>5354</v>
      </c>
      <c r="O402" s="55"/>
      <c r="P402" s="55" t="s">
        <v>123</v>
      </c>
      <c r="Q402" s="55" t="s">
        <v>57</v>
      </c>
      <c r="R402" s="55"/>
      <c r="S402" s="56" t="s">
        <v>58</v>
      </c>
      <c r="T402" s="55" t="s">
        <v>81</v>
      </c>
      <c r="U402" s="57">
        <v>-999</v>
      </c>
      <c r="V402" s="57" t="s">
        <v>59</v>
      </c>
      <c r="W402" s="55"/>
      <c r="X402" s="54" t="s">
        <v>4411</v>
      </c>
      <c r="Y402" s="52"/>
      <c r="Z402" s="3" t="s">
        <v>61</v>
      </c>
      <c r="AA402" s="3" t="s">
        <v>1098</v>
      </c>
      <c r="AB402" s="3"/>
      <c r="AC402" s="3"/>
      <c r="AD402" s="3" t="s">
        <v>62</v>
      </c>
      <c r="AE402" s="3" t="s">
        <v>342</v>
      </c>
      <c r="AF402" s="3"/>
      <c r="AG402" s="3" t="s">
        <v>278</v>
      </c>
      <c r="AH402" s="58">
        <v>100</v>
      </c>
      <c r="AI402" s="3"/>
      <c r="AJ402" s="3"/>
      <c r="AK402" s="3"/>
      <c r="AL402" s="3"/>
      <c r="AM402" s="3"/>
      <c r="AN402" s="3"/>
      <c r="AO402" s="3"/>
      <c r="AP402" s="3"/>
      <c r="AQ402" s="3"/>
      <c r="AR402" s="3"/>
      <c r="AS402" s="3"/>
      <c r="AT402" s="3"/>
      <c r="AU402" s="3"/>
      <c r="AV402" s="3"/>
      <c r="AW402" s="3"/>
      <c r="AX402" s="3"/>
      <c r="AY402" s="3"/>
      <c r="AZ402" s="4" t="s">
        <v>1099</v>
      </c>
      <c r="BA402" s="3"/>
      <c r="BB402" s="1"/>
      <c r="BC402" s="1"/>
    </row>
    <row r="403" spans="1:55" s="78" customFormat="1" ht="15" customHeight="1" x14ac:dyDescent="0.25">
      <c r="A403" s="52" t="s">
        <v>4412</v>
      </c>
      <c r="B403" s="34" t="s">
        <v>59</v>
      </c>
      <c r="C403" s="53">
        <v>2026</v>
      </c>
      <c r="D403" s="53">
        <v>2026</v>
      </c>
      <c r="E403" s="54" t="s">
        <v>3181</v>
      </c>
      <c r="F403" s="55" t="s">
        <v>50</v>
      </c>
      <c r="G403" s="55" t="s">
        <v>50</v>
      </c>
      <c r="H403" s="45" t="s">
        <v>1100</v>
      </c>
      <c r="I403" s="45" t="s">
        <v>52</v>
      </c>
      <c r="J403" s="56"/>
      <c r="K403" s="45" t="s">
        <v>137</v>
      </c>
      <c r="L403" s="55" t="s">
        <v>317</v>
      </c>
      <c r="M403" s="55" t="s">
        <v>113</v>
      </c>
      <c r="N403" s="45" t="s">
        <v>699</v>
      </c>
      <c r="O403" s="45"/>
      <c r="P403" s="55" t="s">
        <v>138</v>
      </c>
      <c r="Q403" s="55" t="s">
        <v>57</v>
      </c>
      <c r="R403" s="55"/>
      <c r="S403" s="56" t="s">
        <v>58</v>
      </c>
      <c r="T403" s="55" t="s">
        <v>81</v>
      </c>
      <c r="U403" s="57">
        <v>3000</v>
      </c>
      <c r="V403" s="57" t="s">
        <v>101</v>
      </c>
      <c r="W403" s="55" t="s">
        <v>106</v>
      </c>
      <c r="X403" s="54" t="s">
        <v>4412</v>
      </c>
      <c r="Y403" s="52"/>
      <c r="Z403" s="1" t="s">
        <v>61</v>
      </c>
      <c r="AA403" s="2" t="s">
        <v>1101</v>
      </c>
      <c r="AB403" s="2"/>
      <c r="AC403" s="2"/>
      <c r="AD403" s="3" t="s">
        <v>62</v>
      </c>
      <c r="AE403" s="2" t="s">
        <v>63</v>
      </c>
      <c r="AF403" s="1" t="s">
        <v>1102</v>
      </c>
      <c r="AG403" s="1" t="s">
        <v>355</v>
      </c>
      <c r="AH403" s="2">
        <v>100</v>
      </c>
      <c r="AI403" s="2"/>
      <c r="AJ403" s="2"/>
      <c r="AK403" s="2"/>
      <c r="AL403" s="2"/>
      <c r="AM403" s="2"/>
      <c r="AN403" s="2"/>
      <c r="AO403" s="2"/>
      <c r="AP403" s="2"/>
      <c r="AQ403" s="2"/>
      <c r="AR403" s="2"/>
      <c r="AS403" s="2"/>
      <c r="AT403" s="2"/>
      <c r="AU403" s="2"/>
      <c r="AV403" s="2"/>
      <c r="AW403" s="2"/>
      <c r="AX403" s="2"/>
      <c r="AY403" s="2"/>
      <c r="AZ403" s="4" t="s">
        <v>3958</v>
      </c>
      <c r="BA403" s="2" t="s">
        <v>3858</v>
      </c>
      <c r="BB403" s="1"/>
      <c r="BC403" s="1"/>
    </row>
    <row r="404" spans="1:55" s="78" customFormat="1" ht="15" customHeight="1" x14ac:dyDescent="0.25">
      <c r="A404" s="52" t="s">
        <v>4413</v>
      </c>
      <c r="B404" s="34" t="s">
        <v>59</v>
      </c>
      <c r="C404" s="53">
        <v>2026</v>
      </c>
      <c r="D404" s="53">
        <v>2026</v>
      </c>
      <c r="E404" s="54" t="s">
        <v>3181</v>
      </c>
      <c r="F404" s="55" t="s">
        <v>50</v>
      </c>
      <c r="G404" s="55" t="s">
        <v>50</v>
      </c>
      <c r="H404" s="45" t="s">
        <v>1100</v>
      </c>
      <c r="I404" s="45" t="s">
        <v>52</v>
      </c>
      <c r="J404" s="56"/>
      <c r="K404" s="45" t="s">
        <v>1103</v>
      </c>
      <c r="L404" s="55" t="s">
        <v>317</v>
      </c>
      <c r="M404" s="55" t="s">
        <v>113</v>
      </c>
      <c r="N404" s="45" t="s">
        <v>55</v>
      </c>
      <c r="O404" s="45" t="s">
        <v>699</v>
      </c>
      <c r="P404" s="55" t="s">
        <v>1104</v>
      </c>
      <c r="Q404" s="56" t="s">
        <v>57</v>
      </c>
      <c r="R404" s="55"/>
      <c r="S404" s="56" t="s">
        <v>58</v>
      </c>
      <c r="T404" s="55" t="s">
        <v>81</v>
      </c>
      <c r="U404" s="57">
        <v>3250</v>
      </c>
      <c r="V404" s="57" t="s">
        <v>101</v>
      </c>
      <c r="W404" s="55" t="s">
        <v>106</v>
      </c>
      <c r="X404" s="54" t="s">
        <v>4413</v>
      </c>
      <c r="Y404" s="52"/>
      <c r="Z404" s="1" t="s">
        <v>61</v>
      </c>
      <c r="AA404" s="2" t="s">
        <v>1101</v>
      </c>
      <c r="AB404" s="2"/>
      <c r="AC404" s="2"/>
      <c r="AD404" s="3" t="s">
        <v>62</v>
      </c>
      <c r="AE404" s="2" t="s">
        <v>63</v>
      </c>
      <c r="AF404" s="1" t="s">
        <v>1102</v>
      </c>
      <c r="AG404" s="1" t="s">
        <v>355</v>
      </c>
      <c r="AH404" s="2">
        <v>100</v>
      </c>
      <c r="AI404" s="2"/>
      <c r="AJ404" s="2"/>
      <c r="AK404" s="2"/>
      <c r="AL404" s="2"/>
      <c r="AM404" s="2"/>
      <c r="AN404" s="2"/>
      <c r="AO404" s="2"/>
      <c r="AP404" s="2"/>
      <c r="AQ404" s="2"/>
      <c r="AR404" s="2"/>
      <c r="AS404" s="2"/>
      <c r="AT404" s="2"/>
      <c r="AU404" s="2"/>
      <c r="AV404" s="2"/>
      <c r="AW404" s="2"/>
      <c r="AX404" s="2"/>
      <c r="AY404" s="2"/>
      <c r="AZ404" s="4" t="s">
        <v>3958</v>
      </c>
      <c r="BA404" s="2" t="s">
        <v>3858</v>
      </c>
      <c r="BB404" s="1"/>
      <c r="BC404" s="1"/>
    </row>
    <row r="405" spans="1:55" s="78" customFormat="1" ht="15" customHeight="1" x14ac:dyDescent="0.25">
      <c r="A405" s="52" t="s">
        <v>4414</v>
      </c>
      <c r="B405" s="34" t="s">
        <v>59</v>
      </c>
      <c r="C405" s="53">
        <v>2026</v>
      </c>
      <c r="D405" s="53">
        <v>2026</v>
      </c>
      <c r="E405" s="54" t="s">
        <v>3182</v>
      </c>
      <c r="F405" s="55" t="s">
        <v>50</v>
      </c>
      <c r="G405" s="55" t="s">
        <v>50</v>
      </c>
      <c r="H405" s="45" t="s">
        <v>1106</v>
      </c>
      <c r="I405" s="56" t="s">
        <v>52</v>
      </c>
      <c r="J405" s="56"/>
      <c r="K405" s="56" t="s">
        <v>1107</v>
      </c>
      <c r="L405" s="55"/>
      <c r="M405" s="55"/>
      <c r="N405" s="56" t="s">
        <v>1108</v>
      </c>
      <c r="O405" s="56"/>
      <c r="P405" s="56" t="s">
        <v>1109</v>
      </c>
      <c r="Q405" s="56" t="s">
        <v>57</v>
      </c>
      <c r="R405" s="55"/>
      <c r="S405" s="56" t="s">
        <v>81</v>
      </c>
      <c r="T405" s="55" t="s">
        <v>58</v>
      </c>
      <c r="U405" s="57">
        <v>-999</v>
      </c>
      <c r="V405" s="57" t="s">
        <v>59</v>
      </c>
      <c r="W405" s="55" t="s">
        <v>2319</v>
      </c>
      <c r="X405" s="54" t="s">
        <v>4414</v>
      </c>
      <c r="Y405" s="52"/>
      <c r="Z405" s="1" t="s">
        <v>61</v>
      </c>
      <c r="AA405" s="1" t="s">
        <v>1111</v>
      </c>
      <c r="AB405" s="1"/>
      <c r="AC405" s="1"/>
      <c r="AD405" s="3" t="s">
        <v>62</v>
      </c>
      <c r="AE405" s="1" t="s">
        <v>115</v>
      </c>
      <c r="AF405" s="1"/>
      <c r="AG405" s="1" t="s">
        <v>1112</v>
      </c>
      <c r="AH405" s="2">
        <v>100</v>
      </c>
      <c r="AI405" s="1"/>
      <c r="AJ405" s="1"/>
      <c r="AK405" s="1"/>
      <c r="AL405" s="1"/>
      <c r="AM405" s="1"/>
      <c r="AN405" s="1"/>
      <c r="AO405" s="1"/>
      <c r="AP405" s="1"/>
      <c r="AQ405" s="1"/>
      <c r="AR405" s="1"/>
      <c r="AS405" s="1"/>
      <c r="AT405" s="1"/>
      <c r="AU405" s="1"/>
      <c r="AV405" s="1"/>
      <c r="AW405" s="1"/>
      <c r="AX405" s="1"/>
      <c r="AY405" s="1"/>
      <c r="AZ405" s="4" t="s">
        <v>1105</v>
      </c>
      <c r="BA405" s="1"/>
      <c r="BB405" s="1"/>
      <c r="BC405" s="1"/>
    </row>
    <row r="406" spans="1:55" s="78" customFormat="1" ht="15" customHeight="1" x14ac:dyDescent="0.25">
      <c r="A406" s="52" t="s">
        <v>4415</v>
      </c>
      <c r="B406" s="34" t="s">
        <v>59</v>
      </c>
      <c r="C406" s="53">
        <v>2026</v>
      </c>
      <c r="D406" s="53">
        <v>2026</v>
      </c>
      <c r="E406" s="54" t="s">
        <v>3183</v>
      </c>
      <c r="F406" s="55" t="s">
        <v>50</v>
      </c>
      <c r="G406" s="55" t="s">
        <v>50</v>
      </c>
      <c r="H406" s="45" t="s">
        <v>3176</v>
      </c>
      <c r="I406" s="56" t="s">
        <v>78</v>
      </c>
      <c r="J406" s="56"/>
      <c r="K406" s="56" t="s">
        <v>79</v>
      </c>
      <c r="L406" s="55" t="str">
        <f>IF(K406="Mine or Quarry","Mine","")</f>
        <v/>
      </c>
      <c r="M406" s="55"/>
      <c r="N406" s="56" t="s">
        <v>80</v>
      </c>
      <c r="O406" s="56"/>
      <c r="P406" s="56" t="s">
        <v>89</v>
      </c>
      <c r="Q406" s="56" t="s">
        <v>89</v>
      </c>
      <c r="R406" s="55"/>
      <c r="S406" s="56" t="s">
        <v>81</v>
      </c>
      <c r="T406" s="55" t="str">
        <f>IF(ISNUMBER(SEARCH(",",N406)),"Y","N")</f>
        <v>N</v>
      </c>
      <c r="U406" s="57">
        <v>-999</v>
      </c>
      <c r="V406" s="57" t="s">
        <v>59</v>
      </c>
      <c r="W406" s="55" t="s">
        <v>2319</v>
      </c>
      <c r="X406" s="54" t="s">
        <v>4415</v>
      </c>
      <c r="Y406" s="52"/>
      <c r="Z406" s="1" t="s">
        <v>61</v>
      </c>
      <c r="AA406" s="1" t="s">
        <v>1115</v>
      </c>
      <c r="AB406" s="1"/>
      <c r="AC406" s="1"/>
      <c r="AD406" s="3" t="s">
        <v>62</v>
      </c>
      <c r="AE406" s="1" t="s">
        <v>83</v>
      </c>
      <c r="AF406" s="1" t="s">
        <v>1116</v>
      </c>
      <c r="AG406" s="1" t="s">
        <v>1116</v>
      </c>
      <c r="AH406" s="2"/>
      <c r="AI406" s="1"/>
      <c r="AJ406" s="1"/>
      <c r="AK406" s="1"/>
      <c r="AL406" s="1"/>
      <c r="AM406" s="1"/>
      <c r="AN406" s="1"/>
      <c r="AO406" s="1"/>
      <c r="AP406" s="1"/>
      <c r="AQ406" s="1"/>
      <c r="AR406" s="1"/>
      <c r="AS406" s="1"/>
      <c r="AT406" s="1"/>
      <c r="AU406" s="1"/>
      <c r="AV406" s="1"/>
      <c r="AW406" s="1"/>
      <c r="AX406" s="1"/>
      <c r="AY406" s="1"/>
      <c r="AZ406" s="4" t="s">
        <v>1113</v>
      </c>
      <c r="BA406" s="5"/>
      <c r="BB406" s="1"/>
      <c r="BC406" s="1"/>
    </row>
    <row r="407" spans="1:55" s="78" customFormat="1" ht="15" customHeight="1" x14ac:dyDescent="0.25">
      <c r="A407" s="52" t="s">
        <v>4416</v>
      </c>
      <c r="B407" s="34" t="s">
        <v>59</v>
      </c>
      <c r="C407" s="53">
        <v>2026</v>
      </c>
      <c r="D407" s="53">
        <v>2026</v>
      </c>
      <c r="E407" s="54" t="s">
        <v>3184</v>
      </c>
      <c r="F407" s="55" t="s">
        <v>50</v>
      </c>
      <c r="G407" s="55" t="s">
        <v>50</v>
      </c>
      <c r="H407" s="45" t="s">
        <v>1114</v>
      </c>
      <c r="I407" s="56" t="s">
        <v>78</v>
      </c>
      <c r="J407" s="56"/>
      <c r="K407" s="56" t="s">
        <v>53</v>
      </c>
      <c r="L407" s="55" t="s">
        <v>88</v>
      </c>
      <c r="M407" s="56"/>
      <c r="N407" s="45" t="s">
        <v>110</v>
      </c>
      <c r="O407" s="56"/>
      <c r="P407" s="55" t="s">
        <v>56</v>
      </c>
      <c r="Q407" s="55" t="s">
        <v>57</v>
      </c>
      <c r="R407" s="56"/>
      <c r="S407" s="56" t="s">
        <v>58</v>
      </c>
      <c r="T407" s="56" t="s">
        <v>81</v>
      </c>
      <c r="U407" s="57">
        <v>-999</v>
      </c>
      <c r="V407" s="57" t="s">
        <v>59</v>
      </c>
      <c r="W407" s="55" t="s">
        <v>2319</v>
      </c>
      <c r="X407" s="54" t="s">
        <v>4416</v>
      </c>
      <c r="Y407" s="52"/>
      <c r="Z407" s="1" t="s">
        <v>154</v>
      </c>
      <c r="AA407" s="2" t="s">
        <v>1117</v>
      </c>
      <c r="AB407" s="2"/>
      <c r="AC407" s="2"/>
      <c r="AD407" s="3" t="s">
        <v>62</v>
      </c>
      <c r="AE407" s="3" t="s">
        <v>336</v>
      </c>
      <c r="AF407" s="2" t="s">
        <v>1118</v>
      </c>
      <c r="AG407" s="2" t="s">
        <v>1118</v>
      </c>
      <c r="AH407" s="59">
        <v>80</v>
      </c>
      <c r="AI407" s="1" t="s">
        <v>1119</v>
      </c>
      <c r="AJ407" s="59">
        <v>20</v>
      </c>
      <c r="AK407" s="1"/>
      <c r="AL407" s="60"/>
      <c r="AM407" s="1"/>
      <c r="AN407" s="60"/>
      <c r="AO407" s="1"/>
      <c r="AP407" s="60"/>
      <c r="AQ407" s="1"/>
      <c r="AR407" s="60"/>
      <c r="AS407" s="1"/>
      <c r="AT407" s="60"/>
      <c r="AU407" s="1"/>
      <c r="AV407" s="60"/>
      <c r="AW407" s="1"/>
      <c r="AX407" s="60"/>
      <c r="AY407" s="1"/>
      <c r="AZ407" s="5" t="s">
        <v>1120</v>
      </c>
      <c r="BA407" s="5" t="s">
        <v>3859</v>
      </c>
      <c r="BB407" s="1"/>
      <c r="BC407" s="1"/>
    </row>
    <row r="408" spans="1:55" s="78" customFormat="1" ht="15" customHeight="1" x14ac:dyDescent="0.25">
      <c r="A408" s="52" t="s">
        <v>4417</v>
      </c>
      <c r="B408" s="34" t="s">
        <v>59</v>
      </c>
      <c r="C408" s="53">
        <v>2026</v>
      </c>
      <c r="D408" s="53">
        <v>2026</v>
      </c>
      <c r="E408" s="54" t="s">
        <v>3184</v>
      </c>
      <c r="F408" s="55" t="s">
        <v>50</v>
      </c>
      <c r="G408" s="55" t="s">
        <v>50</v>
      </c>
      <c r="H408" s="45" t="s">
        <v>1114</v>
      </c>
      <c r="I408" s="56" t="s">
        <v>78</v>
      </c>
      <c r="J408" s="56"/>
      <c r="K408" s="56" t="s">
        <v>71</v>
      </c>
      <c r="L408" s="55" t="s">
        <v>88</v>
      </c>
      <c r="M408" s="56"/>
      <c r="N408" s="45" t="s">
        <v>110</v>
      </c>
      <c r="O408" s="56"/>
      <c r="P408" s="55" t="s">
        <v>73</v>
      </c>
      <c r="Q408" s="55" t="s">
        <v>57</v>
      </c>
      <c r="R408" s="56"/>
      <c r="S408" s="56" t="s">
        <v>58</v>
      </c>
      <c r="T408" s="56" t="s">
        <v>81</v>
      </c>
      <c r="U408" s="57">
        <v>-999</v>
      </c>
      <c r="V408" s="57" t="s">
        <v>59</v>
      </c>
      <c r="W408" s="55" t="s">
        <v>2319</v>
      </c>
      <c r="X408" s="54" t="s">
        <v>4417</v>
      </c>
      <c r="Y408" s="52"/>
      <c r="Z408" s="1" t="s">
        <v>154</v>
      </c>
      <c r="AA408" s="2" t="s">
        <v>1117</v>
      </c>
      <c r="AB408" s="2"/>
      <c r="AC408" s="2"/>
      <c r="AD408" s="3" t="s">
        <v>62</v>
      </c>
      <c r="AE408" s="3" t="s">
        <v>336</v>
      </c>
      <c r="AF408" s="2" t="s">
        <v>1118</v>
      </c>
      <c r="AG408" s="2" t="s">
        <v>1118</v>
      </c>
      <c r="AH408" s="59">
        <v>80</v>
      </c>
      <c r="AI408" s="1" t="s">
        <v>1119</v>
      </c>
      <c r="AJ408" s="59">
        <v>20</v>
      </c>
      <c r="AK408" s="1"/>
      <c r="AL408" s="60"/>
      <c r="AM408" s="1"/>
      <c r="AN408" s="60"/>
      <c r="AO408" s="1"/>
      <c r="AP408" s="60"/>
      <c r="AQ408" s="1"/>
      <c r="AR408" s="60"/>
      <c r="AS408" s="1"/>
      <c r="AT408" s="60"/>
      <c r="AU408" s="1"/>
      <c r="AV408" s="60"/>
      <c r="AW408" s="1"/>
      <c r="AX408" s="60"/>
      <c r="AY408" s="1"/>
      <c r="AZ408" s="5" t="s">
        <v>1120</v>
      </c>
      <c r="BA408" s="5" t="s">
        <v>3859</v>
      </c>
      <c r="BB408" s="1"/>
      <c r="BC408" s="1"/>
    </row>
    <row r="409" spans="1:55" s="78" customFormat="1" ht="15" customHeight="1" x14ac:dyDescent="0.25">
      <c r="A409" s="52" t="s">
        <v>4418</v>
      </c>
      <c r="B409" s="34" t="s">
        <v>59</v>
      </c>
      <c r="C409" s="53">
        <v>2026</v>
      </c>
      <c r="D409" s="53">
        <v>2026</v>
      </c>
      <c r="E409" s="54" t="s">
        <v>3184</v>
      </c>
      <c r="F409" s="55" t="s">
        <v>50</v>
      </c>
      <c r="G409" s="55" t="s">
        <v>50</v>
      </c>
      <c r="H409" s="45" t="s">
        <v>1114</v>
      </c>
      <c r="I409" s="56" t="s">
        <v>78</v>
      </c>
      <c r="J409" s="56"/>
      <c r="K409" s="56" t="s">
        <v>74</v>
      </c>
      <c r="L409" s="55" t="s">
        <v>88</v>
      </c>
      <c r="M409" s="56"/>
      <c r="N409" s="45" t="s">
        <v>110</v>
      </c>
      <c r="O409" s="56"/>
      <c r="P409" s="56" t="s">
        <v>75</v>
      </c>
      <c r="Q409" s="56" t="s">
        <v>57</v>
      </c>
      <c r="R409" s="56"/>
      <c r="S409" s="56" t="s">
        <v>58</v>
      </c>
      <c r="T409" s="56" t="s">
        <v>81</v>
      </c>
      <c r="U409" s="57">
        <v>-999</v>
      </c>
      <c r="V409" s="57" t="s">
        <v>59</v>
      </c>
      <c r="W409" s="55" t="s">
        <v>2319</v>
      </c>
      <c r="X409" s="54" t="s">
        <v>4418</v>
      </c>
      <c r="Y409" s="52"/>
      <c r="Z409" s="1" t="s">
        <v>154</v>
      </c>
      <c r="AA409" s="2" t="s">
        <v>1117</v>
      </c>
      <c r="AB409" s="2"/>
      <c r="AC409" s="2"/>
      <c r="AD409" s="3" t="s">
        <v>62</v>
      </c>
      <c r="AE409" s="3" t="s">
        <v>336</v>
      </c>
      <c r="AF409" s="2" t="s">
        <v>1118</v>
      </c>
      <c r="AG409" s="2" t="s">
        <v>1118</v>
      </c>
      <c r="AH409" s="59">
        <v>80</v>
      </c>
      <c r="AI409" s="1" t="s">
        <v>1119</v>
      </c>
      <c r="AJ409" s="59">
        <v>20</v>
      </c>
      <c r="AK409" s="1"/>
      <c r="AL409" s="60"/>
      <c r="AM409" s="1"/>
      <c r="AN409" s="60"/>
      <c r="AO409" s="1"/>
      <c r="AP409" s="60"/>
      <c r="AQ409" s="1"/>
      <c r="AR409" s="60"/>
      <c r="AS409" s="1"/>
      <c r="AT409" s="60"/>
      <c r="AU409" s="1"/>
      <c r="AV409" s="60"/>
      <c r="AW409" s="1"/>
      <c r="AX409" s="60"/>
      <c r="AY409" s="1"/>
      <c r="AZ409" s="5" t="s">
        <v>1120</v>
      </c>
      <c r="BA409" s="1" t="s">
        <v>3859</v>
      </c>
      <c r="BB409" s="1"/>
      <c r="BC409" s="1"/>
    </row>
    <row r="410" spans="1:55" s="78" customFormat="1" ht="15" customHeight="1" x14ac:dyDescent="0.25">
      <c r="A410" s="52" t="s">
        <v>4419</v>
      </c>
      <c r="B410" s="34" t="s">
        <v>59</v>
      </c>
      <c r="C410" s="53">
        <v>2026</v>
      </c>
      <c r="D410" s="53">
        <v>2026</v>
      </c>
      <c r="E410" s="54" t="s">
        <v>3185</v>
      </c>
      <c r="F410" s="55" t="s">
        <v>50</v>
      </c>
      <c r="G410" s="55" t="s">
        <v>50</v>
      </c>
      <c r="H410" s="45" t="s">
        <v>3177</v>
      </c>
      <c r="I410" s="56" t="s">
        <v>78</v>
      </c>
      <c r="J410" s="56"/>
      <c r="K410" s="56" t="s">
        <v>313</v>
      </c>
      <c r="L410" s="56" t="s">
        <v>88</v>
      </c>
      <c r="M410" s="55"/>
      <c r="N410" s="56" t="s">
        <v>110</v>
      </c>
      <c r="O410" s="56"/>
      <c r="P410" s="61" t="s">
        <v>314</v>
      </c>
      <c r="Q410" s="61" t="s">
        <v>57</v>
      </c>
      <c r="R410" s="55"/>
      <c r="S410" s="56" t="s">
        <v>58</v>
      </c>
      <c r="T410" s="55" t="str">
        <f>IF(ISNUMBER(SEARCH(",",N410)),"Y","N")</f>
        <v>N</v>
      </c>
      <c r="U410" s="57">
        <v>35000</v>
      </c>
      <c r="V410" s="57" t="s">
        <v>101</v>
      </c>
      <c r="W410" s="55" t="s">
        <v>2319</v>
      </c>
      <c r="X410" s="54" t="s">
        <v>4419</v>
      </c>
      <c r="Y410" s="52"/>
      <c r="Z410" s="1" t="s">
        <v>61</v>
      </c>
      <c r="AA410" s="1" t="s">
        <v>1122</v>
      </c>
      <c r="AB410" s="1"/>
      <c r="AC410" s="1"/>
      <c r="AD410" s="3" t="s">
        <v>62</v>
      </c>
      <c r="AE410" s="2" t="s">
        <v>605</v>
      </c>
      <c r="AF410" s="1"/>
      <c r="AG410" s="1" t="s">
        <v>1123</v>
      </c>
      <c r="AH410" s="2">
        <v>100</v>
      </c>
      <c r="AI410" s="1"/>
      <c r="AJ410" s="1"/>
      <c r="AK410" s="1"/>
      <c r="AL410" s="1"/>
      <c r="AM410" s="1"/>
      <c r="AN410" s="1"/>
      <c r="AO410" s="1"/>
      <c r="AP410" s="1"/>
      <c r="AQ410" s="1"/>
      <c r="AR410" s="1"/>
      <c r="AS410" s="1"/>
      <c r="AT410" s="1"/>
      <c r="AU410" s="1"/>
      <c r="AV410" s="1"/>
      <c r="AW410" s="1"/>
      <c r="AX410" s="1"/>
      <c r="AY410" s="1"/>
      <c r="AZ410" s="4" t="s">
        <v>1121</v>
      </c>
      <c r="BA410" s="1"/>
      <c r="BB410" s="1"/>
      <c r="BC410" s="1"/>
    </row>
    <row r="411" spans="1:55" s="78" customFormat="1" ht="15" customHeight="1" x14ac:dyDescent="0.25">
      <c r="A411" s="52" t="s">
        <v>4420</v>
      </c>
      <c r="B411" s="34" t="s">
        <v>59</v>
      </c>
      <c r="C411" s="53">
        <v>2026</v>
      </c>
      <c r="D411" s="53">
        <v>2026</v>
      </c>
      <c r="E411" s="54" t="s">
        <v>3186</v>
      </c>
      <c r="F411" s="55" t="s">
        <v>50</v>
      </c>
      <c r="G411" s="55" t="s">
        <v>50</v>
      </c>
      <c r="H411" s="45" t="s">
        <v>1125</v>
      </c>
      <c r="I411" s="56" t="s">
        <v>52</v>
      </c>
      <c r="J411" s="55" t="s">
        <v>384</v>
      </c>
      <c r="K411" s="55" t="s">
        <v>384</v>
      </c>
      <c r="L411" s="55"/>
      <c r="M411" s="55"/>
      <c r="N411" s="56" t="s">
        <v>55</v>
      </c>
      <c r="O411" s="56"/>
      <c r="P411" s="56" t="s">
        <v>5353</v>
      </c>
      <c r="Q411" s="55" t="s">
        <v>5353</v>
      </c>
      <c r="R411" s="56"/>
      <c r="S411" s="56" t="s">
        <v>58</v>
      </c>
      <c r="T411" s="55" t="s">
        <v>81</v>
      </c>
      <c r="U411" s="57">
        <v>3000</v>
      </c>
      <c r="V411" s="57" t="s">
        <v>101</v>
      </c>
      <c r="W411" s="55" t="s">
        <v>2319</v>
      </c>
      <c r="X411" s="54" t="s">
        <v>4420</v>
      </c>
      <c r="Y411" s="52"/>
      <c r="Z411" s="2" t="s">
        <v>61</v>
      </c>
      <c r="AA411" s="1" t="s">
        <v>1126</v>
      </c>
      <c r="AB411" s="1"/>
      <c r="AC411" s="1"/>
      <c r="AD411" s="3" t="s">
        <v>62</v>
      </c>
      <c r="AE411" s="2" t="s">
        <v>115</v>
      </c>
      <c r="AF411" s="2"/>
      <c r="AG411" s="3" t="s">
        <v>1127</v>
      </c>
      <c r="AH411" s="58">
        <v>100</v>
      </c>
      <c r="AI411" s="1"/>
      <c r="AJ411" s="1"/>
      <c r="AK411" s="1"/>
      <c r="AL411" s="1"/>
      <c r="AM411" s="1"/>
      <c r="AN411" s="1"/>
      <c r="AO411" s="1"/>
      <c r="AP411" s="1"/>
      <c r="AQ411" s="1"/>
      <c r="AR411" s="1"/>
      <c r="AS411" s="1"/>
      <c r="AT411" s="1"/>
      <c r="AU411" s="1"/>
      <c r="AV411" s="1"/>
      <c r="AW411" s="1"/>
      <c r="AX411" s="1"/>
      <c r="AY411" s="1"/>
      <c r="AZ411" s="4" t="s">
        <v>1124</v>
      </c>
      <c r="BA411" s="1"/>
      <c r="BB411" s="1"/>
      <c r="BC411" s="1"/>
    </row>
    <row r="412" spans="1:55" s="78" customFormat="1" ht="15" customHeight="1" x14ac:dyDescent="0.25">
      <c r="A412" s="52" t="s">
        <v>4421</v>
      </c>
      <c r="B412" s="34" t="s">
        <v>59</v>
      </c>
      <c r="C412" s="53">
        <v>2026</v>
      </c>
      <c r="D412" s="53">
        <v>2026</v>
      </c>
      <c r="E412" s="54" t="s">
        <v>3187</v>
      </c>
      <c r="F412" s="55" t="s">
        <v>50</v>
      </c>
      <c r="G412" s="55" t="s">
        <v>50</v>
      </c>
      <c r="H412" s="45" t="s">
        <v>1129</v>
      </c>
      <c r="I412" s="56" t="s">
        <v>52</v>
      </c>
      <c r="J412" s="55" t="s">
        <v>384</v>
      </c>
      <c r="K412" s="55" t="s">
        <v>384</v>
      </c>
      <c r="L412" s="55" t="s">
        <v>54</v>
      </c>
      <c r="M412" s="55" t="s">
        <v>113</v>
      </c>
      <c r="N412" s="55" t="s">
        <v>55</v>
      </c>
      <c r="O412" s="55"/>
      <c r="P412" s="55" t="s">
        <v>385</v>
      </c>
      <c r="Q412" s="55" t="s">
        <v>5353</v>
      </c>
      <c r="R412" s="55"/>
      <c r="S412" s="56" t="s">
        <v>81</v>
      </c>
      <c r="T412" s="55" t="s">
        <v>81</v>
      </c>
      <c r="U412" s="57">
        <v>200</v>
      </c>
      <c r="V412" s="57" t="s">
        <v>101</v>
      </c>
      <c r="W412" s="55" t="s">
        <v>2319</v>
      </c>
      <c r="X412" s="54" t="s">
        <v>4421</v>
      </c>
      <c r="Y412" s="52"/>
      <c r="Z412" s="1" t="s">
        <v>61</v>
      </c>
      <c r="AA412" s="3" t="s">
        <v>1130</v>
      </c>
      <c r="AB412" s="3"/>
      <c r="AC412" s="3"/>
      <c r="AD412" s="3" t="s">
        <v>62</v>
      </c>
      <c r="AE412" s="3" t="s">
        <v>1131</v>
      </c>
      <c r="AF412" s="3"/>
      <c r="AG412" s="3" t="s">
        <v>1132</v>
      </c>
      <c r="AH412" s="58">
        <v>100</v>
      </c>
      <c r="AI412" s="3"/>
      <c r="AJ412" s="3"/>
      <c r="AK412" s="3"/>
      <c r="AL412" s="3"/>
      <c r="AM412" s="3"/>
      <c r="AN412" s="3"/>
      <c r="AO412" s="3"/>
      <c r="AP412" s="3"/>
      <c r="AQ412" s="3"/>
      <c r="AR412" s="3"/>
      <c r="AS412" s="3"/>
      <c r="AT412" s="3"/>
      <c r="AU412" s="3"/>
      <c r="AV412" s="3"/>
      <c r="AW412" s="3"/>
      <c r="AX412" s="3"/>
      <c r="AY412" s="3"/>
      <c r="AZ412" s="4" t="s">
        <v>1128</v>
      </c>
      <c r="BA412" s="3"/>
      <c r="BB412" s="1"/>
      <c r="BC412" s="1"/>
    </row>
    <row r="413" spans="1:55" s="78" customFormat="1" ht="15" customHeight="1" x14ac:dyDescent="0.25">
      <c r="A413" s="52" t="s">
        <v>4422</v>
      </c>
      <c r="B413" s="34" t="s">
        <v>59</v>
      </c>
      <c r="C413" s="53">
        <v>2026</v>
      </c>
      <c r="D413" s="53">
        <v>2026</v>
      </c>
      <c r="E413" s="54" t="s">
        <v>3188</v>
      </c>
      <c r="F413" s="55" t="s">
        <v>50</v>
      </c>
      <c r="G413" s="55" t="s">
        <v>50</v>
      </c>
      <c r="H413" s="45" t="s">
        <v>1134</v>
      </c>
      <c r="I413" s="61" t="s">
        <v>52</v>
      </c>
      <c r="J413" s="56"/>
      <c r="K413" s="55" t="s">
        <v>126</v>
      </c>
      <c r="L413" s="55"/>
      <c r="M413" s="55" t="s">
        <v>113</v>
      </c>
      <c r="N413" s="55" t="s">
        <v>127</v>
      </c>
      <c r="O413" s="55" t="s">
        <v>243</v>
      </c>
      <c r="P413" s="55" t="s">
        <v>89</v>
      </c>
      <c r="Q413" s="55" t="s">
        <v>89</v>
      </c>
      <c r="R413" s="55"/>
      <c r="S413" s="56" t="s">
        <v>58</v>
      </c>
      <c r="T413" s="55" t="s">
        <v>81</v>
      </c>
      <c r="U413" s="57">
        <v>900</v>
      </c>
      <c r="V413" s="57" t="s">
        <v>101</v>
      </c>
      <c r="W413" s="55" t="s">
        <v>2319</v>
      </c>
      <c r="X413" s="54" t="s">
        <v>4422</v>
      </c>
      <c r="Y413" s="52"/>
      <c r="Z413" s="3" t="s">
        <v>61</v>
      </c>
      <c r="AA413" s="3" t="s">
        <v>1135</v>
      </c>
      <c r="AB413" s="3"/>
      <c r="AC413" s="3"/>
      <c r="AD413" s="3" t="s">
        <v>62</v>
      </c>
      <c r="AE413" s="3" t="s">
        <v>115</v>
      </c>
      <c r="AF413" s="3"/>
      <c r="AG413" s="3" t="s">
        <v>1136</v>
      </c>
      <c r="AH413" s="58">
        <v>100</v>
      </c>
      <c r="AI413" s="3"/>
      <c r="AJ413" s="3"/>
      <c r="AK413" s="3"/>
      <c r="AL413" s="3"/>
      <c r="AM413" s="3"/>
      <c r="AN413" s="3"/>
      <c r="AO413" s="3"/>
      <c r="AP413" s="3"/>
      <c r="AQ413" s="3"/>
      <c r="AR413" s="3"/>
      <c r="AS413" s="3"/>
      <c r="AT413" s="3"/>
      <c r="AU413" s="3"/>
      <c r="AV413" s="3"/>
      <c r="AW413" s="3"/>
      <c r="AX413" s="3"/>
      <c r="AY413" s="3"/>
      <c r="AZ413" s="4" t="s">
        <v>1133</v>
      </c>
      <c r="BA413" s="3"/>
      <c r="BB413" s="1"/>
      <c r="BC413" s="1"/>
    </row>
    <row r="414" spans="1:55" s="78" customFormat="1" ht="15" customHeight="1" x14ac:dyDescent="0.25">
      <c r="A414" s="52" t="s">
        <v>4423</v>
      </c>
      <c r="B414" s="34" t="s">
        <v>59</v>
      </c>
      <c r="C414" s="53">
        <v>2026</v>
      </c>
      <c r="D414" s="53">
        <v>2026</v>
      </c>
      <c r="E414" s="54" t="s">
        <v>3188</v>
      </c>
      <c r="F414" s="55" t="s">
        <v>50</v>
      </c>
      <c r="G414" s="55" t="s">
        <v>50</v>
      </c>
      <c r="H414" s="45" t="s">
        <v>1134</v>
      </c>
      <c r="I414" s="61" t="s">
        <v>52</v>
      </c>
      <c r="J414" s="56"/>
      <c r="K414" s="55" t="s">
        <v>137</v>
      </c>
      <c r="L414" s="55" t="s">
        <v>54</v>
      </c>
      <c r="M414" s="55" t="s">
        <v>113</v>
      </c>
      <c r="N414" s="55" t="s">
        <v>243</v>
      </c>
      <c r="O414" s="55"/>
      <c r="P414" s="55" t="s">
        <v>89</v>
      </c>
      <c r="Q414" s="55" t="s">
        <v>89</v>
      </c>
      <c r="R414" s="55"/>
      <c r="S414" s="56" t="s">
        <v>58</v>
      </c>
      <c r="T414" s="55" t="s">
        <v>81</v>
      </c>
      <c r="U414" s="57">
        <v>900</v>
      </c>
      <c r="V414" s="57" t="s">
        <v>101</v>
      </c>
      <c r="W414" s="55" t="s">
        <v>2319</v>
      </c>
      <c r="X414" s="54" t="s">
        <v>4423</v>
      </c>
      <c r="Y414" s="52"/>
      <c r="Z414" s="3" t="s">
        <v>61</v>
      </c>
      <c r="AA414" s="3" t="s">
        <v>1135</v>
      </c>
      <c r="AB414" s="3"/>
      <c r="AC414" s="3"/>
      <c r="AD414" s="3" t="s">
        <v>62</v>
      </c>
      <c r="AE414" s="3" t="s">
        <v>115</v>
      </c>
      <c r="AF414" s="3"/>
      <c r="AG414" s="3" t="s">
        <v>1136</v>
      </c>
      <c r="AH414" s="58">
        <v>100</v>
      </c>
      <c r="AI414" s="3"/>
      <c r="AJ414" s="3"/>
      <c r="AK414" s="3"/>
      <c r="AL414" s="3"/>
      <c r="AM414" s="3"/>
      <c r="AN414" s="3"/>
      <c r="AO414" s="3"/>
      <c r="AP414" s="3"/>
      <c r="AQ414" s="3"/>
      <c r="AR414" s="3"/>
      <c r="AS414" s="3"/>
      <c r="AT414" s="3"/>
      <c r="AU414" s="3"/>
      <c r="AV414" s="3"/>
      <c r="AW414" s="3"/>
      <c r="AX414" s="3"/>
      <c r="AY414" s="3"/>
      <c r="AZ414" s="4" t="s">
        <v>1133</v>
      </c>
      <c r="BA414" s="3"/>
      <c r="BB414" s="1"/>
      <c r="BC414" s="1"/>
    </row>
    <row r="415" spans="1:55" s="78" customFormat="1" ht="15" customHeight="1" x14ac:dyDescent="0.25">
      <c r="A415" s="52" t="s">
        <v>4424</v>
      </c>
      <c r="B415" s="34" t="s">
        <v>59</v>
      </c>
      <c r="C415" s="53">
        <v>2026</v>
      </c>
      <c r="D415" s="53">
        <v>2026</v>
      </c>
      <c r="E415" s="54" t="s">
        <v>3189</v>
      </c>
      <c r="F415" s="55" t="s">
        <v>50</v>
      </c>
      <c r="G415" s="55" t="s">
        <v>50</v>
      </c>
      <c r="H415" s="45" t="s">
        <v>1137</v>
      </c>
      <c r="I415" s="45" t="s">
        <v>52</v>
      </c>
      <c r="J415" s="56" t="s">
        <v>165</v>
      </c>
      <c r="K415" s="56" t="s">
        <v>166</v>
      </c>
      <c r="L415" s="55"/>
      <c r="M415" s="55"/>
      <c r="N415" s="56" t="s">
        <v>167</v>
      </c>
      <c r="O415" s="56"/>
      <c r="P415" s="56" t="s">
        <v>89</v>
      </c>
      <c r="Q415" s="56" t="s">
        <v>89</v>
      </c>
      <c r="R415" s="55"/>
      <c r="S415" s="56" t="s">
        <v>81</v>
      </c>
      <c r="T415" s="55" t="s">
        <v>81</v>
      </c>
      <c r="U415" s="57">
        <v>-999</v>
      </c>
      <c r="V415" s="57" t="s">
        <v>59</v>
      </c>
      <c r="W415" s="55" t="s">
        <v>2319</v>
      </c>
      <c r="X415" s="54" t="s">
        <v>4424</v>
      </c>
      <c r="Y415" s="52"/>
      <c r="Z415" s="1" t="s">
        <v>61</v>
      </c>
      <c r="AA415" s="1" t="s">
        <v>1138</v>
      </c>
      <c r="AB415" s="1"/>
      <c r="AC415" s="1"/>
      <c r="AD415" s="3" t="s">
        <v>62</v>
      </c>
      <c r="AE415" s="3" t="s">
        <v>131</v>
      </c>
      <c r="AF415" s="3" t="s">
        <v>973</v>
      </c>
      <c r="AG415" s="3" t="s">
        <v>170</v>
      </c>
      <c r="AH415" s="58">
        <v>100</v>
      </c>
      <c r="AI415" s="1"/>
      <c r="AJ415" s="1"/>
      <c r="AK415" s="1"/>
      <c r="AL415" s="1"/>
      <c r="AM415" s="1"/>
      <c r="AN415" s="1"/>
      <c r="AO415" s="1"/>
      <c r="AP415" s="1"/>
      <c r="AQ415" s="1"/>
      <c r="AR415" s="1"/>
      <c r="AS415" s="1"/>
      <c r="AT415" s="1"/>
      <c r="AU415" s="1"/>
      <c r="AV415" s="1"/>
      <c r="AW415" s="1"/>
      <c r="AX415" s="1"/>
      <c r="AY415" s="1"/>
      <c r="AZ415" s="4" t="s">
        <v>163</v>
      </c>
      <c r="BA415" s="1"/>
      <c r="BB415" s="1"/>
      <c r="BC415" s="1"/>
    </row>
    <row r="416" spans="1:55" s="78" customFormat="1" ht="15" customHeight="1" x14ac:dyDescent="0.25">
      <c r="A416" s="52" t="s">
        <v>4425</v>
      </c>
      <c r="B416" s="34" t="s">
        <v>59</v>
      </c>
      <c r="C416" s="53">
        <v>2026</v>
      </c>
      <c r="D416" s="53">
        <v>2026</v>
      </c>
      <c r="E416" s="54" t="s">
        <v>3190</v>
      </c>
      <c r="F416" s="55" t="s">
        <v>50</v>
      </c>
      <c r="G416" s="55" t="s">
        <v>50</v>
      </c>
      <c r="H416" s="45" t="s">
        <v>1139</v>
      </c>
      <c r="I416" s="45" t="s">
        <v>52</v>
      </c>
      <c r="J416" s="56"/>
      <c r="K416" s="45" t="s">
        <v>859</v>
      </c>
      <c r="L416" s="55"/>
      <c r="M416" s="55"/>
      <c r="N416" s="55" t="s">
        <v>55</v>
      </c>
      <c r="O416" s="55" t="s">
        <v>1140</v>
      </c>
      <c r="P416" s="55" t="s">
        <v>861</v>
      </c>
      <c r="Q416" s="56" t="s">
        <v>57</v>
      </c>
      <c r="R416" s="55"/>
      <c r="S416" s="56" t="s">
        <v>81</v>
      </c>
      <c r="T416" s="55" t="s">
        <v>81</v>
      </c>
      <c r="U416" s="57">
        <v>-999</v>
      </c>
      <c r="V416" s="57" t="s">
        <v>59</v>
      </c>
      <c r="W416" s="55" t="s">
        <v>2319</v>
      </c>
      <c r="X416" s="54" t="s">
        <v>4425</v>
      </c>
      <c r="Y416" s="52"/>
      <c r="Z416" s="3" t="s">
        <v>61</v>
      </c>
      <c r="AA416" s="3" t="s">
        <v>990</v>
      </c>
      <c r="AB416" s="3"/>
      <c r="AC416" s="3"/>
      <c r="AD416" s="3" t="s">
        <v>62</v>
      </c>
      <c r="AE416" s="3" t="s">
        <v>83</v>
      </c>
      <c r="AF416" s="3"/>
      <c r="AG416" s="3" t="s">
        <v>1141</v>
      </c>
      <c r="AH416" s="58">
        <v>100</v>
      </c>
      <c r="AI416" s="3"/>
      <c r="AJ416" s="3"/>
      <c r="AK416" s="3"/>
      <c r="AL416" s="3"/>
      <c r="AM416" s="3"/>
      <c r="AN416" s="3"/>
      <c r="AO416" s="3"/>
      <c r="AP416" s="3"/>
      <c r="AQ416" s="3"/>
      <c r="AR416" s="3"/>
      <c r="AS416" s="3"/>
      <c r="AT416" s="3"/>
      <c r="AU416" s="3"/>
      <c r="AV416" s="3"/>
      <c r="AW416" s="3"/>
      <c r="AX416" s="3"/>
      <c r="AY416" s="3"/>
      <c r="AZ416" s="4" t="s">
        <v>857</v>
      </c>
      <c r="BA416" s="3"/>
      <c r="BB416" s="1"/>
      <c r="BC416" s="1"/>
    </row>
    <row r="417" spans="1:55" s="78" customFormat="1" ht="15" customHeight="1" x14ac:dyDescent="0.25">
      <c r="A417" s="52" t="s">
        <v>4426</v>
      </c>
      <c r="B417" s="34" t="s">
        <v>59</v>
      </c>
      <c r="C417" s="53">
        <v>2026</v>
      </c>
      <c r="D417" s="53">
        <v>2026</v>
      </c>
      <c r="E417" s="54" t="s">
        <v>3191</v>
      </c>
      <c r="F417" s="55" t="s">
        <v>50</v>
      </c>
      <c r="G417" s="55" t="s">
        <v>50</v>
      </c>
      <c r="H417" s="45" t="s">
        <v>1143</v>
      </c>
      <c r="I417" s="56" t="s">
        <v>78</v>
      </c>
      <c r="J417" s="56"/>
      <c r="K417" s="56" t="s">
        <v>53</v>
      </c>
      <c r="L417" s="55" t="str">
        <f>IF(K417="Mine or Quarry","Mine","")</f>
        <v/>
      </c>
      <c r="M417" s="55"/>
      <c r="N417" s="56" t="s">
        <v>110</v>
      </c>
      <c r="O417" s="56"/>
      <c r="P417" s="55" t="s">
        <v>56</v>
      </c>
      <c r="Q417" s="55" t="s">
        <v>57</v>
      </c>
      <c r="R417" s="55"/>
      <c r="S417" s="56" t="s">
        <v>58</v>
      </c>
      <c r="T417" s="55" t="str">
        <f>IF(ISNUMBER(SEARCH(",",N417)),"Y","N")</f>
        <v>N</v>
      </c>
      <c r="U417" s="57">
        <v>-999</v>
      </c>
      <c r="V417" s="57" t="s">
        <v>59</v>
      </c>
      <c r="W417" s="55" t="s">
        <v>2319</v>
      </c>
      <c r="X417" s="54" t="s">
        <v>4426</v>
      </c>
      <c r="Y417" s="60"/>
      <c r="Z417" s="1" t="s">
        <v>61</v>
      </c>
      <c r="AA417" s="1" t="s">
        <v>1144</v>
      </c>
      <c r="AB417" s="1"/>
      <c r="AC417" s="1"/>
      <c r="AD417" s="3" t="s">
        <v>62</v>
      </c>
      <c r="AE417" s="3" t="s">
        <v>524</v>
      </c>
      <c r="AF417" s="1" t="s">
        <v>585</v>
      </c>
      <c r="AG417" s="1" t="s">
        <v>586</v>
      </c>
      <c r="AH417" s="2">
        <v>100</v>
      </c>
      <c r="AI417" s="1"/>
      <c r="AJ417" s="1"/>
      <c r="AK417" s="1"/>
      <c r="AL417" s="1"/>
      <c r="AM417" s="1"/>
      <c r="AN417" s="1"/>
      <c r="AO417" s="1"/>
      <c r="AP417" s="1"/>
      <c r="AQ417" s="1"/>
      <c r="AR417" s="1"/>
      <c r="AS417" s="1"/>
      <c r="AT417" s="1"/>
      <c r="AU417" s="1"/>
      <c r="AV417" s="1"/>
      <c r="AW417" s="1"/>
      <c r="AX417" s="1"/>
      <c r="AY417" s="1"/>
      <c r="AZ417" s="4" t="s">
        <v>1142</v>
      </c>
      <c r="BA417" s="1"/>
      <c r="BB417" s="1"/>
      <c r="BC417" s="1"/>
    </row>
    <row r="418" spans="1:55" s="78" customFormat="1" ht="15" customHeight="1" x14ac:dyDescent="0.25">
      <c r="A418" s="52" t="s">
        <v>4427</v>
      </c>
      <c r="B418" s="34" t="s">
        <v>59</v>
      </c>
      <c r="C418" s="53">
        <v>2026</v>
      </c>
      <c r="D418" s="53">
        <v>2026</v>
      </c>
      <c r="E418" s="54" t="s">
        <v>3191</v>
      </c>
      <c r="F418" s="55" t="s">
        <v>50</v>
      </c>
      <c r="G418" s="55" t="s">
        <v>50</v>
      </c>
      <c r="H418" s="45" t="s">
        <v>1143</v>
      </c>
      <c r="I418" s="56" t="s">
        <v>78</v>
      </c>
      <c r="J418" s="56"/>
      <c r="K418" s="56" t="s">
        <v>74</v>
      </c>
      <c r="L418" s="55" t="str">
        <f>IF(K418="Mines and Quarries","Mine","")</f>
        <v/>
      </c>
      <c r="M418" s="55"/>
      <c r="N418" s="56" t="s">
        <v>110</v>
      </c>
      <c r="O418" s="56"/>
      <c r="P418" s="55" t="s">
        <v>75</v>
      </c>
      <c r="Q418" s="56" t="s">
        <v>57</v>
      </c>
      <c r="R418" s="55"/>
      <c r="S418" s="56" t="s">
        <v>58</v>
      </c>
      <c r="T418" s="55" t="str">
        <f>IF(ISNUMBER(SEARCH(",",N418)),"Y","N")</f>
        <v>N</v>
      </c>
      <c r="U418" s="57">
        <v>-999</v>
      </c>
      <c r="V418" s="57" t="s">
        <v>59</v>
      </c>
      <c r="W418" s="55" t="s">
        <v>2319</v>
      </c>
      <c r="X418" s="54" t="s">
        <v>4427</v>
      </c>
      <c r="Y418" s="60"/>
      <c r="Z418" s="1" t="s">
        <v>61</v>
      </c>
      <c r="AA418" s="1" t="s">
        <v>584</v>
      </c>
      <c r="AB418" s="1"/>
      <c r="AC418" s="1"/>
      <c r="AD418" s="3" t="s">
        <v>62</v>
      </c>
      <c r="AE418" s="1" t="s">
        <v>524</v>
      </c>
      <c r="AF418" s="1" t="s">
        <v>585</v>
      </c>
      <c r="AG418" s="1" t="s">
        <v>586</v>
      </c>
      <c r="AH418" s="58">
        <v>100</v>
      </c>
      <c r="AI418" s="1"/>
      <c r="AJ418" s="1"/>
      <c r="AK418" s="1"/>
      <c r="AL418" s="1"/>
      <c r="AM418" s="1"/>
      <c r="AN418" s="1"/>
      <c r="AO418" s="1"/>
      <c r="AP418" s="1"/>
      <c r="AQ418" s="1"/>
      <c r="AR418" s="1"/>
      <c r="AS418" s="1"/>
      <c r="AT418" s="1"/>
      <c r="AU418" s="1"/>
      <c r="AV418" s="1"/>
      <c r="AW418" s="1"/>
      <c r="AX418" s="1"/>
      <c r="AY418" s="1"/>
      <c r="AZ418" s="5" t="s">
        <v>587</v>
      </c>
      <c r="BA418" s="5"/>
      <c r="BB418" s="1"/>
      <c r="BC418" s="1"/>
    </row>
    <row r="419" spans="1:55" s="78" customFormat="1" ht="15" customHeight="1" x14ac:dyDescent="0.25">
      <c r="A419" s="52" t="s">
        <v>4428</v>
      </c>
      <c r="B419" s="34" t="s">
        <v>59</v>
      </c>
      <c r="C419" s="53">
        <v>2026</v>
      </c>
      <c r="D419" s="53">
        <v>2026</v>
      </c>
      <c r="E419" s="54" t="s">
        <v>3191</v>
      </c>
      <c r="F419" s="55" t="s">
        <v>50</v>
      </c>
      <c r="G419" s="55" t="s">
        <v>50</v>
      </c>
      <c r="H419" s="45" t="s">
        <v>1143</v>
      </c>
      <c r="I419" s="56" t="s">
        <v>78</v>
      </c>
      <c r="J419" s="56"/>
      <c r="K419" s="56" t="s">
        <v>313</v>
      </c>
      <c r="L419" s="56" t="s">
        <v>88</v>
      </c>
      <c r="M419" s="55"/>
      <c r="N419" s="56" t="s">
        <v>110</v>
      </c>
      <c r="O419" s="56"/>
      <c r="P419" s="61" t="s">
        <v>314</v>
      </c>
      <c r="Q419" s="61" t="s">
        <v>57</v>
      </c>
      <c r="R419" s="55"/>
      <c r="S419" s="56" t="s">
        <v>58</v>
      </c>
      <c r="T419" s="55" t="str">
        <f>IF(ISNUMBER(SEARCH(",",N419)),"Y","N")</f>
        <v>N</v>
      </c>
      <c r="U419" s="57">
        <v>-999</v>
      </c>
      <c r="V419" s="57" t="s">
        <v>59</v>
      </c>
      <c r="W419" s="55" t="s">
        <v>2319</v>
      </c>
      <c r="X419" s="54" t="s">
        <v>4428</v>
      </c>
      <c r="Y419" s="60"/>
      <c r="Z419" s="1" t="s">
        <v>61</v>
      </c>
      <c r="AA419" s="1" t="s">
        <v>1144</v>
      </c>
      <c r="AB419" s="1"/>
      <c r="AC419" s="1"/>
      <c r="AD419" s="3" t="s">
        <v>62</v>
      </c>
      <c r="AE419" s="1" t="s">
        <v>524</v>
      </c>
      <c r="AF419" s="1" t="s">
        <v>585</v>
      </c>
      <c r="AG419" s="1" t="s">
        <v>586</v>
      </c>
      <c r="AH419" s="2">
        <v>100</v>
      </c>
      <c r="AI419" s="1"/>
      <c r="AJ419" s="1"/>
      <c r="AK419" s="1"/>
      <c r="AL419" s="1"/>
      <c r="AM419" s="1"/>
      <c r="AN419" s="1"/>
      <c r="AO419" s="1"/>
      <c r="AP419" s="1"/>
      <c r="AQ419" s="1"/>
      <c r="AR419" s="1"/>
      <c r="AS419" s="1"/>
      <c r="AT419" s="1"/>
      <c r="AU419" s="1"/>
      <c r="AV419" s="1"/>
      <c r="AW419" s="1"/>
      <c r="AX419" s="1"/>
      <c r="AY419" s="1"/>
      <c r="AZ419" s="5" t="s">
        <v>587</v>
      </c>
      <c r="BA419" s="1"/>
      <c r="BB419" s="1"/>
      <c r="BC419" s="1"/>
    </row>
    <row r="420" spans="1:55" s="78" customFormat="1" ht="15" customHeight="1" x14ac:dyDescent="0.25">
      <c r="A420" s="52" t="s">
        <v>4429</v>
      </c>
      <c r="B420" s="34" t="s">
        <v>59</v>
      </c>
      <c r="C420" s="53">
        <v>2026</v>
      </c>
      <c r="D420" s="53">
        <v>2026</v>
      </c>
      <c r="E420" s="54" t="s">
        <v>3191</v>
      </c>
      <c r="F420" s="55" t="s">
        <v>50</v>
      </c>
      <c r="G420" s="55" t="s">
        <v>50</v>
      </c>
      <c r="H420" s="45" t="s">
        <v>1143</v>
      </c>
      <c r="I420" s="56" t="s">
        <v>78</v>
      </c>
      <c r="J420" s="56"/>
      <c r="K420" s="56" t="s">
        <v>582</v>
      </c>
      <c r="L420" s="55" t="s">
        <v>88</v>
      </c>
      <c r="M420" s="55"/>
      <c r="N420" s="56" t="s">
        <v>110</v>
      </c>
      <c r="O420" s="56"/>
      <c r="P420" s="61" t="s">
        <v>583</v>
      </c>
      <c r="Q420" s="61" t="s">
        <v>57</v>
      </c>
      <c r="R420" s="55"/>
      <c r="S420" s="56" t="s">
        <v>58</v>
      </c>
      <c r="T420" s="55" t="str">
        <f>IF(ISNUMBER(SEARCH(",",N420)),"Y","N")</f>
        <v>N</v>
      </c>
      <c r="U420" s="57">
        <v>-999</v>
      </c>
      <c r="V420" s="57" t="s">
        <v>59</v>
      </c>
      <c r="W420" s="55" t="s">
        <v>2319</v>
      </c>
      <c r="X420" s="54" t="s">
        <v>4429</v>
      </c>
      <c r="Y420" s="60"/>
      <c r="Z420" s="1" t="s">
        <v>61</v>
      </c>
      <c r="AA420" s="1" t="s">
        <v>584</v>
      </c>
      <c r="AB420" s="1"/>
      <c r="AC420" s="1"/>
      <c r="AD420" s="3" t="s">
        <v>62</v>
      </c>
      <c r="AE420" s="3" t="s">
        <v>524</v>
      </c>
      <c r="AF420" s="1" t="s">
        <v>585</v>
      </c>
      <c r="AG420" s="1" t="s">
        <v>586</v>
      </c>
      <c r="AH420" s="58">
        <v>100</v>
      </c>
      <c r="AI420" s="1"/>
      <c r="AJ420" s="1"/>
      <c r="AK420" s="1"/>
      <c r="AL420" s="1"/>
      <c r="AM420" s="1"/>
      <c r="AN420" s="1"/>
      <c r="AO420" s="1"/>
      <c r="AP420" s="1"/>
      <c r="AQ420" s="1"/>
      <c r="AR420" s="1"/>
      <c r="AS420" s="1"/>
      <c r="AT420" s="1"/>
      <c r="AU420" s="1"/>
      <c r="AV420" s="1"/>
      <c r="AW420" s="1"/>
      <c r="AX420" s="1"/>
      <c r="AY420" s="1"/>
      <c r="AZ420" s="1" t="s">
        <v>587</v>
      </c>
      <c r="BA420" s="5"/>
      <c r="BB420" s="1"/>
      <c r="BC420" s="1"/>
    </row>
    <row r="421" spans="1:55" s="78" customFormat="1" ht="15" customHeight="1" x14ac:dyDescent="0.25">
      <c r="A421" s="52" t="s">
        <v>4430</v>
      </c>
      <c r="B421" s="34" t="s">
        <v>59</v>
      </c>
      <c r="C421" s="53">
        <v>2026</v>
      </c>
      <c r="D421" s="53">
        <v>2026</v>
      </c>
      <c r="E421" s="54" t="s">
        <v>3191</v>
      </c>
      <c r="F421" s="55" t="s">
        <v>50</v>
      </c>
      <c r="G421" s="55" t="s">
        <v>50</v>
      </c>
      <c r="H421" s="45" t="s">
        <v>1143</v>
      </c>
      <c r="I421" s="56" t="s">
        <v>78</v>
      </c>
      <c r="J421" s="56"/>
      <c r="K421" s="56" t="s">
        <v>71</v>
      </c>
      <c r="L421" s="55" t="str">
        <f>IF(K421="Mine or Quarry","Mine","")</f>
        <v/>
      </c>
      <c r="M421" s="55"/>
      <c r="N421" s="56" t="s">
        <v>110</v>
      </c>
      <c r="O421" s="56"/>
      <c r="P421" s="55" t="s">
        <v>73</v>
      </c>
      <c r="Q421" s="55" t="s">
        <v>57</v>
      </c>
      <c r="R421" s="55"/>
      <c r="S421" s="56" t="s">
        <v>58</v>
      </c>
      <c r="T421" s="55" t="str">
        <f>IF(ISNUMBER(SEARCH(",",N421)),"Y","N")</f>
        <v>N</v>
      </c>
      <c r="U421" s="57">
        <v>-999</v>
      </c>
      <c r="V421" s="57" t="s">
        <v>59</v>
      </c>
      <c r="W421" s="55" t="s">
        <v>2319</v>
      </c>
      <c r="X421" s="54" t="s">
        <v>4430</v>
      </c>
      <c r="Y421" s="60"/>
      <c r="Z421" s="1" t="s">
        <v>61</v>
      </c>
      <c r="AA421" s="65" t="s">
        <v>584</v>
      </c>
      <c r="AB421" s="65"/>
      <c r="AC421" s="65"/>
      <c r="AD421" s="3" t="s">
        <v>62</v>
      </c>
      <c r="AE421" s="1" t="s">
        <v>524</v>
      </c>
      <c r="AF421" s="1" t="s">
        <v>585</v>
      </c>
      <c r="AG421" s="1" t="s">
        <v>586</v>
      </c>
      <c r="AH421" s="2">
        <v>100</v>
      </c>
      <c r="AI421" s="1"/>
      <c r="AJ421" s="1"/>
      <c r="AK421" s="1"/>
      <c r="AL421" s="1"/>
      <c r="AM421" s="1"/>
      <c r="AN421" s="1"/>
      <c r="AO421" s="1"/>
      <c r="AP421" s="1"/>
      <c r="AQ421" s="1"/>
      <c r="AR421" s="1"/>
      <c r="AS421" s="1"/>
      <c r="AT421" s="1"/>
      <c r="AU421" s="1"/>
      <c r="AV421" s="1"/>
      <c r="AW421" s="1"/>
      <c r="AX421" s="1"/>
      <c r="AY421" s="1"/>
      <c r="AZ421" s="5" t="s">
        <v>587</v>
      </c>
      <c r="BA421" s="5"/>
      <c r="BB421" s="1"/>
      <c r="BC421" s="1"/>
    </row>
    <row r="422" spans="1:55" s="78" customFormat="1" ht="15" customHeight="1" x14ac:dyDescent="0.25">
      <c r="A422" s="52" t="s">
        <v>4431</v>
      </c>
      <c r="B422" s="34" t="s">
        <v>59</v>
      </c>
      <c r="C422" s="53">
        <v>2026</v>
      </c>
      <c r="D422" s="53">
        <v>2026</v>
      </c>
      <c r="E422" s="54" t="s">
        <v>3192</v>
      </c>
      <c r="F422" s="55" t="s">
        <v>50</v>
      </c>
      <c r="G422" s="55" t="s">
        <v>50</v>
      </c>
      <c r="H422" s="45" t="s">
        <v>1145</v>
      </c>
      <c r="I422" s="56" t="s">
        <v>78</v>
      </c>
      <c r="J422" s="56"/>
      <c r="K422" s="55" t="s">
        <v>53</v>
      </c>
      <c r="L422" s="55"/>
      <c r="M422" s="55"/>
      <c r="N422" s="56" t="s">
        <v>5386</v>
      </c>
      <c r="O422" s="55"/>
      <c r="P422" s="55" t="s">
        <v>56</v>
      </c>
      <c r="Q422" s="55" t="s">
        <v>57</v>
      </c>
      <c r="R422" s="55"/>
      <c r="S422" s="56" t="s">
        <v>81</v>
      </c>
      <c r="T422" s="55" t="s">
        <v>81</v>
      </c>
      <c r="U422" s="57">
        <v>39000</v>
      </c>
      <c r="V422" s="57" t="s">
        <v>101</v>
      </c>
      <c r="W422" s="55"/>
      <c r="X422" s="54" t="s">
        <v>4431</v>
      </c>
      <c r="Y422" s="52"/>
      <c r="Z422" s="3" t="s">
        <v>61</v>
      </c>
      <c r="AA422" s="3" t="s">
        <v>1146</v>
      </c>
      <c r="AB422" s="3"/>
      <c r="AC422" s="3"/>
      <c r="AD422" s="3" t="s">
        <v>62</v>
      </c>
      <c r="AE422" s="3" t="s">
        <v>108</v>
      </c>
      <c r="AF422" s="3" t="s">
        <v>1147</v>
      </c>
      <c r="AG422" s="3" t="s">
        <v>1148</v>
      </c>
      <c r="AH422" s="53">
        <v>90</v>
      </c>
      <c r="AI422" s="1" t="s">
        <v>1149</v>
      </c>
      <c r="AJ422" s="59">
        <v>10</v>
      </c>
      <c r="AK422" s="3"/>
      <c r="AL422" s="3"/>
      <c r="AM422" s="3"/>
      <c r="AN422" s="3"/>
      <c r="AO422" s="3"/>
      <c r="AP422" s="3"/>
      <c r="AQ422" s="3"/>
      <c r="AR422" s="3"/>
      <c r="AS422" s="3"/>
      <c r="AT422" s="3"/>
      <c r="AU422" s="3"/>
      <c r="AV422" s="3"/>
      <c r="AW422" s="3"/>
      <c r="AX422" s="3"/>
      <c r="AY422" s="3"/>
      <c r="AZ422" s="4" t="s">
        <v>3860</v>
      </c>
      <c r="BA422" s="3" t="s">
        <v>3861</v>
      </c>
      <c r="BB422" s="1"/>
      <c r="BC422" s="1"/>
    </row>
    <row r="423" spans="1:55" s="78" customFormat="1" ht="15" customHeight="1" x14ac:dyDescent="0.25">
      <c r="A423" s="52" t="s">
        <v>4432</v>
      </c>
      <c r="B423" s="34" t="s">
        <v>59</v>
      </c>
      <c r="C423" s="53">
        <v>2026</v>
      </c>
      <c r="D423" s="53">
        <v>2026</v>
      </c>
      <c r="E423" s="54" t="s">
        <v>3193</v>
      </c>
      <c r="F423" s="55" t="s">
        <v>50</v>
      </c>
      <c r="G423" s="55" t="s">
        <v>50</v>
      </c>
      <c r="H423" s="45" t="s">
        <v>1150</v>
      </c>
      <c r="I423" s="45" t="s">
        <v>52</v>
      </c>
      <c r="J423" s="56"/>
      <c r="K423" s="56" t="s">
        <v>53</v>
      </c>
      <c r="L423" s="55" t="str">
        <f>IF(K423="Mine or Quarry","Mine","")</f>
        <v/>
      </c>
      <c r="M423" s="55"/>
      <c r="N423" s="55" t="s">
        <v>327</v>
      </c>
      <c r="O423" s="56"/>
      <c r="P423" s="55" t="s">
        <v>56</v>
      </c>
      <c r="Q423" s="55" t="s">
        <v>57</v>
      </c>
      <c r="R423" s="55"/>
      <c r="S423" s="56" t="s">
        <v>81</v>
      </c>
      <c r="T423" s="55" t="str">
        <f t="shared" ref="T423:T428" si="6">IF(ISNUMBER(SEARCH(",",N423)),"Y","N")</f>
        <v>N</v>
      </c>
      <c r="U423" s="57">
        <v>39000</v>
      </c>
      <c r="V423" s="57" t="s">
        <v>101</v>
      </c>
      <c r="W423" s="55"/>
      <c r="X423" s="54" t="s">
        <v>4432</v>
      </c>
      <c r="Y423" s="52"/>
      <c r="Z423" s="2" t="s">
        <v>61</v>
      </c>
      <c r="AA423" s="1" t="s">
        <v>1146</v>
      </c>
      <c r="AB423" s="1"/>
      <c r="AC423" s="1"/>
      <c r="AD423" s="3" t="s">
        <v>62</v>
      </c>
      <c r="AE423" s="2" t="s">
        <v>108</v>
      </c>
      <c r="AF423" s="3" t="s">
        <v>1147</v>
      </c>
      <c r="AG423" s="3" t="s">
        <v>1148</v>
      </c>
      <c r="AH423" s="53">
        <v>90</v>
      </c>
      <c r="AI423" s="1" t="s">
        <v>1149</v>
      </c>
      <c r="AJ423" s="59">
        <v>10</v>
      </c>
      <c r="AK423" s="1"/>
      <c r="AL423" s="60"/>
      <c r="AM423" s="1"/>
      <c r="AN423" s="60"/>
      <c r="AO423" s="1"/>
      <c r="AP423" s="60"/>
      <c r="AQ423" s="1"/>
      <c r="AR423" s="60"/>
      <c r="AS423" s="1"/>
      <c r="AT423" s="60"/>
      <c r="AU423" s="1"/>
      <c r="AV423" s="60"/>
      <c r="AW423" s="1"/>
      <c r="AX423" s="60"/>
      <c r="AY423" s="1"/>
      <c r="AZ423" s="4" t="s">
        <v>3860</v>
      </c>
      <c r="BA423" s="1" t="s">
        <v>3861</v>
      </c>
      <c r="BB423" s="1"/>
      <c r="BC423" s="1"/>
    </row>
    <row r="424" spans="1:55" s="78" customFormat="1" ht="15" customHeight="1" x14ac:dyDescent="0.25">
      <c r="A424" s="52" t="s">
        <v>4433</v>
      </c>
      <c r="B424" s="34" t="s">
        <v>59</v>
      </c>
      <c r="C424" s="53">
        <v>2026</v>
      </c>
      <c r="D424" s="53">
        <v>2026</v>
      </c>
      <c r="E424" s="54" t="s">
        <v>3194</v>
      </c>
      <c r="F424" s="55" t="s">
        <v>50</v>
      </c>
      <c r="G424" s="55" t="s">
        <v>50</v>
      </c>
      <c r="H424" s="45" t="s">
        <v>1151</v>
      </c>
      <c r="I424" s="56" t="s">
        <v>52</v>
      </c>
      <c r="J424" s="56"/>
      <c r="K424" s="56" t="s">
        <v>582</v>
      </c>
      <c r="L424" s="55" t="s">
        <v>317</v>
      </c>
      <c r="M424" s="55" t="s">
        <v>113</v>
      </c>
      <c r="N424" s="56" t="s">
        <v>141</v>
      </c>
      <c r="O424" s="56"/>
      <c r="P424" s="61" t="s">
        <v>583</v>
      </c>
      <c r="Q424" s="61" t="s">
        <v>57</v>
      </c>
      <c r="R424" s="55"/>
      <c r="S424" s="56" t="s">
        <v>81</v>
      </c>
      <c r="T424" s="55" t="str">
        <f t="shared" si="6"/>
        <v>N</v>
      </c>
      <c r="U424" s="57">
        <v>132000</v>
      </c>
      <c r="V424" s="57" t="s">
        <v>101</v>
      </c>
      <c r="W424" s="55" t="s">
        <v>2319</v>
      </c>
      <c r="X424" s="54" t="s">
        <v>4433</v>
      </c>
      <c r="Y424" s="52"/>
      <c r="Z424" s="1" t="s">
        <v>2005</v>
      </c>
      <c r="AA424" s="1" t="s">
        <v>1152</v>
      </c>
      <c r="AB424" s="1"/>
      <c r="AC424" s="1"/>
      <c r="AD424" s="3" t="s">
        <v>62</v>
      </c>
      <c r="AE424" s="1" t="s">
        <v>353</v>
      </c>
      <c r="AF424" s="1" t="s">
        <v>1153</v>
      </c>
      <c r="AG424" s="1" t="s">
        <v>1154</v>
      </c>
      <c r="AH424" s="2">
        <v>100</v>
      </c>
      <c r="AI424" s="1"/>
      <c r="AJ424" s="1"/>
      <c r="AK424" s="1"/>
      <c r="AL424" s="1"/>
      <c r="AM424" s="1"/>
      <c r="AN424" s="1"/>
      <c r="AO424" s="1"/>
      <c r="AP424" s="1"/>
      <c r="AQ424" s="1"/>
      <c r="AR424" s="1"/>
      <c r="AS424" s="1"/>
      <c r="AT424" s="1"/>
      <c r="AU424" s="1"/>
      <c r="AV424" s="1"/>
      <c r="AW424" s="1"/>
      <c r="AX424" s="1"/>
      <c r="AY424" s="1"/>
      <c r="AZ424" s="4" t="s">
        <v>582</v>
      </c>
      <c r="BA424" s="1"/>
      <c r="BB424" s="1"/>
      <c r="BC424" s="1"/>
    </row>
    <row r="425" spans="1:55" s="78" customFormat="1" ht="15" customHeight="1" x14ac:dyDescent="0.25">
      <c r="A425" s="52" t="s">
        <v>4434</v>
      </c>
      <c r="B425" s="34" t="s">
        <v>59</v>
      </c>
      <c r="C425" s="53">
        <v>2026</v>
      </c>
      <c r="D425" s="53">
        <v>2026</v>
      </c>
      <c r="E425" s="54" t="s">
        <v>3195</v>
      </c>
      <c r="F425" s="55" t="s">
        <v>50</v>
      </c>
      <c r="G425" s="55" t="s">
        <v>50</v>
      </c>
      <c r="H425" s="45" t="s">
        <v>1156</v>
      </c>
      <c r="I425" s="56" t="s">
        <v>78</v>
      </c>
      <c r="J425" s="56"/>
      <c r="K425" s="56" t="s">
        <v>71</v>
      </c>
      <c r="L425" s="55" t="str">
        <f>IF(K425="Mine or Quarry","Mine","")</f>
        <v/>
      </c>
      <c r="M425" s="55"/>
      <c r="N425" s="56" t="s">
        <v>181</v>
      </c>
      <c r="O425" s="56"/>
      <c r="P425" s="55" t="s">
        <v>73</v>
      </c>
      <c r="Q425" s="55" t="s">
        <v>57</v>
      </c>
      <c r="R425" s="55"/>
      <c r="S425" s="56" t="s">
        <v>58</v>
      </c>
      <c r="T425" s="55" t="str">
        <f t="shared" si="6"/>
        <v>N</v>
      </c>
      <c r="U425" s="57">
        <v>-999</v>
      </c>
      <c r="V425" s="57" t="s">
        <v>59</v>
      </c>
      <c r="W425" s="55" t="s">
        <v>2797</v>
      </c>
      <c r="X425" s="54" t="s">
        <v>4434</v>
      </c>
      <c r="Y425" s="52"/>
      <c r="Z425" s="1" t="s">
        <v>61</v>
      </c>
      <c r="AA425" s="1" t="s">
        <v>1157</v>
      </c>
      <c r="AB425" s="1"/>
      <c r="AC425" s="1"/>
      <c r="AD425" s="3" t="s">
        <v>62</v>
      </c>
      <c r="AE425" s="1" t="s">
        <v>83</v>
      </c>
      <c r="AF425" s="1" t="s">
        <v>980</v>
      </c>
      <c r="AG425" s="1" t="s">
        <v>980</v>
      </c>
      <c r="AH425" s="59">
        <v>100</v>
      </c>
      <c r="AI425" s="1"/>
      <c r="AJ425" s="59"/>
      <c r="AK425" s="1"/>
      <c r="AL425" s="59"/>
      <c r="AM425" s="1"/>
      <c r="AN425" s="59"/>
      <c r="AO425" s="1"/>
      <c r="AP425" s="59"/>
      <c r="AQ425" s="1"/>
      <c r="AR425" s="59"/>
      <c r="AS425" s="1"/>
      <c r="AT425" s="59"/>
      <c r="AU425" s="1"/>
      <c r="AV425" s="59"/>
      <c r="AW425" s="1"/>
      <c r="AX425" s="59"/>
      <c r="AY425" s="1"/>
      <c r="AZ425" s="5" t="s">
        <v>1155</v>
      </c>
      <c r="BA425" s="5"/>
      <c r="BB425" s="1"/>
      <c r="BC425" s="1"/>
    </row>
    <row r="426" spans="1:55" s="78" customFormat="1" ht="15" customHeight="1" x14ac:dyDescent="0.25">
      <c r="A426" s="52" t="s">
        <v>4435</v>
      </c>
      <c r="B426" s="34" t="s">
        <v>59</v>
      </c>
      <c r="C426" s="53">
        <v>2026</v>
      </c>
      <c r="D426" s="53">
        <v>2026</v>
      </c>
      <c r="E426" s="54" t="s">
        <v>3196</v>
      </c>
      <c r="F426" s="55" t="s">
        <v>50</v>
      </c>
      <c r="G426" s="55" t="s">
        <v>50</v>
      </c>
      <c r="H426" s="45" t="s">
        <v>1156</v>
      </c>
      <c r="I426" s="56" t="s">
        <v>78</v>
      </c>
      <c r="J426" s="56"/>
      <c r="K426" s="56" t="s">
        <v>74</v>
      </c>
      <c r="L426" s="55" t="str">
        <f>IF(K426="Mines and Quarries","Mine","")</f>
        <v/>
      </c>
      <c r="M426" s="55"/>
      <c r="N426" s="56" t="s">
        <v>181</v>
      </c>
      <c r="O426" s="56"/>
      <c r="P426" s="55" t="s">
        <v>75</v>
      </c>
      <c r="Q426" s="56" t="s">
        <v>57</v>
      </c>
      <c r="R426" s="55"/>
      <c r="S426" s="56" t="s">
        <v>58</v>
      </c>
      <c r="T426" s="55" t="str">
        <f t="shared" si="6"/>
        <v>N</v>
      </c>
      <c r="U426" s="57">
        <v>-999</v>
      </c>
      <c r="V426" s="57" t="s">
        <v>59</v>
      </c>
      <c r="W426" s="55" t="s">
        <v>2797</v>
      </c>
      <c r="X426" s="54" t="s">
        <v>4435</v>
      </c>
      <c r="Y426" s="52"/>
      <c r="Z426" s="1" t="s">
        <v>61</v>
      </c>
      <c r="AA426" s="1" t="s">
        <v>1157</v>
      </c>
      <c r="AB426" s="1"/>
      <c r="AC426" s="1"/>
      <c r="AD426" s="3" t="s">
        <v>62</v>
      </c>
      <c r="AE426" s="1" t="s">
        <v>83</v>
      </c>
      <c r="AF426" s="1" t="s">
        <v>980</v>
      </c>
      <c r="AG426" s="1" t="s">
        <v>980</v>
      </c>
      <c r="AH426" s="59">
        <v>100</v>
      </c>
      <c r="AI426" s="1"/>
      <c r="AJ426" s="59"/>
      <c r="AK426" s="1"/>
      <c r="AL426" s="59"/>
      <c r="AM426" s="1"/>
      <c r="AN426" s="59"/>
      <c r="AO426" s="1"/>
      <c r="AP426" s="59"/>
      <c r="AQ426" s="1"/>
      <c r="AR426" s="59"/>
      <c r="AS426" s="1"/>
      <c r="AT426" s="59"/>
      <c r="AU426" s="1"/>
      <c r="AV426" s="59"/>
      <c r="AW426" s="1"/>
      <c r="AX426" s="59"/>
      <c r="AY426" s="1"/>
      <c r="AZ426" s="5" t="s">
        <v>1155</v>
      </c>
      <c r="BA426" s="5"/>
      <c r="BB426" s="1"/>
      <c r="BC426" s="1"/>
    </row>
    <row r="427" spans="1:55" s="78" customFormat="1" ht="15" customHeight="1" x14ac:dyDescent="0.25">
      <c r="A427" s="52" t="s">
        <v>4436</v>
      </c>
      <c r="B427" s="34" t="s">
        <v>59</v>
      </c>
      <c r="C427" s="53">
        <v>2026</v>
      </c>
      <c r="D427" s="53">
        <v>2026</v>
      </c>
      <c r="E427" s="54" t="s">
        <v>3196</v>
      </c>
      <c r="F427" s="55" t="s">
        <v>50</v>
      </c>
      <c r="G427" s="55" t="s">
        <v>50</v>
      </c>
      <c r="H427" s="45" t="s">
        <v>1158</v>
      </c>
      <c r="I427" s="56" t="s">
        <v>52</v>
      </c>
      <c r="J427" s="56"/>
      <c r="K427" s="56" t="s">
        <v>74</v>
      </c>
      <c r="L427" s="55" t="str">
        <f>IF(K427="Mines and Quarries","Mine","")</f>
        <v/>
      </c>
      <c r="M427" s="55"/>
      <c r="N427" s="55" t="s">
        <v>110</v>
      </c>
      <c r="O427" s="56" t="s">
        <v>296</v>
      </c>
      <c r="P427" s="55" t="s">
        <v>75</v>
      </c>
      <c r="Q427" s="56" t="s">
        <v>57</v>
      </c>
      <c r="R427" s="55"/>
      <c r="S427" s="56" t="s">
        <v>58</v>
      </c>
      <c r="T427" s="55" t="str">
        <f t="shared" si="6"/>
        <v>N</v>
      </c>
      <c r="U427" s="57">
        <v>0.189</v>
      </c>
      <c r="V427" s="57" t="s">
        <v>101</v>
      </c>
      <c r="W427" s="55"/>
      <c r="X427" s="54" t="s">
        <v>4436</v>
      </c>
      <c r="Y427" s="52"/>
      <c r="Z427" s="1" t="s">
        <v>61</v>
      </c>
      <c r="AA427" s="1" t="s">
        <v>1157</v>
      </c>
      <c r="AB427" s="1"/>
      <c r="AC427" s="1"/>
      <c r="AD427" s="3" t="s">
        <v>62</v>
      </c>
      <c r="AE427" s="1" t="s">
        <v>83</v>
      </c>
      <c r="AF427" s="1" t="s">
        <v>980</v>
      </c>
      <c r="AG427" s="1" t="s">
        <v>980</v>
      </c>
      <c r="AH427" s="59">
        <v>100</v>
      </c>
      <c r="AI427" s="1"/>
      <c r="AJ427" s="59"/>
      <c r="AK427" s="1"/>
      <c r="AL427" s="59"/>
      <c r="AM427" s="1"/>
      <c r="AN427" s="59"/>
      <c r="AO427" s="1"/>
      <c r="AP427" s="59"/>
      <c r="AQ427" s="1"/>
      <c r="AR427" s="59"/>
      <c r="AS427" s="1"/>
      <c r="AT427" s="59"/>
      <c r="AU427" s="1"/>
      <c r="AV427" s="59"/>
      <c r="AW427" s="1"/>
      <c r="AX427" s="59"/>
      <c r="AY427" s="1"/>
      <c r="AZ427" s="1" t="s">
        <v>1155</v>
      </c>
      <c r="BA427" s="5"/>
      <c r="BB427" s="1"/>
      <c r="BC427" s="1"/>
    </row>
    <row r="428" spans="1:55" s="78" customFormat="1" ht="15" customHeight="1" x14ac:dyDescent="0.25">
      <c r="A428" s="52" t="s">
        <v>4437</v>
      </c>
      <c r="B428" s="34" t="s">
        <v>59</v>
      </c>
      <c r="C428" s="53">
        <v>2026</v>
      </c>
      <c r="D428" s="53">
        <v>2026</v>
      </c>
      <c r="E428" s="54" t="s">
        <v>3196</v>
      </c>
      <c r="F428" s="55" t="s">
        <v>50</v>
      </c>
      <c r="G428" s="55" t="s">
        <v>50</v>
      </c>
      <c r="H428" s="45" t="s">
        <v>1158</v>
      </c>
      <c r="I428" s="56" t="s">
        <v>52</v>
      </c>
      <c r="J428" s="56"/>
      <c r="K428" s="56" t="s">
        <v>71</v>
      </c>
      <c r="L428" s="55" t="str">
        <f>IF(K428="Mine or Quarry","Mine","")</f>
        <v/>
      </c>
      <c r="M428" s="55"/>
      <c r="N428" s="55" t="s">
        <v>110</v>
      </c>
      <c r="O428" s="45" t="s">
        <v>296</v>
      </c>
      <c r="P428" s="55" t="s">
        <v>73</v>
      </c>
      <c r="Q428" s="55" t="s">
        <v>57</v>
      </c>
      <c r="R428" s="55"/>
      <c r="S428" s="56" t="s">
        <v>58</v>
      </c>
      <c r="T428" s="55" t="str">
        <f t="shared" si="6"/>
        <v>N</v>
      </c>
      <c r="U428" s="57">
        <v>0.33500000000000002</v>
      </c>
      <c r="V428" s="57" t="s">
        <v>101</v>
      </c>
      <c r="W428" s="55"/>
      <c r="X428" s="54" t="s">
        <v>4437</v>
      </c>
      <c r="Y428" s="52"/>
      <c r="Z428" s="1" t="s">
        <v>61</v>
      </c>
      <c r="AA428" s="1" t="s">
        <v>1157</v>
      </c>
      <c r="AB428" s="1"/>
      <c r="AC428" s="1"/>
      <c r="AD428" s="3" t="s">
        <v>62</v>
      </c>
      <c r="AE428" s="1" t="s">
        <v>83</v>
      </c>
      <c r="AF428" s="1" t="s">
        <v>980</v>
      </c>
      <c r="AG428" s="1" t="s">
        <v>980</v>
      </c>
      <c r="AH428" s="59">
        <v>100</v>
      </c>
      <c r="AI428" s="1"/>
      <c r="AJ428" s="59"/>
      <c r="AK428" s="1"/>
      <c r="AL428" s="59"/>
      <c r="AM428" s="1"/>
      <c r="AN428" s="59"/>
      <c r="AO428" s="1"/>
      <c r="AP428" s="59"/>
      <c r="AQ428" s="1"/>
      <c r="AR428" s="59"/>
      <c r="AS428" s="1"/>
      <c r="AT428" s="59"/>
      <c r="AU428" s="1"/>
      <c r="AV428" s="59"/>
      <c r="AW428" s="1"/>
      <c r="AX428" s="59"/>
      <c r="AY428" s="1"/>
      <c r="AZ428" s="5" t="s">
        <v>1155</v>
      </c>
      <c r="BA428" s="5"/>
      <c r="BB428" s="1"/>
      <c r="BC428" s="1"/>
    </row>
    <row r="429" spans="1:55" s="78" customFormat="1" ht="15" customHeight="1" x14ac:dyDescent="0.25">
      <c r="A429" s="52" t="s">
        <v>4438</v>
      </c>
      <c r="B429" s="34" t="s">
        <v>59</v>
      </c>
      <c r="C429" s="53">
        <v>2026</v>
      </c>
      <c r="D429" s="53">
        <v>2026</v>
      </c>
      <c r="E429" s="54" t="s">
        <v>3197</v>
      </c>
      <c r="F429" s="55" t="s">
        <v>50</v>
      </c>
      <c r="G429" s="55" t="s">
        <v>50</v>
      </c>
      <c r="H429" s="45" t="s">
        <v>1159</v>
      </c>
      <c r="I429" s="56" t="s">
        <v>52</v>
      </c>
      <c r="J429" s="56"/>
      <c r="K429" s="56" t="s">
        <v>204</v>
      </c>
      <c r="L429" s="55"/>
      <c r="M429" s="55"/>
      <c r="N429" s="56"/>
      <c r="O429" s="56"/>
      <c r="P429" s="55" t="s">
        <v>89</v>
      </c>
      <c r="Q429" s="55" t="s">
        <v>89</v>
      </c>
      <c r="R429" s="55"/>
      <c r="S429" s="56" t="s">
        <v>81</v>
      </c>
      <c r="T429" s="55" t="s">
        <v>81</v>
      </c>
      <c r="U429" s="57">
        <v>-999</v>
      </c>
      <c r="V429" s="57" t="s">
        <v>59</v>
      </c>
      <c r="W429" s="55" t="s">
        <v>2319</v>
      </c>
      <c r="X429" s="54" t="s">
        <v>4438</v>
      </c>
      <c r="Y429" s="52"/>
      <c r="Z429" s="2" t="s">
        <v>61</v>
      </c>
      <c r="AA429" s="1" t="s">
        <v>1160</v>
      </c>
      <c r="AB429" s="1"/>
      <c r="AC429" s="1"/>
      <c r="AD429" s="3" t="s">
        <v>62</v>
      </c>
      <c r="AE429" s="2" t="s">
        <v>464</v>
      </c>
      <c r="AF429" s="2"/>
      <c r="AG429" s="3" t="s">
        <v>1161</v>
      </c>
      <c r="AH429" s="58"/>
      <c r="AI429" s="1"/>
      <c r="AJ429" s="1"/>
      <c r="AK429" s="1"/>
      <c r="AL429" s="1"/>
      <c r="AM429" s="1"/>
      <c r="AN429" s="1"/>
      <c r="AO429" s="1"/>
      <c r="AP429" s="1"/>
      <c r="AQ429" s="1"/>
      <c r="AR429" s="1"/>
      <c r="AS429" s="1"/>
      <c r="AT429" s="1"/>
      <c r="AU429" s="1"/>
      <c r="AV429" s="1"/>
      <c r="AW429" s="1"/>
      <c r="AX429" s="1"/>
      <c r="AY429" s="1"/>
      <c r="AZ429" s="4" t="s">
        <v>202</v>
      </c>
      <c r="BA429" s="1"/>
      <c r="BB429" s="1"/>
      <c r="BC429" s="1"/>
    </row>
    <row r="430" spans="1:55" s="78" customFormat="1" ht="15" customHeight="1" x14ac:dyDescent="0.25">
      <c r="A430" s="52" t="s">
        <v>4439</v>
      </c>
      <c r="B430" s="34" t="s">
        <v>59</v>
      </c>
      <c r="C430" s="53">
        <v>2026</v>
      </c>
      <c r="D430" s="53">
        <v>2026</v>
      </c>
      <c r="E430" s="54" t="s">
        <v>3198</v>
      </c>
      <c r="F430" s="55" t="s">
        <v>50</v>
      </c>
      <c r="G430" s="55" t="s">
        <v>50</v>
      </c>
      <c r="H430" s="45" t="s">
        <v>1163</v>
      </c>
      <c r="I430" s="45" t="s">
        <v>52</v>
      </c>
      <c r="J430" s="56"/>
      <c r="K430" s="55" t="s">
        <v>582</v>
      </c>
      <c r="L430" s="55" t="s">
        <v>54</v>
      </c>
      <c r="M430" s="55" t="s">
        <v>113</v>
      </c>
      <c r="N430" s="55" t="s">
        <v>141</v>
      </c>
      <c r="O430" s="55"/>
      <c r="P430" s="61" t="s">
        <v>583</v>
      </c>
      <c r="Q430" s="61" t="s">
        <v>57</v>
      </c>
      <c r="R430" s="55"/>
      <c r="S430" s="56" t="s">
        <v>81</v>
      </c>
      <c r="T430" s="55" t="str">
        <f>IF(ISNUMBER(SEARCH(",",N430)),"Y","N")</f>
        <v>N</v>
      </c>
      <c r="U430" s="57">
        <v>38000</v>
      </c>
      <c r="V430" s="57" t="s">
        <v>101</v>
      </c>
      <c r="W430" s="55" t="s">
        <v>2319</v>
      </c>
      <c r="X430" s="54" t="s">
        <v>4439</v>
      </c>
      <c r="Y430" s="52"/>
      <c r="Z430" s="1" t="s">
        <v>61</v>
      </c>
      <c r="AA430" s="65" t="s">
        <v>1164</v>
      </c>
      <c r="AB430" s="65"/>
      <c r="AC430" s="65"/>
      <c r="AD430" s="3" t="s">
        <v>62</v>
      </c>
      <c r="AE430" s="3" t="s">
        <v>524</v>
      </c>
      <c r="AF430" s="3"/>
      <c r="AG430" s="3" t="s">
        <v>1165</v>
      </c>
      <c r="AH430" s="58">
        <v>100</v>
      </c>
      <c r="AI430" s="1"/>
      <c r="AJ430" s="1"/>
      <c r="AK430" s="1"/>
      <c r="AL430" s="1"/>
      <c r="AM430" s="1"/>
      <c r="AN430" s="1"/>
      <c r="AO430" s="1"/>
      <c r="AP430" s="1"/>
      <c r="AQ430" s="1"/>
      <c r="AR430" s="1"/>
      <c r="AS430" s="1"/>
      <c r="AT430" s="1"/>
      <c r="AU430" s="1"/>
      <c r="AV430" s="1"/>
      <c r="AW430" s="1"/>
      <c r="AX430" s="1"/>
      <c r="AY430" s="1"/>
      <c r="AZ430" s="4" t="s">
        <v>1162</v>
      </c>
      <c r="BA430" s="1"/>
      <c r="BB430" s="1"/>
      <c r="BC430" s="1"/>
    </row>
    <row r="431" spans="1:55" s="78" customFormat="1" ht="15" customHeight="1" x14ac:dyDescent="0.25">
      <c r="A431" s="52" t="s">
        <v>4440</v>
      </c>
      <c r="B431" s="34" t="s">
        <v>59</v>
      </c>
      <c r="C431" s="53">
        <v>2026</v>
      </c>
      <c r="D431" s="53">
        <v>2026</v>
      </c>
      <c r="E431" s="54" t="s">
        <v>3199</v>
      </c>
      <c r="F431" s="55" t="s">
        <v>50</v>
      </c>
      <c r="G431" s="55" t="s">
        <v>50</v>
      </c>
      <c r="H431" s="45" t="s">
        <v>1167</v>
      </c>
      <c r="I431" s="56" t="s">
        <v>52</v>
      </c>
      <c r="J431" s="56"/>
      <c r="K431" s="56" t="s">
        <v>540</v>
      </c>
      <c r="L431" s="55" t="str">
        <f>IF(K431="Mine or Quarry","Mine","")</f>
        <v/>
      </c>
      <c r="M431" s="55"/>
      <c r="N431" s="56"/>
      <c r="O431" s="56" t="s">
        <v>1168</v>
      </c>
      <c r="P431" s="56" t="s">
        <v>543</v>
      </c>
      <c r="Q431" s="56" t="s">
        <v>57</v>
      </c>
      <c r="R431" s="55"/>
      <c r="S431" s="56" t="s">
        <v>58</v>
      </c>
      <c r="T431" s="55" t="str">
        <f>IF(ISNUMBER(SEARCH(",",N431)),"Y","N")</f>
        <v>N</v>
      </c>
      <c r="U431" s="57">
        <v>70000</v>
      </c>
      <c r="V431" s="57" t="s">
        <v>101</v>
      </c>
      <c r="W431" s="55" t="s">
        <v>2319</v>
      </c>
      <c r="X431" s="54" t="s">
        <v>4440</v>
      </c>
      <c r="Y431" s="52"/>
      <c r="Z431" s="3" t="s">
        <v>154</v>
      </c>
      <c r="AA431" s="1" t="s">
        <v>1169</v>
      </c>
      <c r="AB431" s="1"/>
      <c r="AC431" s="1"/>
      <c r="AD431" s="3" t="s">
        <v>62</v>
      </c>
      <c r="AE431" s="3" t="s">
        <v>464</v>
      </c>
      <c r="AF431" s="3"/>
      <c r="AG431" s="3" t="s">
        <v>1170</v>
      </c>
      <c r="AH431" s="58">
        <v>100</v>
      </c>
      <c r="AI431" s="1"/>
      <c r="AJ431" s="1"/>
      <c r="AK431" s="1"/>
      <c r="AL431" s="1"/>
      <c r="AM431" s="1"/>
      <c r="AN431" s="1"/>
      <c r="AO431" s="1"/>
      <c r="AP431" s="1"/>
      <c r="AQ431" s="1"/>
      <c r="AR431" s="1"/>
      <c r="AS431" s="1"/>
      <c r="AT431" s="1"/>
      <c r="AU431" s="1"/>
      <c r="AV431" s="1"/>
      <c r="AW431" s="1"/>
      <c r="AX431" s="1"/>
      <c r="AY431" s="1"/>
      <c r="AZ431" s="4" t="s">
        <v>1166</v>
      </c>
      <c r="BA431" s="1"/>
      <c r="BB431" s="1"/>
      <c r="BC431" s="1"/>
    </row>
    <row r="432" spans="1:55" s="78" customFormat="1" ht="15" customHeight="1" x14ac:dyDescent="0.25">
      <c r="A432" s="52" t="s">
        <v>4441</v>
      </c>
      <c r="B432" s="34" t="s">
        <v>59</v>
      </c>
      <c r="C432" s="53">
        <v>2026</v>
      </c>
      <c r="D432" s="53">
        <v>2026</v>
      </c>
      <c r="E432" s="54" t="s">
        <v>3199</v>
      </c>
      <c r="F432" s="55" t="s">
        <v>50</v>
      </c>
      <c r="G432" s="55" t="s">
        <v>50</v>
      </c>
      <c r="H432" s="45" t="s">
        <v>1167</v>
      </c>
      <c r="I432" s="56" t="s">
        <v>52</v>
      </c>
      <c r="J432" s="56"/>
      <c r="K432" s="56" t="s">
        <v>133</v>
      </c>
      <c r="L432" s="55" t="s">
        <v>54</v>
      </c>
      <c r="M432" s="55"/>
      <c r="N432" s="55" t="s">
        <v>240</v>
      </c>
      <c r="O432" s="56"/>
      <c r="P432" s="55" t="s">
        <v>134</v>
      </c>
      <c r="Q432" s="55" t="s">
        <v>57</v>
      </c>
      <c r="R432" s="55"/>
      <c r="S432" s="56" t="s">
        <v>58</v>
      </c>
      <c r="T432" s="55" t="str">
        <f>IF(ISNUMBER(SEARCH(",",N432)),"Y","N")</f>
        <v>N</v>
      </c>
      <c r="U432" s="57">
        <v>1000</v>
      </c>
      <c r="V432" s="57" t="s">
        <v>101</v>
      </c>
      <c r="W432" s="55" t="s">
        <v>2319</v>
      </c>
      <c r="X432" s="54" t="s">
        <v>4441</v>
      </c>
      <c r="Y432" s="52"/>
      <c r="Z432" s="3" t="s">
        <v>154</v>
      </c>
      <c r="AA432" s="1" t="s">
        <v>1169</v>
      </c>
      <c r="AB432" s="1"/>
      <c r="AC432" s="1"/>
      <c r="AD432" s="3" t="s">
        <v>62</v>
      </c>
      <c r="AE432" s="3" t="s">
        <v>464</v>
      </c>
      <c r="AF432" s="3"/>
      <c r="AG432" s="3" t="s">
        <v>1170</v>
      </c>
      <c r="AH432" s="58">
        <v>100</v>
      </c>
      <c r="AI432" s="1"/>
      <c r="AJ432" s="1"/>
      <c r="AK432" s="1"/>
      <c r="AL432" s="1"/>
      <c r="AM432" s="1"/>
      <c r="AN432" s="1"/>
      <c r="AO432" s="1"/>
      <c r="AP432" s="1"/>
      <c r="AQ432" s="1"/>
      <c r="AR432" s="1"/>
      <c r="AS432" s="1"/>
      <c r="AT432" s="1"/>
      <c r="AU432" s="1"/>
      <c r="AV432" s="1"/>
      <c r="AW432" s="1"/>
      <c r="AX432" s="1"/>
      <c r="AY432" s="1"/>
      <c r="AZ432" s="4" t="s">
        <v>1171</v>
      </c>
      <c r="BA432" s="1"/>
      <c r="BB432" s="1"/>
      <c r="BC432" s="1"/>
    </row>
    <row r="433" spans="1:55" s="78" customFormat="1" ht="15" customHeight="1" x14ac:dyDescent="0.25">
      <c r="A433" s="52" t="s">
        <v>4442</v>
      </c>
      <c r="B433" s="34" t="s">
        <v>59</v>
      </c>
      <c r="C433" s="53">
        <v>2026</v>
      </c>
      <c r="D433" s="53">
        <v>2026</v>
      </c>
      <c r="E433" s="54" t="s">
        <v>3200</v>
      </c>
      <c r="F433" s="55" t="s">
        <v>50</v>
      </c>
      <c r="G433" s="55" t="s">
        <v>50</v>
      </c>
      <c r="H433" s="45" t="s">
        <v>1172</v>
      </c>
      <c r="I433" s="56" t="s">
        <v>52</v>
      </c>
      <c r="J433" s="56"/>
      <c r="K433" s="56" t="s">
        <v>79</v>
      </c>
      <c r="L433" s="55" t="str">
        <f>IF(K433="Mine or Quarry","Mine","")</f>
        <v/>
      </c>
      <c r="M433" s="55"/>
      <c r="N433" s="56" t="s">
        <v>80</v>
      </c>
      <c r="O433" s="56"/>
      <c r="P433" s="56" t="s">
        <v>89</v>
      </c>
      <c r="Q433" s="56" t="s">
        <v>89</v>
      </c>
      <c r="R433" s="55"/>
      <c r="S433" s="56" t="s">
        <v>81</v>
      </c>
      <c r="T433" s="55" t="str">
        <f>IF(ISNUMBER(SEARCH(",",N433)),"Y","N")</f>
        <v>N</v>
      </c>
      <c r="U433" s="57">
        <v>-999</v>
      </c>
      <c r="V433" s="57" t="s">
        <v>59</v>
      </c>
      <c r="W433" s="55" t="s">
        <v>2319</v>
      </c>
      <c r="X433" s="54" t="s">
        <v>4442</v>
      </c>
      <c r="Y433" s="52"/>
      <c r="Z433" s="1" t="s">
        <v>61</v>
      </c>
      <c r="AA433" s="1" t="s">
        <v>1173</v>
      </c>
      <c r="AB433" s="1"/>
      <c r="AC433" s="1"/>
      <c r="AD433" s="3" t="s">
        <v>62</v>
      </c>
      <c r="AE433" s="1" t="s">
        <v>1174</v>
      </c>
      <c r="AF433" s="1" t="s">
        <v>307</v>
      </c>
      <c r="AG433" s="1" t="s">
        <v>308</v>
      </c>
      <c r="AH433" s="2"/>
      <c r="AI433" s="1"/>
      <c r="AJ433" s="1"/>
      <c r="AK433" s="1"/>
      <c r="AL433" s="1"/>
      <c r="AM433" s="1"/>
      <c r="AN433" s="1"/>
      <c r="AO433" s="1"/>
      <c r="AP433" s="1"/>
      <c r="AQ433" s="1"/>
      <c r="AR433" s="1"/>
      <c r="AS433" s="1"/>
      <c r="AT433" s="1"/>
      <c r="AU433" s="1"/>
      <c r="AV433" s="1"/>
      <c r="AW433" s="1"/>
      <c r="AX433" s="1"/>
      <c r="AY433" s="1"/>
      <c r="AZ433" s="4" t="s">
        <v>3862</v>
      </c>
      <c r="BA433" s="5" t="s">
        <v>3863</v>
      </c>
      <c r="BB433" s="1"/>
      <c r="BC433" s="1"/>
    </row>
    <row r="434" spans="1:55" s="78" customFormat="1" ht="15" customHeight="1" x14ac:dyDescent="0.25">
      <c r="A434" s="52" t="s">
        <v>4443</v>
      </c>
      <c r="B434" s="34" t="s">
        <v>59</v>
      </c>
      <c r="C434" s="53">
        <v>2026</v>
      </c>
      <c r="D434" s="53">
        <v>2026</v>
      </c>
      <c r="E434" s="54" t="s">
        <v>3201</v>
      </c>
      <c r="F434" s="55" t="s">
        <v>50</v>
      </c>
      <c r="G434" s="55" t="s">
        <v>50</v>
      </c>
      <c r="H434" s="45" t="s">
        <v>1176</v>
      </c>
      <c r="I434" s="56" t="s">
        <v>52</v>
      </c>
      <c r="J434" s="56"/>
      <c r="K434" s="56" t="s">
        <v>71</v>
      </c>
      <c r="L434" s="55" t="str">
        <f>IF(K434="Mine or Quarry","Mine","")</f>
        <v/>
      </c>
      <c r="M434" s="55"/>
      <c r="N434" s="55" t="s">
        <v>110</v>
      </c>
      <c r="O434" s="45" t="s">
        <v>296</v>
      </c>
      <c r="P434" s="55" t="s">
        <v>73</v>
      </c>
      <c r="Q434" s="55" t="s">
        <v>57</v>
      </c>
      <c r="R434" s="55"/>
      <c r="S434" s="56" t="s">
        <v>58</v>
      </c>
      <c r="T434" s="55" t="s">
        <v>81</v>
      </c>
      <c r="U434" s="57">
        <v>9.3550000000000004</v>
      </c>
      <c r="V434" s="57" t="s">
        <v>101</v>
      </c>
      <c r="W434" s="55"/>
      <c r="X434" s="54" t="s">
        <v>4443</v>
      </c>
      <c r="Y434" s="52"/>
      <c r="Z434" s="1" t="s">
        <v>61</v>
      </c>
      <c r="AA434" s="1" t="s">
        <v>1177</v>
      </c>
      <c r="AB434" s="1"/>
      <c r="AC434" s="1"/>
      <c r="AD434" s="3" t="s">
        <v>62</v>
      </c>
      <c r="AE434" s="3" t="s">
        <v>519</v>
      </c>
      <c r="AF434" s="3"/>
      <c r="AG434" s="3" t="s">
        <v>331</v>
      </c>
      <c r="AH434" s="59">
        <v>100</v>
      </c>
      <c r="AI434" s="1"/>
      <c r="AJ434" s="59"/>
      <c r="AK434" s="1"/>
      <c r="AL434" s="60"/>
      <c r="AM434" s="1"/>
      <c r="AN434" s="60"/>
      <c r="AO434" s="1"/>
      <c r="AP434" s="60"/>
      <c r="AQ434" s="1"/>
      <c r="AR434" s="60"/>
      <c r="AS434" s="1"/>
      <c r="AT434" s="60"/>
      <c r="AU434" s="1"/>
      <c r="AV434" s="60"/>
      <c r="AW434" s="1"/>
      <c r="AX434" s="60"/>
      <c r="AY434" s="1"/>
      <c r="AZ434" s="4" t="s">
        <v>1175</v>
      </c>
      <c r="BA434" s="5"/>
      <c r="BB434" s="1"/>
      <c r="BC434" s="1"/>
    </row>
    <row r="435" spans="1:55" s="78" customFormat="1" ht="15" customHeight="1" x14ac:dyDescent="0.25">
      <c r="A435" s="52" t="s">
        <v>4444</v>
      </c>
      <c r="B435" s="34" t="s">
        <v>59</v>
      </c>
      <c r="C435" s="53">
        <v>2026</v>
      </c>
      <c r="D435" s="53">
        <v>2026</v>
      </c>
      <c r="E435" s="54" t="s">
        <v>3202</v>
      </c>
      <c r="F435" s="55" t="s">
        <v>50</v>
      </c>
      <c r="G435" s="55" t="s">
        <v>50</v>
      </c>
      <c r="H435" s="45" t="s">
        <v>1178</v>
      </c>
      <c r="I435" s="56" t="s">
        <v>78</v>
      </c>
      <c r="J435" s="56"/>
      <c r="K435" s="56" t="s">
        <v>71</v>
      </c>
      <c r="L435" s="55" t="str">
        <f>IF(K435="Mine or Quarry","Mine","")</f>
        <v/>
      </c>
      <c r="M435" s="55"/>
      <c r="N435" s="56" t="s">
        <v>110</v>
      </c>
      <c r="O435" s="56"/>
      <c r="P435" s="55" t="s">
        <v>73</v>
      </c>
      <c r="Q435" s="55" t="s">
        <v>57</v>
      </c>
      <c r="R435" s="55"/>
      <c r="S435" s="56" t="s">
        <v>58</v>
      </c>
      <c r="T435" s="55" t="str">
        <f>IF(ISNUMBER(SEARCH(",",N435)),"Y","N")</f>
        <v>N</v>
      </c>
      <c r="U435" s="73">
        <v>6.01</v>
      </c>
      <c r="V435" s="57" t="s">
        <v>101</v>
      </c>
      <c r="W435" s="55" t="s">
        <v>106</v>
      </c>
      <c r="X435" s="54" t="s">
        <v>4444</v>
      </c>
      <c r="Y435" s="52"/>
      <c r="Z435" s="1" t="s">
        <v>61</v>
      </c>
      <c r="AA435" s="1" t="s">
        <v>1177</v>
      </c>
      <c r="AB435" s="1"/>
      <c r="AC435" s="1"/>
      <c r="AD435" s="3" t="s">
        <v>62</v>
      </c>
      <c r="AE435" s="3" t="s">
        <v>519</v>
      </c>
      <c r="AF435" s="3"/>
      <c r="AG435" s="3" t="s">
        <v>331</v>
      </c>
      <c r="AH435" s="59">
        <v>100</v>
      </c>
      <c r="AI435" s="1"/>
      <c r="AJ435" s="59"/>
      <c r="AK435" s="1"/>
      <c r="AL435" s="60"/>
      <c r="AM435" s="1"/>
      <c r="AN435" s="60"/>
      <c r="AO435" s="1"/>
      <c r="AP435" s="60"/>
      <c r="AQ435" s="1"/>
      <c r="AR435" s="60"/>
      <c r="AS435" s="1"/>
      <c r="AT435" s="60"/>
      <c r="AU435" s="1"/>
      <c r="AV435" s="60"/>
      <c r="AW435" s="1"/>
      <c r="AX435" s="60"/>
      <c r="AY435" s="1"/>
      <c r="AZ435" s="4" t="s">
        <v>1175</v>
      </c>
      <c r="BA435" s="5"/>
      <c r="BB435" s="1"/>
      <c r="BC435" s="1"/>
    </row>
    <row r="436" spans="1:55" s="78" customFormat="1" ht="15" customHeight="1" x14ac:dyDescent="0.25">
      <c r="A436" s="52" t="s">
        <v>4445</v>
      </c>
      <c r="B436" s="34" t="s">
        <v>59</v>
      </c>
      <c r="C436" s="53">
        <v>2026</v>
      </c>
      <c r="D436" s="53">
        <v>2026</v>
      </c>
      <c r="E436" s="54" t="s">
        <v>3203</v>
      </c>
      <c r="F436" s="55" t="s">
        <v>50</v>
      </c>
      <c r="G436" s="55" t="s">
        <v>50</v>
      </c>
      <c r="H436" s="45" t="s">
        <v>1179</v>
      </c>
      <c r="I436" s="45" t="s">
        <v>52</v>
      </c>
      <c r="J436" s="56"/>
      <c r="K436" s="56" t="s">
        <v>1180</v>
      </c>
      <c r="L436" s="55" t="s">
        <v>54</v>
      </c>
      <c r="M436" s="55"/>
      <c r="N436" s="56" t="s">
        <v>358</v>
      </c>
      <c r="O436" s="56"/>
      <c r="P436" s="55" t="s">
        <v>265</v>
      </c>
      <c r="Q436" s="55" t="s">
        <v>57</v>
      </c>
      <c r="R436" s="55"/>
      <c r="S436" s="56" t="s">
        <v>81</v>
      </c>
      <c r="T436" s="55" t="str">
        <f>IF(ISNUMBER(SEARCH(",",N436)),"Y","N")</f>
        <v>N</v>
      </c>
      <c r="U436" s="57">
        <v>35000</v>
      </c>
      <c r="V436" s="57" t="s">
        <v>59</v>
      </c>
      <c r="W436" s="55" t="s">
        <v>106</v>
      </c>
      <c r="X436" s="66" t="s">
        <v>4445</v>
      </c>
      <c r="Y436" s="60"/>
      <c r="Z436" s="1" t="s">
        <v>61</v>
      </c>
      <c r="AA436" s="1" t="s">
        <v>1181</v>
      </c>
      <c r="AB436" s="1"/>
      <c r="AC436" s="1"/>
      <c r="AD436" s="3" t="s">
        <v>62</v>
      </c>
      <c r="AE436" s="3" t="s">
        <v>1174</v>
      </c>
      <c r="AF436" s="3"/>
      <c r="AG436" s="3" t="s">
        <v>109</v>
      </c>
      <c r="AH436" s="58">
        <v>100</v>
      </c>
      <c r="AI436" s="1"/>
      <c r="AJ436" s="1"/>
      <c r="AK436" s="1"/>
      <c r="AL436" s="1"/>
      <c r="AM436" s="1"/>
      <c r="AN436" s="1"/>
      <c r="AO436" s="1"/>
      <c r="AP436" s="1"/>
      <c r="AQ436" s="1"/>
      <c r="AR436" s="1"/>
      <c r="AS436" s="1"/>
      <c r="AT436" s="1"/>
      <c r="AU436" s="1"/>
      <c r="AV436" s="1"/>
      <c r="AW436" s="1"/>
      <c r="AX436" s="1"/>
      <c r="AY436" s="1"/>
      <c r="AZ436" s="4" t="s">
        <v>5342</v>
      </c>
      <c r="BA436" s="1"/>
      <c r="BB436" s="1"/>
      <c r="BC436" s="1"/>
    </row>
    <row r="437" spans="1:55" s="78" customFormat="1" ht="15" customHeight="1" x14ac:dyDescent="0.25">
      <c r="A437" s="52" t="s">
        <v>4446</v>
      </c>
      <c r="B437" s="34" t="s">
        <v>59</v>
      </c>
      <c r="C437" s="53">
        <v>2026</v>
      </c>
      <c r="D437" s="53">
        <v>2026</v>
      </c>
      <c r="E437" s="54" t="s">
        <v>3204</v>
      </c>
      <c r="F437" s="55" t="s">
        <v>50</v>
      </c>
      <c r="G437" s="55" t="s">
        <v>50</v>
      </c>
      <c r="H437" s="45" t="s">
        <v>1183</v>
      </c>
      <c r="I437" s="56" t="s">
        <v>52</v>
      </c>
      <c r="J437" s="56"/>
      <c r="K437" s="56" t="s">
        <v>87</v>
      </c>
      <c r="L437" s="55" t="str">
        <f>IF(K437="Mine or Quarry","Mine","")</f>
        <v/>
      </c>
      <c r="M437" s="55"/>
      <c r="N437" s="56"/>
      <c r="O437" s="56" t="s">
        <v>2893</v>
      </c>
      <c r="P437" s="56" t="s">
        <v>89</v>
      </c>
      <c r="Q437" s="56" t="s">
        <v>89</v>
      </c>
      <c r="R437" s="55"/>
      <c r="S437" s="56" t="s">
        <v>81</v>
      </c>
      <c r="T437" s="55" t="str">
        <f>IF(ISNUMBER(SEARCH(",",N437)),"Y","N")</f>
        <v>N</v>
      </c>
      <c r="U437" s="57">
        <v>-999</v>
      </c>
      <c r="V437" s="57" t="s">
        <v>59</v>
      </c>
      <c r="W437" s="55" t="s">
        <v>2319</v>
      </c>
      <c r="X437" s="54" t="s">
        <v>4446</v>
      </c>
      <c r="Y437" s="52"/>
      <c r="Z437" s="1" t="s">
        <v>61</v>
      </c>
      <c r="AA437" s="1" t="s">
        <v>1184</v>
      </c>
      <c r="AB437" s="1"/>
      <c r="AC437" s="1"/>
      <c r="AD437" s="3" t="s">
        <v>62</v>
      </c>
      <c r="AE437" s="1" t="s">
        <v>574</v>
      </c>
      <c r="AF437" s="1"/>
      <c r="AG437" s="1" t="s">
        <v>1185</v>
      </c>
      <c r="AH437" s="1"/>
      <c r="AI437" s="1"/>
      <c r="AJ437" s="1"/>
      <c r="AK437" s="1"/>
      <c r="AL437" s="1"/>
      <c r="AM437" s="1"/>
      <c r="AN437" s="1"/>
      <c r="AO437" s="1"/>
      <c r="AP437" s="1"/>
      <c r="AQ437" s="1"/>
      <c r="AR437" s="1"/>
      <c r="AS437" s="1"/>
      <c r="AT437" s="1"/>
      <c r="AU437" s="1"/>
      <c r="AV437" s="1"/>
      <c r="AW437" s="1"/>
      <c r="AX437" s="1"/>
      <c r="AY437" s="1"/>
      <c r="AZ437" s="5" t="s">
        <v>1182</v>
      </c>
      <c r="BA437" s="5"/>
      <c r="BB437" s="1"/>
      <c r="BC437" s="1"/>
    </row>
    <row r="438" spans="1:55" s="78" customFormat="1" ht="15" customHeight="1" x14ac:dyDescent="0.25">
      <c r="A438" s="52" t="s">
        <v>4447</v>
      </c>
      <c r="B438" s="34" t="s">
        <v>59</v>
      </c>
      <c r="C438" s="53">
        <v>2026</v>
      </c>
      <c r="D438" s="53">
        <v>2026</v>
      </c>
      <c r="E438" s="54" t="s">
        <v>3205</v>
      </c>
      <c r="F438" s="55" t="s">
        <v>50</v>
      </c>
      <c r="G438" s="55" t="s">
        <v>50</v>
      </c>
      <c r="H438" s="45" t="s">
        <v>1187</v>
      </c>
      <c r="I438" s="56" t="s">
        <v>52</v>
      </c>
      <c r="J438" s="56"/>
      <c r="K438" s="56" t="s">
        <v>53</v>
      </c>
      <c r="L438" s="55" t="s">
        <v>317</v>
      </c>
      <c r="M438" s="55" t="s">
        <v>113</v>
      </c>
      <c r="N438" s="56" t="s">
        <v>1188</v>
      </c>
      <c r="O438" s="56"/>
      <c r="P438" s="55" t="s">
        <v>56</v>
      </c>
      <c r="Q438" s="55" t="s">
        <v>57</v>
      </c>
      <c r="R438" s="55"/>
      <c r="S438" s="56" t="s">
        <v>58</v>
      </c>
      <c r="T438" s="55" t="str">
        <f>IF(ISNUMBER(SEARCH(",",N438)),"Y","N")</f>
        <v>Y</v>
      </c>
      <c r="U438" s="57">
        <v>45000</v>
      </c>
      <c r="V438" s="57" t="s">
        <v>101</v>
      </c>
      <c r="W438" s="55" t="s">
        <v>2319</v>
      </c>
      <c r="X438" s="54" t="s">
        <v>4447</v>
      </c>
      <c r="Y438" s="52"/>
      <c r="Z438" s="2" t="s">
        <v>154</v>
      </c>
      <c r="AA438" s="1" t="s">
        <v>1189</v>
      </c>
      <c r="AB438" s="1"/>
      <c r="AC438" s="1"/>
      <c r="AD438" s="3" t="s">
        <v>62</v>
      </c>
      <c r="AE438" s="2" t="s">
        <v>221</v>
      </c>
      <c r="AF438" s="2"/>
      <c r="AG438" s="1" t="s">
        <v>1190</v>
      </c>
      <c r="AH438" s="1"/>
      <c r="AI438" s="1"/>
      <c r="AJ438" s="1"/>
      <c r="AK438" s="1"/>
      <c r="AL438" s="1"/>
      <c r="AM438" s="1"/>
      <c r="AN438" s="1"/>
      <c r="AO438" s="1"/>
      <c r="AP438" s="1"/>
      <c r="AQ438" s="1"/>
      <c r="AR438" s="1"/>
      <c r="AS438" s="1"/>
      <c r="AT438" s="1"/>
      <c r="AU438" s="1"/>
      <c r="AV438" s="1"/>
      <c r="AW438" s="1"/>
      <c r="AX438" s="1"/>
      <c r="AY438" s="1"/>
      <c r="AZ438" s="4" t="s">
        <v>1186</v>
      </c>
      <c r="BA438" s="1"/>
      <c r="BB438" s="1"/>
      <c r="BC438" s="1"/>
    </row>
    <row r="439" spans="1:55" s="78" customFormat="1" ht="15" customHeight="1" x14ac:dyDescent="0.25">
      <c r="A439" s="52" t="s">
        <v>4448</v>
      </c>
      <c r="B439" s="34" t="s">
        <v>59</v>
      </c>
      <c r="C439" s="53">
        <v>2026</v>
      </c>
      <c r="D439" s="53">
        <v>2026</v>
      </c>
      <c r="E439" s="54" t="s">
        <v>3207</v>
      </c>
      <c r="F439" s="55" t="s">
        <v>50</v>
      </c>
      <c r="G439" s="55" t="s">
        <v>50</v>
      </c>
      <c r="H439" s="45" t="s">
        <v>1192</v>
      </c>
      <c r="I439" s="45" t="s">
        <v>52</v>
      </c>
      <c r="J439" s="56"/>
      <c r="K439" s="55" t="s">
        <v>210</v>
      </c>
      <c r="L439" s="55" t="s">
        <v>54</v>
      </c>
      <c r="M439" s="55" t="s">
        <v>211</v>
      </c>
      <c r="N439" s="55" t="s">
        <v>212</v>
      </c>
      <c r="O439" s="55"/>
      <c r="P439" s="55" t="s">
        <v>89</v>
      </c>
      <c r="Q439" s="55" t="s">
        <v>89</v>
      </c>
      <c r="R439" s="55"/>
      <c r="S439" s="56" t="s">
        <v>81</v>
      </c>
      <c r="T439" s="55" t="s">
        <v>81</v>
      </c>
      <c r="U439" s="57">
        <v>350400</v>
      </c>
      <c r="V439" s="57" t="s">
        <v>101</v>
      </c>
      <c r="W439" s="55" t="s">
        <v>2319</v>
      </c>
      <c r="X439" s="54" t="s">
        <v>4448</v>
      </c>
      <c r="Y439" s="52"/>
      <c r="Z439" s="3" t="s">
        <v>61</v>
      </c>
      <c r="AA439" s="1" t="s">
        <v>1193</v>
      </c>
      <c r="AB439" s="1"/>
      <c r="AC439" s="1"/>
      <c r="AD439" s="3" t="s">
        <v>62</v>
      </c>
      <c r="AE439" s="3" t="s">
        <v>206</v>
      </c>
      <c r="AF439" s="3"/>
      <c r="AG439" s="1" t="s">
        <v>374</v>
      </c>
      <c r="AH439" s="2">
        <v>100</v>
      </c>
      <c r="AI439" s="1"/>
      <c r="AJ439" s="2"/>
      <c r="AK439" s="3"/>
      <c r="AL439" s="3"/>
      <c r="AM439" s="3"/>
      <c r="AN439" s="3"/>
      <c r="AO439" s="3"/>
      <c r="AP439" s="3"/>
      <c r="AQ439" s="3"/>
      <c r="AR439" s="3"/>
      <c r="AS439" s="3"/>
      <c r="AT439" s="3"/>
      <c r="AU439" s="3"/>
      <c r="AV439" s="3"/>
      <c r="AW439" s="3"/>
      <c r="AX439" s="3"/>
      <c r="AY439" s="3"/>
      <c r="AZ439" s="4" t="s">
        <v>1191</v>
      </c>
      <c r="BA439" s="3"/>
      <c r="BB439" s="1"/>
      <c r="BC439" s="1"/>
    </row>
    <row r="440" spans="1:55" s="78" customFormat="1" ht="15" customHeight="1" x14ac:dyDescent="0.25">
      <c r="A440" s="52" t="s">
        <v>4449</v>
      </c>
      <c r="B440" s="34" t="s">
        <v>59</v>
      </c>
      <c r="C440" s="53">
        <v>2026</v>
      </c>
      <c r="D440" s="53">
        <v>2026</v>
      </c>
      <c r="E440" s="54" t="s">
        <v>3208</v>
      </c>
      <c r="F440" s="55" t="s">
        <v>50</v>
      </c>
      <c r="G440" s="55" t="s">
        <v>50</v>
      </c>
      <c r="H440" s="45" t="s">
        <v>1195</v>
      </c>
      <c r="I440" s="56" t="s">
        <v>78</v>
      </c>
      <c r="J440" s="56" t="s">
        <v>291</v>
      </c>
      <c r="K440" s="55" t="s">
        <v>292</v>
      </c>
      <c r="L440" s="55" t="str">
        <f>IF(K440="Mine or Quarry","Mine","")</f>
        <v/>
      </c>
      <c r="M440" s="55"/>
      <c r="N440" s="55" t="s">
        <v>110</v>
      </c>
      <c r="O440" s="55"/>
      <c r="P440" s="56" t="s">
        <v>293</v>
      </c>
      <c r="Q440" s="55" t="s">
        <v>57</v>
      </c>
      <c r="R440" s="55"/>
      <c r="S440" s="56" t="s">
        <v>81</v>
      </c>
      <c r="T440" s="55" t="str">
        <f>IF(ISNUMBER(SEARCH(",",N440)),"Y","N")</f>
        <v>N</v>
      </c>
      <c r="U440" s="57">
        <v>14000000</v>
      </c>
      <c r="V440" s="57" t="s">
        <v>101</v>
      </c>
      <c r="W440" s="55" t="s">
        <v>2319</v>
      </c>
      <c r="X440" s="54" t="s">
        <v>4449</v>
      </c>
      <c r="Y440" s="52"/>
      <c r="Z440" s="3" t="s">
        <v>61</v>
      </c>
      <c r="AA440" s="3" t="s">
        <v>1196</v>
      </c>
      <c r="AB440" s="3"/>
      <c r="AC440" s="3"/>
      <c r="AD440" s="3" t="s">
        <v>62</v>
      </c>
      <c r="AE440" s="3" t="s">
        <v>360</v>
      </c>
      <c r="AF440" s="3"/>
      <c r="AG440" s="3" t="s">
        <v>361</v>
      </c>
      <c r="AH440" s="58">
        <v>100</v>
      </c>
      <c r="AI440" s="3"/>
      <c r="AJ440" s="3"/>
      <c r="AK440" s="3"/>
      <c r="AL440" s="3"/>
      <c r="AM440" s="3"/>
      <c r="AN440" s="3"/>
      <c r="AO440" s="3"/>
      <c r="AP440" s="3"/>
      <c r="AQ440" s="3"/>
      <c r="AR440" s="3"/>
      <c r="AS440" s="3"/>
      <c r="AT440" s="3"/>
      <c r="AU440" s="3"/>
      <c r="AV440" s="3"/>
      <c r="AW440" s="3"/>
      <c r="AX440" s="3"/>
      <c r="AY440" s="3"/>
      <c r="AZ440" s="4" t="s">
        <v>1194</v>
      </c>
      <c r="BA440" s="3"/>
      <c r="BB440" s="1"/>
      <c r="BC440" s="1"/>
    </row>
    <row r="441" spans="1:55" s="78" customFormat="1" ht="15" customHeight="1" x14ac:dyDescent="0.25">
      <c r="A441" s="52" t="s">
        <v>4450</v>
      </c>
      <c r="B441" s="34" t="s">
        <v>59</v>
      </c>
      <c r="C441" s="53">
        <v>2026</v>
      </c>
      <c r="D441" s="53">
        <v>2026</v>
      </c>
      <c r="E441" s="54" t="s">
        <v>3209</v>
      </c>
      <c r="F441" s="55" t="s">
        <v>50</v>
      </c>
      <c r="G441" s="55" t="s">
        <v>50</v>
      </c>
      <c r="H441" s="45" t="s">
        <v>1198</v>
      </c>
      <c r="I441" s="56" t="s">
        <v>52</v>
      </c>
      <c r="J441" s="56"/>
      <c r="K441" s="56" t="s">
        <v>87</v>
      </c>
      <c r="L441" s="55" t="str">
        <f>IF(K441="Mine or Quarry","Mine","")</f>
        <v/>
      </c>
      <c r="M441" s="55"/>
      <c r="N441" s="56"/>
      <c r="O441" s="56" t="s">
        <v>2893</v>
      </c>
      <c r="P441" s="56" t="s">
        <v>89</v>
      </c>
      <c r="Q441" s="56" t="s">
        <v>89</v>
      </c>
      <c r="R441" s="55"/>
      <c r="S441" s="56" t="s">
        <v>81</v>
      </c>
      <c r="T441" s="55" t="str">
        <f>IF(ISNUMBER(SEARCH(",",N441)),"Y","N")</f>
        <v>N</v>
      </c>
      <c r="U441" s="57">
        <v>-999</v>
      </c>
      <c r="V441" s="57" t="s">
        <v>59</v>
      </c>
      <c r="W441" s="55" t="s">
        <v>2319</v>
      </c>
      <c r="X441" s="54" t="s">
        <v>4450</v>
      </c>
      <c r="Y441" s="52"/>
      <c r="Z441" s="1" t="s">
        <v>61</v>
      </c>
      <c r="AA441" s="1" t="s">
        <v>1199</v>
      </c>
      <c r="AB441" s="1"/>
      <c r="AC441" s="1"/>
      <c r="AD441" s="3" t="s">
        <v>62</v>
      </c>
      <c r="AE441" s="1" t="s">
        <v>387</v>
      </c>
      <c r="AF441" s="1" t="s">
        <v>1200</v>
      </c>
      <c r="AG441" s="1" t="s">
        <v>1201</v>
      </c>
      <c r="AH441" s="2">
        <v>100</v>
      </c>
      <c r="AI441" s="1"/>
      <c r="AJ441" s="1"/>
      <c r="AK441" s="1"/>
      <c r="AL441" s="1"/>
      <c r="AM441" s="1"/>
      <c r="AN441" s="1"/>
      <c r="AO441" s="1"/>
      <c r="AP441" s="1"/>
      <c r="AQ441" s="1"/>
      <c r="AR441" s="1"/>
      <c r="AS441" s="1"/>
      <c r="AT441" s="1"/>
      <c r="AU441" s="1"/>
      <c r="AV441" s="1"/>
      <c r="AW441" s="1"/>
      <c r="AX441" s="1"/>
      <c r="AY441" s="1"/>
      <c r="AZ441" s="5" t="s">
        <v>1197</v>
      </c>
      <c r="BA441" s="5"/>
      <c r="BB441" s="1"/>
      <c r="BC441" s="1"/>
    </row>
    <row r="442" spans="1:55" s="78" customFormat="1" ht="15" customHeight="1" x14ac:dyDescent="0.25">
      <c r="A442" s="52" t="s">
        <v>4451</v>
      </c>
      <c r="B442" s="34" t="s">
        <v>59</v>
      </c>
      <c r="C442" s="53">
        <v>2026</v>
      </c>
      <c r="D442" s="53">
        <v>2026</v>
      </c>
      <c r="E442" s="54" t="s">
        <v>3210</v>
      </c>
      <c r="F442" s="55" t="s">
        <v>50</v>
      </c>
      <c r="G442" s="55" t="s">
        <v>50</v>
      </c>
      <c r="H442" s="45" t="s">
        <v>1203</v>
      </c>
      <c r="I442" s="45" t="s">
        <v>52</v>
      </c>
      <c r="J442" s="56" t="s">
        <v>316</v>
      </c>
      <c r="K442" s="45" t="s">
        <v>643</v>
      </c>
      <c r="L442" s="55" t="s">
        <v>54</v>
      </c>
      <c r="M442" s="55" t="s">
        <v>113</v>
      </c>
      <c r="N442" s="45" t="s">
        <v>358</v>
      </c>
      <c r="O442" s="45"/>
      <c r="P442" s="55" t="s">
        <v>318</v>
      </c>
      <c r="Q442" s="55" t="s">
        <v>57</v>
      </c>
      <c r="R442" s="55"/>
      <c r="S442" s="56" t="s">
        <v>58</v>
      </c>
      <c r="T442" s="55" t="s">
        <v>81</v>
      </c>
      <c r="U442" s="57">
        <v>-999</v>
      </c>
      <c r="V442" s="57" t="s">
        <v>59</v>
      </c>
      <c r="W442" s="55" t="s">
        <v>2319</v>
      </c>
      <c r="X442" s="54" t="s">
        <v>4451</v>
      </c>
      <c r="Y442" s="52"/>
      <c r="Z442" s="1" t="s">
        <v>61</v>
      </c>
      <c r="AA442" s="2" t="s">
        <v>1204</v>
      </c>
      <c r="AB442" s="2"/>
      <c r="AC442" s="2"/>
      <c r="AD442" s="3" t="s">
        <v>62</v>
      </c>
      <c r="AE442" s="2" t="s">
        <v>184</v>
      </c>
      <c r="AF442" s="2" t="s">
        <v>1205</v>
      </c>
      <c r="AG442" s="1" t="s">
        <v>1206</v>
      </c>
      <c r="AH442" s="2">
        <v>100</v>
      </c>
      <c r="AI442" s="2"/>
      <c r="AJ442" s="2"/>
      <c r="AK442" s="2"/>
      <c r="AL442" s="2"/>
      <c r="AM442" s="2"/>
      <c r="AN442" s="2"/>
      <c r="AO442" s="2"/>
      <c r="AP442" s="2"/>
      <c r="AQ442" s="2"/>
      <c r="AR442" s="2"/>
      <c r="AS442" s="2"/>
      <c r="AT442" s="2"/>
      <c r="AU442" s="2"/>
      <c r="AV442" s="2"/>
      <c r="AW442" s="2"/>
      <c r="AX442" s="2"/>
      <c r="AY442" s="2"/>
      <c r="AZ442" s="4" t="s">
        <v>1202</v>
      </c>
      <c r="BA442" s="2"/>
      <c r="BB442" s="1"/>
      <c r="BC442" s="1"/>
    </row>
    <row r="443" spans="1:55" s="78" customFormat="1" ht="15" customHeight="1" x14ac:dyDescent="0.25">
      <c r="A443" s="52" t="s">
        <v>4452</v>
      </c>
      <c r="B443" s="34" t="s">
        <v>59</v>
      </c>
      <c r="C443" s="53">
        <v>2026</v>
      </c>
      <c r="D443" s="53">
        <v>2026</v>
      </c>
      <c r="E443" s="54" t="s">
        <v>3210</v>
      </c>
      <c r="F443" s="55" t="s">
        <v>50</v>
      </c>
      <c r="G443" s="55" t="s">
        <v>50</v>
      </c>
      <c r="H443" s="45" t="s">
        <v>1203</v>
      </c>
      <c r="I443" s="45" t="s">
        <v>52</v>
      </c>
      <c r="J443" s="56"/>
      <c r="K443" s="45" t="s">
        <v>126</v>
      </c>
      <c r="L443" s="55" t="s">
        <v>54</v>
      </c>
      <c r="M443" s="55" t="s">
        <v>113</v>
      </c>
      <c r="N443" s="55" t="s">
        <v>127</v>
      </c>
      <c r="O443" s="45" t="s">
        <v>358</v>
      </c>
      <c r="P443" s="55" t="s">
        <v>129</v>
      </c>
      <c r="Q443" s="56" t="s">
        <v>57</v>
      </c>
      <c r="R443" s="55"/>
      <c r="S443" s="56" t="s">
        <v>58</v>
      </c>
      <c r="T443" s="55" t="s">
        <v>81</v>
      </c>
      <c r="U443" s="57">
        <v>-999</v>
      </c>
      <c r="V443" s="57" t="s">
        <v>59</v>
      </c>
      <c r="W443" s="55" t="s">
        <v>2319</v>
      </c>
      <c r="X443" s="54" t="s">
        <v>4452</v>
      </c>
      <c r="Y443" s="52"/>
      <c r="Z443" s="1" t="s">
        <v>61</v>
      </c>
      <c r="AA443" s="2" t="s">
        <v>1204</v>
      </c>
      <c r="AB443" s="2"/>
      <c r="AC443" s="2"/>
      <c r="AD443" s="3" t="s">
        <v>62</v>
      </c>
      <c r="AE443" s="2" t="s">
        <v>184</v>
      </c>
      <c r="AF443" s="2"/>
      <c r="AG443" s="1" t="s">
        <v>1206</v>
      </c>
      <c r="AH443" s="2">
        <v>100</v>
      </c>
      <c r="AI443" s="2"/>
      <c r="AJ443" s="2"/>
      <c r="AK443" s="2"/>
      <c r="AL443" s="2"/>
      <c r="AM443" s="2"/>
      <c r="AN443" s="2"/>
      <c r="AO443" s="2"/>
      <c r="AP443" s="2"/>
      <c r="AQ443" s="2"/>
      <c r="AR443" s="2"/>
      <c r="AS443" s="2"/>
      <c r="AT443" s="2"/>
      <c r="AU443" s="2"/>
      <c r="AV443" s="2"/>
      <c r="AW443" s="2"/>
      <c r="AX443" s="2"/>
      <c r="AY443" s="2"/>
      <c r="AZ443" s="4" t="s">
        <v>1202</v>
      </c>
      <c r="BA443" s="2"/>
      <c r="BB443" s="1"/>
      <c r="BC443" s="1"/>
    </row>
    <row r="444" spans="1:55" s="78" customFormat="1" ht="15" customHeight="1" x14ac:dyDescent="0.25">
      <c r="A444" s="52" t="s">
        <v>4453</v>
      </c>
      <c r="B444" s="34" t="s">
        <v>59</v>
      </c>
      <c r="C444" s="53">
        <v>2026</v>
      </c>
      <c r="D444" s="53">
        <v>2026</v>
      </c>
      <c r="E444" s="54" t="s">
        <v>3210</v>
      </c>
      <c r="F444" s="55" t="s">
        <v>50</v>
      </c>
      <c r="G444" s="55" t="s">
        <v>50</v>
      </c>
      <c r="H444" s="45" t="s">
        <v>1203</v>
      </c>
      <c r="I444" s="45" t="s">
        <v>52</v>
      </c>
      <c r="J444" s="56"/>
      <c r="K444" s="45" t="s">
        <v>137</v>
      </c>
      <c r="L444" s="55" t="s">
        <v>54</v>
      </c>
      <c r="M444" s="55" t="s">
        <v>113</v>
      </c>
      <c r="N444" s="45" t="s">
        <v>358</v>
      </c>
      <c r="O444" s="45"/>
      <c r="P444" s="55" t="s">
        <v>138</v>
      </c>
      <c r="Q444" s="55" t="s">
        <v>57</v>
      </c>
      <c r="R444" s="55"/>
      <c r="S444" s="56" t="s">
        <v>58</v>
      </c>
      <c r="T444" s="55" t="s">
        <v>81</v>
      </c>
      <c r="U444" s="57">
        <v>-999</v>
      </c>
      <c r="V444" s="57" t="s">
        <v>59</v>
      </c>
      <c r="W444" s="55" t="s">
        <v>2319</v>
      </c>
      <c r="X444" s="54" t="s">
        <v>4453</v>
      </c>
      <c r="Y444" s="52"/>
      <c r="Z444" s="1" t="s">
        <v>61</v>
      </c>
      <c r="AA444" s="2" t="s">
        <v>1204</v>
      </c>
      <c r="AB444" s="2"/>
      <c r="AC444" s="2"/>
      <c r="AD444" s="3" t="s">
        <v>62</v>
      </c>
      <c r="AE444" s="2" t="s">
        <v>184</v>
      </c>
      <c r="AF444" s="2"/>
      <c r="AG444" s="2" t="s">
        <v>1206</v>
      </c>
      <c r="AH444" s="2">
        <v>100</v>
      </c>
      <c r="AI444" s="2"/>
      <c r="AJ444" s="2"/>
      <c r="AK444" s="2"/>
      <c r="AL444" s="2"/>
      <c r="AM444" s="2"/>
      <c r="AN444" s="2"/>
      <c r="AO444" s="2"/>
      <c r="AP444" s="2"/>
      <c r="AQ444" s="2"/>
      <c r="AR444" s="2"/>
      <c r="AS444" s="2"/>
      <c r="AT444" s="2"/>
      <c r="AU444" s="2"/>
      <c r="AV444" s="2"/>
      <c r="AW444" s="2"/>
      <c r="AX444" s="2"/>
      <c r="AY444" s="2"/>
      <c r="AZ444" s="4" t="s">
        <v>1202</v>
      </c>
      <c r="BA444" s="2"/>
      <c r="BB444" s="1"/>
      <c r="BC444" s="1"/>
    </row>
    <row r="445" spans="1:55" s="78" customFormat="1" ht="15" customHeight="1" x14ac:dyDescent="0.25">
      <c r="A445" s="52" t="s">
        <v>4454</v>
      </c>
      <c r="B445" s="34" t="s">
        <v>59</v>
      </c>
      <c r="C445" s="53">
        <v>2026</v>
      </c>
      <c r="D445" s="53">
        <v>2026</v>
      </c>
      <c r="E445" s="54" t="s">
        <v>3211</v>
      </c>
      <c r="F445" s="55" t="s">
        <v>50</v>
      </c>
      <c r="G445" s="55" t="s">
        <v>50</v>
      </c>
      <c r="H445" s="45" t="s">
        <v>1208</v>
      </c>
      <c r="I445" s="45" t="s">
        <v>78</v>
      </c>
      <c r="J445" s="56"/>
      <c r="K445" s="55" t="s">
        <v>218</v>
      </c>
      <c r="L445" s="55"/>
      <c r="M445" s="55"/>
      <c r="N445" s="55" t="s">
        <v>181</v>
      </c>
      <c r="O445" s="55"/>
      <c r="P445" s="55" t="s">
        <v>811</v>
      </c>
      <c r="Q445" s="55" t="s">
        <v>5353</v>
      </c>
      <c r="R445" s="55"/>
      <c r="S445" s="56" t="s">
        <v>81</v>
      </c>
      <c r="T445" s="55" t="s">
        <v>81</v>
      </c>
      <c r="U445" s="57">
        <v>100000</v>
      </c>
      <c r="V445" s="57" t="s">
        <v>101</v>
      </c>
      <c r="W445" s="55"/>
      <c r="X445" s="54" t="s">
        <v>4454</v>
      </c>
      <c r="Y445" s="52"/>
      <c r="Z445" s="3" t="s">
        <v>61</v>
      </c>
      <c r="AA445" s="3" t="s">
        <v>1209</v>
      </c>
      <c r="AB445" s="3"/>
      <c r="AC445" s="3"/>
      <c r="AD445" s="3" t="s">
        <v>62</v>
      </c>
      <c r="AE445" s="3" t="s">
        <v>83</v>
      </c>
      <c r="AF445" s="3" t="s">
        <v>1210</v>
      </c>
      <c r="AG445" s="3" t="s">
        <v>1211</v>
      </c>
      <c r="AH445" s="58">
        <v>100</v>
      </c>
      <c r="AI445" s="3"/>
      <c r="AJ445" s="3"/>
      <c r="AK445" s="3"/>
      <c r="AL445" s="3"/>
      <c r="AM445" s="3"/>
      <c r="AN445" s="3"/>
      <c r="AO445" s="3"/>
      <c r="AP445" s="3"/>
      <c r="AQ445" s="3"/>
      <c r="AR445" s="3"/>
      <c r="AS445" s="3"/>
      <c r="AT445" s="3"/>
      <c r="AU445" s="3"/>
      <c r="AV445" s="3"/>
      <c r="AW445" s="3"/>
      <c r="AX445" s="3"/>
      <c r="AY445" s="3"/>
      <c r="AZ445" s="4" t="s">
        <v>1207</v>
      </c>
      <c r="BA445" s="3"/>
      <c r="BB445" s="1"/>
      <c r="BC445" s="1"/>
    </row>
    <row r="446" spans="1:55" s="78" customFormat="1" ht="15" customHeight="1" x14ac:dyDescent="0.25">
      <c r="A446" s="52" t="s">
        <v>4455</v>
      </c>
      <c r="B446" s="34" t="s">
        <v>59</v>
      </c>
      <c r="C446" s="53">
        <v>2026</v>
      </c>
      <c r="D446" s="53">
        <v>2026</v>
      </c>
      <c r="E446" s="54" t="s">
        <v>3212</v>
      </c>
      <c r="F446" s="55" t="s">
        <v>50</v>
      </c>
      <c r="G446" s="55" t="s">
        <v>50</v>
      </c>
      <c r="H446" s="45" t="s">
        <v>1212</v>
      </c>
      <c r="I446" s="45" t="s">
        <v>52</v>
      </c>
      <c r="J446" s="56"/>
      <c r="K446" s="55" t="s">
        <v>218</v>
      </c>
      <c r="L446" s="55"/>
      <c r="M446" s="55"/>
      <c r="N446" s="55" t="s">
        <v>1213</v>
      </c>
      <c r="O446" s="55"/>
      <c r="P446" s="55" t="s">
        <v>811</v>
      </c>
      <c r="Q446" s="55" t="s">
        <v>5353</v>
      </c>
      <c r="R446" s="55"/>
      <c r="S446" s="56" t="s">
        <v>81</v>
      </c>
      <c r="T446" s="55" t="s">
        <v>81</v>
      </c>
      <c r="U446" s="57">
        <v>100000</v>
      </c>
      <c r="V446" s="57" t="s">
        <v>101</v>
      </c>
      <c r="W446" s="55"/>
      <c r="X446" s="54" t="s">
        <v>4455</v>
      </c>
      <c r="Y446" s="52"/>
      <c r="Z446" s="3" t="s">
        <v>61</v>
      </c>
      <c r="AA446" s="3" t="s">
        <v>1209</v>
      </c>
      <c r="AB446" s="3"/>
      <c r="AC446" s="3"/>
      <c r="AD446" s="3" t="s">
        <v>62</v>
      </c>
      <c r="AE446" s="3" t="s">
        <v>83</v>
      </c>
      <c r="AF446" s="3" t="s">
        <v>1210</v>
      </c>
      <c r="AG446" s="3" t="s">
        <v>1211</v>
      </c>
      <c r="AH446" s="58">
        <v>100</v>
      </c>
      <c r="AI446" s="3"/>
      <c r="AJ446" s="3"/>
      <c r="AK446" s="3"/>
      <c r="AL446" s="3"/>
      <c r="AM446" s="3"/>
      <c r="AN446" s="3"/>
      <c r="AO446" s="3"/>
      <c r="AP446" s="3"/>
      <c r="AQ446" s="3"/>
      <c r="AR446" s="3"/>
      <c r="AS446" s="3"/>
      <c r="AT446" s="3"/>
      <c r="AU446" s="3"/>
      <c r="AV446" s="3"/>
      <c r="AW446" s="3"/>
      <c r="AX446" s="3"/>
      <c r="AY446" s="3"/>
      <c r="AZ446" s="4" t="s">
        <v>1207</v>
      </c>
      <c r="BA446" s="3"/>
      <c r="BB446" s="1"/>
      <c r="BC446" s="1"/>
    </row>
    <row r="447" spans="1:55" s="78" customFormat="1" ht="15" customHeight="1" x14ac:dyDescent="0.25">
      <c r="A447" s="52" t="s">
        <v>4456</v>
      </c>
      <c r="B447" s="34" t="s">
        <v>59</v>
      </c>
      <c r="C447" s="53">
        <v>2026</v>
      </c>
      <c r="D447" s="53">
        <v>2026</v>
      </c>
      <c r="E447" s="54" t="s">
        <v>3213</v>
      </c>
      <c r="F447" s="55" t="s">
        <v>50</v>
      </c>
      <c r="G447" s="55" t="s">
        <v>50</v>
      </c>
      <c r="H447" s="45" t="s">
        <v>1215</v>
      </c>
      <c r="I447" s="56" t="s">
        <v>78</v>
      </c>
      <c r="J447" s="56"/>
      <c r="K447" s="55" t="s">
        <v>841</v>
      </c>
      <c r="L447" s="55" t="s">
        <v>88</v>
      </c>
      <c r="M447" s="55"/>
      <c r="N447" s="55" t="s">
        <v>110</v>
      </c>
      <c r="O447" s="55"/>
      <c r="P447" s="55" t="s">
        <v>842</v>
      </c>
      <c r="Q447" s="55" t="s">
        <v>57</v>
      </c>
      <c r="R447" s="55"/>
      <c r="S447" s="56" t="s">
        <v>58</v>
      </c>
      <c r="T447" s="55" t="s">
        <v>81</v>
      </c>
      <c r="U447" s="57">
        <v>254</v>
      </c>
      <c r="V447" s="57" t="s">
        <v>101</v>
      </c>
      <c r="W447" s="55" t="s">
        <v>2319</v>
      </c>
      <c r="X447" s="54" t="s">
        <v>4456</v>
      </c>
      <c r="Y447" s="52"/>
      <c r="Z447" s="1" t="s">
        <v>61</v>
      </c>
      <c r="AA447" s="1" t="s">
        <v>941</v>
      </c>
      <c r="AB447" s="1"/>
      <c r="AC447" s="1"/>
      <c r="AD447" s="3" t="s">
        <v>62</v>
      </c>
      <c r="AE447" s="1" t="s">
        <v>336</v>
      </c>
      <c r="AF447" s="1" t="s">
        <v>943</v>
      </c>
      <c r="AG447" s="1" t="s">
        <v>943</v>
      </c>
      <c r="AH447" s="58">
        <v>100</v>
      </c>
      <c r="AI447" s="3"/>
      <c r="AJ447" s="3"/>
      <c r="AK447" s="3"/>
      <c r="AL447" s="3"/>
      <c r="AM447" s="3"/>
      <c r="AN447" s="3"/>
      <c r="AO447" s="3"/>
      <c r="AP447" s="3"/>
      <c r="AQ447" s="3"/>
      <c r="AR447" s="3"/>
      <c r="AS447" s="3"/>
      <c r="AT447" s="3"/>
      <c r="AU447" s="3"/>
      <c r="AV447" s="3"/>
      <c r="AW447" s="3"/>
      <c r="AX447" s="3"/>
      <c r="AY447" s="3"/>
      <c r="AZ447" s="4" t="s">
        <v>1214</v>
      </c>
      <c r="BA447" s="4"/>
      <c r="BB447" s="1"/>
      <c r="BC447" s="1"/>
    </row>
    <row r="448" spans="1:55" s="78" customFormat="1" ht="15" customHeight="1" x14ac:dyDescent="0.25">
      <c r="A448" s="52" t="s">
        <v>4457</v>
      </c>
      <c r="B448" s="34" t="s">
        <v>59</v>
      </c>
      <c r="C448" s="53">
        <v>2026</v>
      </c>
      <c r="D448" s="53">
        <v>2026</v>
      </c>
      <c r="E448" s="54" t="s">
        <v>3213</v>
      </c>
      <c r="F448" s="55" t="s">
        <v>50</v>
      </c>
      <c r="G448" s="55" t="s">
        <v>50</v>
      </c>
      <c r="H448" s="45" t="s">
        <v>1215</v>
      </c>
      <c r="I448" s="56" t="s">
        <v>78</v>
      </c>
      <c r="J448" s="56"/>
      <c r="K448" s="56" t="s">
        <v>53</v>
      </c>
      <c r="L448" s="55" t="s">
        <v>88</v>
      </c>
      <c r="M448" s="55"/>
      <c r="N448" s="56" t="s">
        <v>110</v>
      </c>
      <c r="O448" s="56"/>
      <c r="P448" s="55" t="s">
        <v>56</v>
      </c>
      <c r="Q448" s="55" t="s">
        <v>57</v>
      </c>
      <c r="R448" s="55"/>
      <c r="S448" s="56" t="s">
        <v>58</v>
      </c>
      <c r="T448" s="55" t="str">
        <f>IF(ISNUMBER(SEARCH(",",N448)),"Y","N")</f>
        <v>N</v>
      </c>
      <c r="U448" s="57">
        <v>361</v>
      </c>
      <c r="V448" s="57" t="s">
        <v>101</v>
      </c>
      <c r="W448" s="55" t="s">
        <v>2319</v>
      </c>
      <c r="X448" s="54" t="s">
        <v>4457</v>
      </c>
      <c r="Y448" s="52"/>
      <c r="Z448" s="1" t="s">
        <v>61</v>
      </c>
      <c r="AA448" s="1" t="s">
        <v>941</v>
      </c>
      <c r="AB448" s="1"/>
      <c r="AC448" s="1"/>
      <c r="AD448" s="3" t="s">
        <v>62</v>
      </c>
      <c r="AE448" s="1" t="s">
        <v>336</v>
      </c>
      <c r="AF448" s="1" t="s">
        <v>943</v>
      </c>
      <c r="AG448" s="1" t="s">
        <v>943</v>
      </c>
      <c r="AH448" s="2">
        <v>100</v>
      </c>
      <c r="AI448" s="1"/>
      <c r="AJ448" s="1"/>
      <c r="AK448" s="1"/>
      <c r="AL448" s="1"/>
      <c r="AM448" s="1"/>
      <c r="AN448" s="1"/>
      <c r="AO448" s="1"/>
      <c r="AP448" s="1"/>
      <c r="AQ448" s="1"/>
      <c r="AR448" s="1"/>
      <c r="AS448" s="1"/>
      <c r="AT448" s="1"/>
      <c r="AU448" s="1"/>
      <c r="AV448" s="1"/>
      <c r="AW448" s="1"/>
      <c r="AX448" s="1"/>
      <c r="AY448" s="1"/>
      <c r="AZ448" s="4" t="s">
        <v>1214</v>
      </c>
      <c r="BA448" s="4"/>
      <c r="BB448" s="1"/>
      <c r="BC448" s="1"/>
    </row>
    <row r="449" spans="1:55" s="78" customFormat="1" ht="15" customHeight="1" x14ac:dyDescent="0.25">
      <c r="A449" s="52" t="s">
        <v>4458</v>
      </c>
      <c r="B449" s="34" t="s">
        <v>59</v>
      </c>
      <c r="C449" s="53">
        <v>2026</v>
      </c>
      <c r="D449" s="53">
        <v>2026</v>
      </c>
      <c r="E449" s="54" t="s">
        <v>3213</v>
      </c>
      <c r="F449" s="55" t="s">
        <v>50</v>
      </c>
      <c r="G449" s="55" t="s">
        <v>50</v>
      </c>
      <c r="H449" s="45" t="s">
        <v>1215</v>
      </c>
      <c r="I449" s="56" t="s">
        <v>78</v>
      </c>
      <c r="J449" s="56"/>
      <c r="K449" s="56" t="s">
        <v>582</v>
      </c>
      <c r="L449" s="55" t="s">
        <v>88</v>
      </c>
      <c r="M449" s="55"/>
      <c r="N449" s="56" t="s">
        <v>110</v>
      </c>
      <c r="O449" s="56"/>
      <c r="P449" s="61" t="s">
        <v>583</v>
      </c>
      <c r="Q449" s="61" t="s">
        <v>57</v>
      </c>
      <c r="R449" s="55"/>
      <c r="S449" s="56" t="s">
        <v>58</v>
      </c>
      <c r="T449" s="55" t="str">
        <f>IF(ISNUMBER(SEARCH(",",N449)),"Y","N")</f>
        <v>N</v>
      </c>
      <c r="U449" s="57">
        <v>3413</v>
      </c>
      <c r="V449" s="57" t="s">
        <v>101</v>
      </c>
      <c r="W449" s="55" t="s">
        <v>2319</v>
      </c>
      <c r="X449" s="54" t="s">
        <v>4458</v>
      </c>
      <c r="Y449" s="52"/>
      <c r="Z449" s="1" t="s">
        <v>61</v>
      </c>
      <c r="AA449" s="1" t="s">
        <v>941</v>
      </c>
      <c r="AB449" s="1"/>
      <c r="AC449" s="1"/>
      <c r="AD449" s="3" t="s">
        <v>62</v>
      </c>
      <c r="AE449" s="1" t="s">
        <v>336</v>
      </c>
      <c r="AF449" s="68" t="s">
        <v>943</v>
      </c>
      <c r="AG449" s="3" t="s">
        <v>943</v>
      </c>
      <c r="AH449" s="59">
        <v>100</v>
      </c>
      <c r="AI449" s="1"/>
      <c r="AJ449" s="59"/>
      <c r="AK449" s="1"/>
      <c r="AL449" s="60"/>
      <c r="AM449" s="1"/>
      <c r="AN449" s="60"/>
      <c r="AO449" s="1"/>
      <c r="AP449" s="60"/>
      <c r="AQ449" s="1"/>
      <c r="AR449" s="60"/>
      <c r="AS449" s="1"/>
      <c r="AT449" s="60"/>
      <c r="AU449" s="1"/>
      <c r="AV449" s="60"/>
      <c r="AW449" s="1"/>
      <c r="AX449" s="60"/>
      <c r="AY449" s="1"/>
      <c r="AZ449" s="4" t="s">
        <v>1216</v>
      </c>
      <c r="BA449" s="4"/>
      <c r="BB449" s="1"/>
      <c r="BC449" s="1"/>
    </row>
    <row r="450" spans="1:55" s="78" customFormat="1" ht="15" customHeight="1" x14ac:dyDescent="0.25">
      <c r="A450" s="52" t="s">
        <v>4459</v>
      </c>
      <c r="B450" s="34" t="s">
        <v>59</v>
      </c>
      <c r="C450" s="53">
        <v>2026</v>
      </c>
      <c r="D450" s="53">
        <v>2026</v>
      </c>
      <c r="E450" s="54" t="s">
        <v>3213</v>
      </c>
      <c r="F450" s="55" t="s">
        <v>50</v>
      </c>
      <c r="G450" s="55" t="s">
        <v>50</v>
      </c>
      <c r="H450" s="45" t="s">
        <v>1215</v>
      </c>
      <c r="I450" s="56" t="s">
        <v>78</v>
      </c>
      <c r="J450" s="56"/>
      <c r="K450" s="56" t="s">
        <v>74</v>
      </c>
      <c r="L450" s="55" t="s">
        <v>88</v>
      </c>
      <c r="M450" s="55"/>
      <c r="N450" s="56" t="s">
        <v>110</v>
      </c>
      <c r="O450" s="56"/>
      <c r="P450" s="55" t="s">
        <v>75</v>
      </c>
      <c r="Q450" s="56" t="s">
        <v>57</v>
      </c>
      <c r="R450" s="55"/>
      <c r="S450" s="56" t="s">
        <v>58</v>
      </c>
      <c r="T450" s="55" t="str">
        <f>IF(ISNUMBER(SEARCH(",",N450)),"Y","N")</f>
        <v>N</v>
      </c>
      <c r="U450" s="57">
        <v>42.524000000000001</v>
      </c>
      <c r="V450" s="57" t="s">
        <v>101</v>
      </c>
      <c r="W450" s="55" t="s">
        <v>2319</v>
      </c>
      <c r="X450" s="54" t="s">
        <v>4459</v>
      </c>
      <c r="Y450" s="52"/>
      <c r="Z450" s="1" t="s">
        <v>61</v>
      </c>
      <c r="AA450" s="1" t="s">
        <v>941</v>
      </c>
      <c r="AB450" s="1"/>
      <c r="AC450" s="1"/>
      <c r="AD450" s="3" t="s">
        <v>62</v>
      </c>
      <c r="AE450" s="1" t="s">
        <v>336</v>
      </c>
      <c r="AF450" s="68" t="s">
        <v>943</v>
      </c>
      <c r="AG450" s="3" t="s">
        <v>943</v>
      </c>
      <c r="AH450" s="59">
        <v>100</v>
      </c>
      <c r="AI450" s="1"/>
      <c r="AJ450" s="59"/>
      <c r="AK450" s="1"/>
      <c r="AL450" s="60"/>
      <c r="AM450" s="1"/>
      <c r="AN450" s="60"/>
      <c r="AO450" s="1"/>
      <c r="AP450" s="60"/>
      <c r="AQ450" s="1"/>
      <c r="AR450" s="60"/>
      <c r="AS450" s="1"/>
      <c r="AT450" s="60"/>
      <c r="AU450" s="1"/>
      <c r="AV450" s="60"/>
      <c r="AW450" s="1"/>
      <c r="AX450" s="60"/>
      <c r="AY450" s="1"/>
      <c r="AZ450" s="4" t="s">
        <v>1216</v>
      </c>
      <c r="BA450" s="4"/>
      <c r="BB450" s="1"/>
      <c r="BC450" s="1"/>
    </row>
    <row r="451" spans="1:55" s="78" customFormat="1" ht="15" customHeight="1" x14ac:dyDescent="0.25">
      <c r="A451" s="52" t="s">
        <v>4460</v>
      </c>
      <c r="B451" s="34" t="s">
        <v>59</v>
      </c>
      <c r="C451" s="53">
        <v>2026</v>
      </c>
      <c r="D451" s="53">
        <v>2026</v>
      </c>
      <c r="E451" s="54" t="s">
        <v>3214</v>
      </c>
      <c r="F451" s="55" t="s">
        <v>50</v>
      </c>
      <c r="G451" s="55" t="s">
        <v>50</v>
      </c>
      <c r="H451" s="45" t="s">
        <v>1219</v>
      </c>
      <c r="I451" s="45" t="s">
        <v>52</v>
      </c>
      <c r="J451" s="56"/>
      <c r="K451" s="55" t="s">
        <v>71</v>
      </c>
      <c r="L451" s="55" t="s">
        <v>54</v>
      </c>
      <c r="M451" s="55"/>
      <c r="N451" s="55" t="s">
        <v>55</v>
      </c>
      <c r="O451" s="55" t="s">
        <v>160</v>
      </c>
      <c r="P451" s="55" t="s">
        <v>73</v>
      </c>
      <c r="Q451" s="55" t="s">
        <v>57</v>
      </c>
      <c r="R451" s="55"/>
      <c r="S451" s="56" t="s">
        <v>81</v>
      </c>
      <c r="T451" s="55" t="str">
        <f>IF(ISNUMBER(SEARCH(",",N451)),"Y","N")</f>
        <v>N</v>
      </c>
      <c r="U451" s="57">
        <v>-999</v>
      </c>
      <c r="V451" s="57" t="s">
        <v>59</v>
      </c>
      <c r="W451" s="55" t="s">
        <v>2319</v>
      </c>
      <c r="X451" s="54" t="s">
        <v>4460</v>
      </c>
      <c r="Y451" s="52"/>
      <c r="Z451" s="1" t="s">
        <v>61</v>
      </c>
      <c r="AA451" s="1" t="s">
        <v>1220</v>
      </c>
      <c r="AB451" s="1"/>
      <c r="AC451" s="1"/>
      <c r="AD451" s="3" t="s">
        <v>62</v>
      </c>
      <c r="AE451" s="3" t="s">
        <v>97</v>
      </c>
      <c r="AF451" s="3" t="s">
        <v>1221</v>
      </c>
      <c r="AG451" s="3" t="s">
        <v>1222</v>
      </c>
      <c r="AH451" s="58">
        <v>100</v>
      </c>
      <c r="AI451" s="3"/>
      <c r="AJ451" s="3"/>
      <c r="AK451" s="3"/>
      <c r="AL451" s="3"/>
      <c r="AM451" s="3"/>
      <c r="AN451" s="3"/>
      <c r="AO451" s="3"/>
      <c r="AP451" s="3"/>
      <c r="AQ451" s="3"/>
      <c r="AR451" s="3"/>
      <c r="AS451" s="3"/>
      <c r="AT451" s="3"/>
      <c r="AU451" s="3"/>
      <c r="AV451" s="3"/>
      <c r="AW451" s="3"/>
      <c r="AX451" s="3"/>
      <c r="AY451" s="3"/>
      <c r="AZ451" s="4" t="s">
        <v>1218</v>
      </c>
      <c r="BA451" s="3"/>
      <c r="BB451" s="1"/>
      <c r="BC451" s="1"/>
    </row>
    <row r="452" spans="1:55" s="78" customFormat="1" ht="15" customHeight="1" x14ac:dyDescent="0.25">
      <c r="A452" s="52" t="s">
        <v>4461</v>
      </c>
      <c r="B452" s="34" t="s">
        <v>59</v>
      </c>
      <c r="C452" s="53">
        <v>2026</v>
      </c>
      <c r="D452" s="53">
        <v>2026</v>
      </c>
      <c r="E452" s="54" t="s">
        <v>3215</v>
      </c>
      <c r="F452" s="55" t="s">
        <v>50</v>
      </c>
      <c r="G452" s="55" t="s">
        <v>50</v>
      </c>
      <c r="H452" s="45" t="s">
        <v>1223</v>
      </c>
      <c r="I452" s="56" t="s">
        <v>52</v>
      </c>
      <c r="J452" s="56"/>
      <c r="K452" s="45" t="s">
        <v>285</v>
      </c>
      <c r="L452" s="55" t="str">
        <f>IF(K452="Mine or Quarry","Mine","")</f>
        <v/>
      </c>
      <c r="M452" s="55"/>
      <c r="N452" s="56" t="s">
        <v>1224</v>
      </c>
      <c r="O452" s="56"/>
      <c r="P452" s="55" t="s">
        <v>89</v>
      </c>
      <c r="Q452" s="55" t="s">
        <v>89</v>
      </c>
      <c r="R452" s="55"/>
      <c r="S452" s="56" t="s">
        <v>58</v>
      </c>
      <c r="T452" s="55" t="str">
        <f>IF(ISNUMBER(SEARCH(",",N452)),"Y","N")</f>
        <v>Y</v>
      </c>
      <c r="U452" s="57">
        <v>-999</v>
      </c>
      <c r="V452" s="57" t="s">
        <v>59</v>
      </c>
      <c r="W452" s="55" t="s">
        <v>2319</v>
      </c>
      <c r="X452" s="54" t="s">
        <v>4461</v>
      </c>
      <c r="Y452" s="52"/>
      <c r="Z452" s="1" t="s">
        <v>61</v>
      </c>
      <c r="AA452" s="3" t="s">
        <v>1225</v>
      </c>
      <c r="AB452" s="3"/>
      <c r="AC452" s="3"/>
      <c r="AD452" s="3" t="s">
        <v>62</v>
      </c>
      <c r="AE452" s="1" t="s">
        <v>206</v>
      </c>
      <c r="AF452" s="1"/>
      <c r="AG452" s="1" t="s">
        <v>1226</v>
      </c>
      <c r="AH452" s="2">
        <v>100</v>
      </c>
      <c r="AI452" s="1"/>
      <c r="AJ452" s="1"/>
      <c r="AK452" s="1"/>
      <c r="AL452" s="1"/>
      <c r="AM452" s="1"/>
      <c r="AN452" s="1"/>
      <c r="AO452" s="1"/>
      <c r="AP452" s="1"/>
      <c r="AQ452" s="1"/>
      <c r="AR452" s="1"/>
      <c r="AS452" s="1"/>
      <c r="AT452" s="1"/>
      <c r="AU452" s="1"/>
      <c r="AV452" s="1"/>
      <c r="AW452" s="1"/>
      <c r="AX452" s="1"/>
      <c r="AY452" s="1"/>
      <c r="AZ452" s="1" t="s">
        <v>284</v>
      </c>
      <c r="BA452" s="1"/>
      <c r="BB452" s="1"/>
      <c r="BC452" s="1"/>
    </row>
    <row r="453" spans="1:55" s="78" customFormat="1" ht="15" customHeight="1" x14ac:dyDescent="0.25">
      <c r="A453" s="52" t="s">
        <v>4462</v>
      </c>
      <c r="B453" s="34" t="s">
        <v>59</v>
      </c>
      <c r="C453" s="53">
        <v>2026</v>
      </c>
      <c r="D453" s="53">
        <v>2026</v>
      </c>
      <c r="E453" s="54" t="s">
        <v>3216</v>
      </c>
      <c r="F453" s="55" t="s">
        <v>50</v>
      </c>
      <c r="G453" s="55" t="s">
        <v>50</v>
      </c>
      <c r="H453" s="45" t="s">
        <v>1228</v>
      </c>
      <c r="I453" s="56" t="s">
        <v>52</v>
      </c>
      <c r="J453" s="56" t="s">
        <v>291</v>
      </c>
      <c r="K453" s="55" t="s">
        <v>291</v>
      </c>
      <c r="L453" s="55"/>
      <c r="M453" s="55"/>
      <c r="N453" s="56" t="s">
        <v>300</v>
      </c>
      <c r="O453" s="55"/>
      <c r="P453" s="56" t="s">
        <v>89</v>
      </c>
      <c r="Q453" s="56" t="s">
        <v>89</v>
      </c>
      <c r="R453" s="55"/>
      <c r="S453" s="56" t="s">
        <v>81</v>
      </c>
      <c r="T453" s="55" t="s">
        <v>81</v>
      </c>
      <c r="U453" s="57">
        <v>70000</v>
      </c>
      <c r="V453" s="57" t="s">
        <v>101</v>
      </c>
      <c r="W453" s="55" t="s">
        <v>2319</v>
      </c>
      <c r="X453" s="54" t="s">
        <v>4462</v>
      </c>
      <c r="Y453" s="52"/>
      <c r="Z453" s="3" t="s">
        <v>61</v>
      </c>
      <c r="AA453" s="3" t="s">
        <v>1225</v>
      </c>
      <c r="AB453" s="3"/>
      <c r="AC453" s="3"/>
      <c r="AD453" s="3" t="s">
        <v>62</v>
      </c>
      <c r="AE453" s="3" t="s">
        <v>206</v>
      </c>
      <c r="AF453" s="3"/>
      <c r="AG453" s="3" t="s">
        <v>1229</v>
      </c>
      <c r="AH453" s="58">
        <v>100</v>
      </c>
      <c r="AI453" s="3"/>
      <c r="AJ453" s="3"/>
      <c r="AK453" s="3"/>
      <c r="AL453" s="3"/>
      <c r="AM453" s="3"/>
      <c r="AN453" s="3"/>
      <c r="AO453" s="3"/>
      <c r="AP453" s="3"/>
      <c r="AQ453" s="3"/>
      <c r="AR453" s="3"/>
      <c r="AS453" s="3"/>
      <c r="AT453" s="3"/>
      <c r="AU453" s="3"/>
      <c r="AV453" s="3"/>
      <c r="AW453" s="3"/>
      <c r="AX453" s="3"/>
      <c r="AY453" s="3"/>
      <c r="AZ453" s="4" t="s">
        <v>1227</v>
      </c>
      <c r="BA453" s="3"/>
      <c r="BB453" s="1"/>
      <c r="BC453" s="1"/>
    </row>
    <row r="454" spans="1:55" s="78" customFormat="1" ht="15" customHeight="1" x14ac:dyDescent="0.25">
      <c r="A454" s="52" t="s">
        <v>4463</v>
      </c>
      <c r="B454" s="34" t="s">
        <v>59</v>
      </c>
      <c r="C454" s="53">
        <v>2026</v>
      </c>
      <c r="D454" s="53">
        <v>2026</v>
      </c>
      <c r="E454" s="54" t="s">
        <v>3217</v>
      </c>
      <c r="F454" s="55" t="s">
        <v>50</v>
      </c>
      <c r="G454" s="55" t="s">
        <v>50</v>
      </c>
      <c r="H454" s="45" t="s">
        <v>1230</v>
      </c>
      <c r="I454" s="56" t="s">
        <v>52</v>
      </c>
      <c r="J454" s="56"/>
      <c r="K454" s="56" t="s">
        <v>87</v>
      </c>
      <c r="L454" s="55" t="str">
        <f>IF(K454="Mine or Quarry","Mine","")</f>
        <v/>
      </c>
      <c r="M454" s="55"/>
      <c r="N454" s="56"/>
      <c r="O454" s="56" t="s">
        <v>2986</v>
      </c>
      <c r="P454" s="56" t="s">
        <v>89</v>
      </c>
      <c r="Q454" s="56" t="s">
        <v>89</v>
      </c>
      <c r="R454" s="55"/>
      <c r="S454" s="56" t="s">
        <v>81</v>
      </c>
      <c r="T454" s="55" t="s">
        <v>58</v>
      </c>
      <c r="U454" s="57">
        <v>-999</v>
      </c>
      <c r="V454" s="57" t="s">
        <v>59</v>
      </c>
      <c r="W454" s="55" t="s">
        <v>2319</v>
      </c>
      <c r="X454" s="54" t="s">
        <v>4463</v>
      </c>
      <c r="Y454" s="52"/>
      <c r="Z454" s="1" t="s">
        <v>61</v>
      </c>
      <c r="AA454" s="1" t="s">
        <v>1231</v>
      </c>
      <c r="AB454" s="1"/>
      <c r="AC454" s="1"/>
      <c r="AD454" s="3" t="s">
        <v>62</v>
      </c>
      <c r="AE454" s="1" t="s">
        <v>115</v>
      </c>
      <c r="AF454" s="1" t="s">
        <v>947</v>
      </c>
      <c r="AG454" s="1" t="s">
        <v>947</v>
      </c>
      <c r="AH454" s="1"/>
      <c r="AI454" s="1"/>
      <c r="AJ454" s="1"/>
      <c r="AK454" s="1"/>
      <c r="AL454" s="1"/>
      <c r="AM454" s="1"/>
      <c r="AN454" s="1"/>
      <c r="AO454" s="1"/>
      <c r="AP454" s="1"/>
      <c r="AQ454" s="1"/>
      <c r="AR454" s="1"/>
      <c r="AS454" s="1"/>
      <c r="AT454" s="1"/>
      <c r="AU454" s="1"/>
      <c r="AV454" s="1"/>
      <c r="AW454" s="1"/>
      <c r="AX454" s="1"/>
      <c r="AY454" s="1"/>
      <c r="AZ454" s="5" t="s">
        <v>1074</v>
      </c>
      <c r="BA454" s="5"/>
      <c r="BB454" s="1"/>
      <c r="BC454" s="1"/>
    </row>
    <row r="455" spans="1:55" s="78" customFormat="1" ht="15" customHeight="1" x14ac:dyDescent="0.25">
      <c r="A455" s="52" t="s">
        <v>4464</v>
      </c>
      <c r="B455" s="34" t="s">
        <v>59</v>
      </c>
      <c r="C455" s="53">
        <v>2026</v>
      </c>
      <c r="D455" s="53">
        <v>2026</v>
      </c>
      <c r="E455" s="54" t="s">
        <v>3218</v>
      </c>
      <c r="F455" s="55" t="s">
        <v>50</v>
      </c>
      <c r="G455" s="55" t="s">
        <v>50</v>
      </c>
      <c r="H455" s="45" t="s">
        <v>1233</v>
      </c>
      <c r="I455" s="56" t="s">
        <v>78</v>
      </c>
      <c r="J455" s="56"/>
      <c r="K455" s="55" t="s">
        <v>140</v>
      </c>
      <c r="L455" s="55" t="s">
        <v>88</v>
      </c>
      <c r="M455" s="55"/>
      <c r="N455" s="55" t="s">
        <v>110</v>
      </c>
      <c r="O455" s="56" t="s">
        <v>5357</v>
      </c>
      <c r="P455" s="55" t="s">
        <v>271</v>
      </c>
      <c r="Q455" s="55" t="s">
        <v>5353</v>
      </c>
      <c r="R455" s="55"/>
      <c r="S455" s="56" t="s">
        <v>58</v>
      </c>
      <c r="T455" s="55" t="s">
        <v>81</v>
      </c>
      <c r="U455" s="57">
        <v>690000</v>
      </c>
      <c r="V455" s="57" t="s">
        <v>101</v>
      </c>
      <c r="W455" s="55" t="s">
        <v>5328</v>
      </c>
      <c r="X455" s="54" t="s">
        <v>5334</v>
      </c>
      <c r="Y455" s="52" t="s">
        <v>5333</v>
      </c>
      <c r="Z455" s="3" t="s">
        <v>61</v>
      </c>
      <c r="AA455" s="3" t="s">
        <v>1234</v>
      </c>
      <c r="AB455" s="3"/>
      <c r="AC455" s="3"/>
      <c r="AD455" s="3" t="s">
        <v>62</v>
      </c>
      <c r="AE455" s="3" t="s">
        <v>262</v>
      </c>
      <c r="AF455" s="3"/>
      <c r="AG455" s="3" t="s">
        <v>983</v>
      </c>
      <c r="AH455" s="58">
        <v>100</v>
      </c>
      <c r="AI455" s="3"/>
      <c r="AJ455" s="3"/>
      <c r="AK455" s="3"/>
      <c r="AL455" s="3"/>
      <c r="AM455" s="3"/>
      <c r="AN455" s="3"/>
      <c r="AO455" s="3"/>
      <c r="AP455" s="3"/>
      <c r="AQ455" s="3"/>
      <c r="AR455" s="3"/>
      <c r="AS455" s="3"/>
      <c r="AT455" s="3"/>
      <c r="AU455" s="3"/>
      <c r="AV455" s="3"/>
      <c r="AW455" s="3"/>
      <c r="AX455" s="3"/>
      <c r="AY455" s="3"/>
      <c r="AZ455" s="4" t="s">
        <v>1232</v>
      </c>
      <c r="BA455" s="3"/>
      <c r="BB455" s="1"/>
      <c r="BC455" s="1"/>
    </row>
    <row r="456" spans="1:55" s="78" customFormat="1" ht="15" customHeight="1" x14ac:dyDescent="0.25">
      <c r="A456" s="52" t="s">
        <v>4465</v>
      </c>
      <c r="B456" s="34" t="s">
        <v>59</v>
      </c>
      <c r="C456" s="53">
        <v>2026</v>
      </c>
      <c r="D456" s="53">
        <v>2026</v>
      </c>
      <c r="E456" s="54" t="s">
        <v>3218</v>
      </c>
      <c r="F456" s="55" t="s">
        <v>50</v>
      </c>
      <c r="G456" s="55" t="s">
        <v>50</v>
      </c>
      <c r="H456" s="45" t="s">
        <v>1233</v>
      </c>
      <c r="I456" s="56" t="s">
        <v>78</v>
      </c>
      <c r="J456" s="56"/>
      <c r="K456" s="55" t="s">
        <v>148</v>
      </c>
      <c r="L456" s="55"/>
      <c r="M456" s="55"/>
      <c r="N456" s="55" t="s">
        <v>110</v>
      </c>
      <c r="O456" s="55" t="s">
        <v>5358</v>
      </c>
      <c r="P456" s="55" t="s">
        <v>150</v>
      </c>
      <c r="Q456" s="61" t="s">
        <v>57</v>
      </c>
      <c r="R456" s="55"/>
      <c r="S456" s="56" t="s">
        <v>58</v>
      </c>
      <c r="T456" s="55" t="s">
        <v>81</v>
      </c>
      <c r="U456" s="57">
        <v>-999</v>
      </c>
      <c r="V456" s="57" t="s">
        <v>59</v>
      </c>
      <c r="W456" s="55"/>
      <c r="X456" s="54" t="s">
        <v>4465</v>
      </c>
      <c r="Y456" s="52"/>
      <c r="Z456" s="3" t="s">
        <v>61</v>
      </c>
      <c r="AA456" s="3" t="s">
        <v>1234</v>
      </c>
      <c r="AB456" s="3"/>
      <c r="AC456" s="3"/>
      <c r="AD456" s="3" t="s">
        <v>62</v>
      </c>
      <c r="AE456" s="3" t="s">
        <v>262</v>
      </c>
      <c r="AF456" s="3"/>
      <c r="AG456" s="3" t="s">
        <v>983</v>
      </c>
      <c r="AH456" s="58">
        <v>100</v>
      </c>
      <c r="AI456" s="3"/>
      <c r="AJ456" s="3"/>
      <c r="AK456" s="3"/>
      <c r="AL456" s="3"/>
      <c r="AM456" s="3"/>
      <c r="AN456" s="3"/>
      <c r="AO456" s="3"/>
      <c r="AP456" s="3"/>
      <c r="AQ456" s="3"/>
      <c r="AR456" s="3"/>
      <c r="AS456" s="3"/>
      <c r="AT456" s="3"/>
      <c r="AU456" s="3"/>
      <c r="AV456" s="3"/>
      <c r="AW456" s="3"/>
      <c r="AX456" s="3"/>
      <c r="AY456" s="3"/>
      <c r="AZ456" s="4" t="s">
        <v>1232</v>
      </c>
      <c r="BA456" s="3"/>
      <c r="BB456" s="1"/>
      <c r="BC456" s="1"/>
    </row>
    <row r="457" spans="1:55" s="78" customFormat="1" ht="15" customHeight="1" x14ac:dyDescent="0.25">
      <c r="A457" s="52" t="s">
        <v>4466</v>
      </c>
      <c r="B457" s="34" t="s">
        <v>59</v>
      </c>
      <c r="C457" s="53">
        <v>2026</v>
      </c>
      <c r="D457" s="53">
        <v>2026</v>
      </c>
      <c r="E457" s="54" t="s">
        <v>3219</v>
      </c>
      <c r="F457" s="55" t="s">
        <v>50</v>
      </c>
      <c r="G457" s="55" t="s">
        <v>50</v>
      </c>
      <c r="H457" s="45" t="s">
        <v>1236</v>
      </c>
      <c r="I457" s="56" t="s">
        <v>78</v>
      </c>
      <c r="J457" s="55" t="s">
        <v>384</v>
      </c>
      <c r="K457" s="55" t="s">
        <v>384</v>
      </c>
      <c r="L457" s="55" t="s">
        <v>88</v>
      </c>
      <c r="M457" s="55"/>
      <c r="N457" s="56" t="s">
        <v>110</v>
      </c>
      <c r="O457" s="56"/>
      <c r="P457" s="56" t="s">
        <v>89</v>
      </c>
      <c r="Q457" s="55" t="s">
        <v>89</v>
      </c>
      <c r="R457" s="55"/>
      <c r="S457" s="56" t="s">
        <v>58</v>
      </c>
      <c r="T457" s="55" t="s">
        <v>58</v>
      </c>
      <c r="U457" s="57">
        <v>2500</v>
      </c>
      <c r="V457" s="57" t="s">
        <v>101</v>
      </c>
      <c r="W457" s="55" t="s">
        <v>2319</v>
      </c>
      <c r="X457" s="54" t="s">
        <v>4466</v>
      </c>
      <c r="Y457" s="52"/>
      <c r="Z457" s="2" t="s">
        <v>61</v>
      </c>
      <c r="AA457" s="1" t="s">
        <v>1237</v>
      </c>
      <c r="AB457" s="1"/>
      <c r="AC457" s="1"/>
      <c r="AD457" s="3" t="s">
        <v>62</v>
      </c>
      <c r="AE457" s="2" t="s">
        <v>1238</v>
      </c>
      <c r="AF457" s="2"/>
      <c r="AG457" s="3" t="s">
        <v>983</v>
      </c>
      <c r="AH457" s="2">
        <v>100</v>
      </c>
      <c r="AI457" s="1"/>
      <c r="AJ457" s="1"/>
      <c r="AK457" s="1"/>
      <c r="AL457" s="1"/>
      <c r="AM457" s="1"/>
      <c r="AN457" s="1"/>
      <c r="AO457" s="1"/>
      <c r="AP457" s="1"/>
      <c r="AQ457" s="1"/>
      <c r="AR457" s="1"/>
      <c r="AS457" s="1"/>
      <c r="AT457" s="1"/>
      <c r="AU457" s="1"/>
      <c r="AV457" s="1"/>
      <c r="AW457" s="1"/>
      <c r="AX457" s="1"/>
      <c r="AY457" s="1"/>
      <c r="AZ457" s="4" t="s">
        <v>1235</v>
      </c>
      <c r="BA457" s="1"/>
      <c r="BB457" s="1"/>
      <c r="BC457" s="1"/>
    </row>
    <row r="458" spans="1:55" s="78" customFormat="1" ht="15" customHeight="1" x14ac:dyDescent="0.25">
      <c r="A458" s="52" t="s">
        <v>4467</v>
      </c>
      <c r="B458" s="34" t="s">
        <v>59</v>
      </c>
      <c r="C458" s="53">
        <v>2026</v>
      </c>
      <c r="D458" s="53">
        <v>2026</v>
      </c>
      <c r="E458" s="54" t="s">
        <v>3220</v>
      </c>
      <c r="F458" s="55" t="s">
        <v>50</v>
      </c>
      <c r="G458" s="55" t="s">
        <v>50</v>
      </c>
      <c r="H458" s="45" t="s">
        <v>1240</v>
      </c>
      <c r="I458" s="56" t="s">
        <v>78</v>
      </c>
      <c r="J458" s="56"/>
      <c r="K458" s="45" t="s">
        <v>392</v>
      </c>
      <c r="L458" s="55"/>
      <c r="M458" s="55"/>
      <c r="N458" s="56" t="s">
        <v>358</v>
      </c>
      <c r="O458" s="56" t="s">
        <v>400</v>
      </c>
      <c r="P458" s="55" t="s">
        <v>394</v>
      </c>
      <c r="Q458" s="55" t="s">
        <v>57</v>
      </c>
      <c r="R458" s="55"/>
      <c r="S458" s="56" t="s">
        <v>81</v>
      </c>
      <c r="T458" s="55" t="s">
        <v>81</v>
      </c>
      <c r="U458" s="57">
        <v>2520</v>
      </c>
      <c r="V458" s="57" t="s">
        <v>101</v>
      </c>
      <c r="W458" s="55"/>
      <c r="X458" s="54" t="s">
        <v>4467</v>
      </c>
      <c r="Y458" s="52"/>
      <c r="Z458" s="1" t="s">
        <v>154</v>
      </c>
      <c r="AA458" s="1" t="s">
        <v>1046</v>
      </c>
      <c r="AB458" s="1"/>
      <c r="AC458" s="1"/>
      <c r="AD458" s="3" t="s">
        <v>62</v>
      </c>
      <c r="AE458" s="3" t="s">
        <v>83</v>
      </c>
      <c r="AF458" s="2"/>
      <c r="AG458" s="1" t="s">
        <v>1241</v>
      </c>
      <c r="AH458" s="2">
        <v>100</v>
      </c>
      <c r="AI458" s="2"/>
      <c r="AJ458" s="59"/>
      <c r="AK458" s="2"/>
      <c r="AL458" s="2"/>
      <c r="AM458" s="2"/>
      <c r="AN458" s="2"/>
      <c r="AO458" s="2"/>
      <c r="AP458" s="2"/>
      <c r="AQ458" s="2"/>
      <c r="AR458" s="2"/>
      <c r="AS458" s="2"/>
      <c r="AT458" s="2"/>
      <c r="AU458" s="2"/>
      <c r="AV458" s="2"/>
      <c r="AW458" s="2"/>
      <c r="AX458" s="2"/>
      <c r="AY458" s="2"/>
      <c r="AZ458" s="4" t="s">
        <v>1239</v>
      </c>
      <c r="BA458" s="2"/>
      <c r="BB458" s="1"/>
      <c r="BC458" s="1"/>
    </row>
    <row r="459" spans="1:55" s="78" customFormat="1" ht="15" customHeight="1" x14ac:dyDescent="0.25">
      <c r="A459" s="52" t="s">
        <v>4468</v>
      </c>
      <c r="B459" s="34" t="s">
        <v>59</v>
      </c>
      <c r="C459" s="53">
        <v>2026</v>
      </c>
      <c r="D459" s="53">
        <v>2026</v>
      </c>
      <c r="E459" s="54" t="s">
        <v>3221</v>
      </c>
      <c r="F459" s="55" t="s">
        <v>50</v>
      </c>
      <c r="G459" s="55" t="s">
        <v>50</v>
      </c>
      <c r="H459" s="45" t="s">
        <v>1242</v>
      </c>
      <c r="I459" s="45" t="s">
        <v>52</v>
      </c>
      <c r="J459" s="56"/>
      <c r="K459" s="45" t="s">
        <v>392</v>
      </c>
      <c r="L459" s="55"/>
      <c r="M459" s="55"/>
      <c r="N459" s="56" t="s">
        <v>358</v>
      </c>
      <c r="O459" s="45" t="s">
        <v>400</v>
      </c>
      <c r="P459" s="55" t="s">
        <v>394</v>
      </c>
      <c r="Q459" s="55" t="s">
        <v>57</v>
      </c>
      <c r="R459" s="55"/>
      <c r="S459" s="56" t="s">
        <v>81</v>
      </c>
      <c r="T459" s="55" t="s">
        <v>81</v>
      </c>
      <c r="U459" s="57">
        <v>2520</v>
      </c>
      <c r="V459" s="57" t="s">
        <v>101</v>
      </c>
      <c r="W459" s="55"/>
      <c r="X459" s="54" t="s">
        <v>4468</v>
      </c>
      <c r="Y459" s="52"/>
      <c r="Z459" s="1" t="s">
        <v>154</v>
      </c>
      <c r="AA459" s="1" t="s">
        <v>1046</v>
      </c>
      <c r="AB459" s="1"/>
      <c r="AC459" s="1"/>
      <c r="AD459" s="3" t="s">
        <v>62</v>
      </c>
      <c r="AE459" s="3" t="s">
        <v>83</v>
      </c>
      <c r="AF459" s="2"/>
      <c r="AG459" s="1" t="s">
        <v>1241</v>
      </c>
      <c r="AH459" s="2">
        <v>100</v>
      </c>
      <c r="AI459" s="2"/>
      <c r="AJ459" s="2"/>
      <c r="AK459" s="2"/>
      <c r="AL459" s="2"/>
      <c r="AM459" s="2"/>
      <c r="AN459" s="2"/>
      <c r="AO459" s="2"/>
      <c r="AP459" s="2"/>
      <c r="AQ459" s="2"/>
      <c r="AR459" s="2"/>
      <c r="AS459" s="2"/>
      <c r="AT459" s="2"/>
      <c r="AU459" s="2"/>
      <c r="AV459" s="2"/>
      <c r="AW459" s="2"/>
      <c r="AX459" s="2"/>
      <c r="AY459" s="2"/>
      <c r="AZ459" s="4" t="s">
        <v>1239</v>
      </c>
      <c r="BA459" s="2"/>
      <c r="BB459" s="1"/>
      <c r="BC459" s="1"/>
    </row>
    <row r="460" spans="1:55" s="78" customFormat="1" ht="15" customHeight="1" x14ac:dyDescent="0.25">
      <c r="A460" s="52" t="s">
        <v>4469</v>
      </c>
      <c r="B460" s="34" t="s">
        <v>59</v>
      </c>
      <c r="C460" s="53">
        <v>2026</v>
      </c>
      <c r="D460" s="53">
        <v>2026</v>
      </c>
      <c r="E460" s="54" t="s">
        <v>3222</v>
      </c>
      <c r="F460" s="55" t="s">
        <v>50</v>
      </c>
      <c r="G460" s="55" t="s">
        <v>50</v>
      </c>
      <c r="H460" s="45" t="s">
        <v>1243</v>
      </c>
      <c r="I460" s="45" t="s">
        <v>52</v>
      </c>
      <c r="J460" s="56"/>
      <c r="K460" s="45" t="s">
        <v>392</v>
      </c>
      <c r="L460" s="55" t="s">
        <v>54</v>
      </c>
      <c r="M460" s="55" t="s">
        <v>113</v>
      </c>
      <c r="N460" s="56" t="s">
        <v>358</v>
      </c>
      <c r="O460" s="45"/>
      <c r="P460" s="55" t="s">
        <v>394</v>
      </c>
      <c r="Q460" s="55" t="s">
        <v>57</v>
      </c>
      <c r="R460" s="55"/>
      <c r="S460" s="56" t="s">
        <v>81</v>
      </c>
      <c r="T460" s="55" t="s">
        <v>81</v>
      </c>
      <c r="U460" s="57">
        <v>2800</v>
      </c>
      <c r="V460" s="57" t="s">
        <v>101</v>
      </c>
      <c r="W460" s="55" t="s">
        <v>2319</v>
      </c>
      <c r="X460" s="54" t="s">
        <v>4469</v>
      </c>
      <c r="Y460" s="52"/>
      <c r="Z460" s="1" t="s">
        <v>61</v>
      </c>
      <c r="AA460" s="1" t="s">
        <v>1204</v>
      </c>
      <c r="AB460" s="1"/>
      <c r="AC460" s="1"/>
      <c r="AD460" s="3" t="s">
        <v>62</v>
      </c>
      <c r="AE460" s="2" t="s">
        <v>184</v>
      </c>
      <c r="AF460" s="2"/>
      <c r="AG460" s="1" t="s">
        <v>1206</v>
      </c>
      <c r="AH460" s="2">
        <v>100</v>
      </c>
      <c r="AI460" s="2"/>
      <c r="AJ460" s="2"/>
      <c r="AK460" s="2"/>
      <c r="AL460" s="2"/>
      <c r="AM460" s="2"/>
      <c r="AN460" s="2"/>
      <c r="AO460" s="2"/>
      <c r="AP460" s="2"/>
      <c r="AQ460" s="2"/>
      <c r="AR460" s="2"/>
      <c r="AS460" s="2"/>
      <c r="AT460" s="2"/>
      <c r="AU460" s="2"/>
      <c r="AV460" s="2"/>
      <c r="AW460" s="2"/>
      <c r="AX460" s="2"/>
      <c r="AY460" s="2"/>
      <c r="AZ460" s="4" t="s">
        <v>660</v>
      </c>
      <c r="BA460" s="2"/>
      <c r="BB460" s="1"/>
      <c r="BC460" s="1"/>
    </row>
    <row r="461" spans="1:55" s="78" customFormat="1" ht="15" customHeight="1" x14ac:dyDescent="0.25">
      <c r="A461" s="52" t="s">
        <v>4470</v>
      </c>
      <c r="B461" s="34" t="s">
        <v>59</v>
      </c>
      <c r="C461" s="53">
        <v>2026</v>
      </c>
      <c r="D461" s="53">
        <v>2026</v>
      </c>
      <c r="E461" s="54" t="s">
        <v>3223</v>
      </c>
      <c r="F461" s="55" t="s">
        <v>50</v>
      </c>
      <c r="G461" s="55" t="s">
        <v>50</v>
      </c>
      <c r="H461" s="45" t="s">
        <v>1244</v>
      </c>
      <c r="I461" s="61" t="s">
        <v>52</v>
      </c>
      <c r="J461" s="56"/>
      <c r="K461" s="55" t="s">
        <v>74</v>
      </c>
      <c r="L461" s="55"/>
      <c r="M461" s="55"/>
      <c r="N461" s="55" t="s">
        <v>110</v>
      </c>
      <c r="O461" s="56" t="s">
        <v>296</v>
      </c>
      <c r="P461" s="55" t="s">
        <v>75</v>
      </c>
      <c r="Q461" s="56" t="s">
        <v>57</v>
      </c>
      <c r="R461" s="55"/>
      <c r="S461" s="56" t="s">
        <v>58</v>
      </c>
      <c r="T461" s="55" t="str">
        <f>IF(ISNUMBER(SEARCH(",",N461)),"Y","N")</f>
        <v>N</v>
      </c>
      <c r="U461" s="57">
        <v>1.7999999999999999E-2</v>
      </c>
      <c r="V461" s="57" t="s">
        <v>101</v>
      </c>
      <c r="W461" s="55"/>
      <c r="X461" s="54" t="s">
        <v>4470</v>
      </c>
      <c r="Y461" s="52"/>
      <c r="Z461" s="3" t="s">
        <v>61</v>
      </c>
      <c r="AA461" s="1" t="s">
        <v>1046</v>
      </c>
      <c r="AB461" s="1"/>
      <c r="AC461" s="1"/>
      <c r="AD461" s="3" t="s">
        <v>62</v>
      </c>
      <c r="AE461" s="3" t="s">
        <v>83</v>
      </c>
      <c r="AF461" s="3" t="s">
        <v>1245</v>
      </c>
      <c r="AG461" s="3" t="s">
        <v>1245</v>
      </c>
      <c r="AH461" s="58"/>
      <c r="AI461" s="3"/>
      <c r="AJ461" s="3"/>
      <c r="AK461" s="3"/>
      <c r="AL461" s="3"/>
      <c r="AM461" s="3"/>
      <c r="AN461" s="3"/>
      <c r="AO461" s="3"/>
      <c r="AP461" s="3"/>
      <c r="AQ461" s="3"/>
      <c r="AR461" s="3"/>
      <c r="AS461" s="3"/>
      <c r="AT461" s="3"/>
      <c r="AU461" s="3"/>
      <c r="AV461" s="3"/>
      <c r="AW461" s="3"/>
      <c r="AX461" s="3"/>
      <c r="AY461" s="3"/>
      <c r="AZ461" s="4" t="s">
        <v>1246</v>
      </c>
      <c r="BA461" s="32" t="s">
        <v>3864</v>
      </c>
      <c r="BB461" s="1"/>
      <c r="BC461" s="1"/>
    </row>
    <row r="462" spans="1:55" s="78" customFormat="1" ht="15" customHeight="1" x14ac:dyDescent="0.25">
      <c r="A462" s="52" t="s">
        <v>4471</v>
      </c>
      <c r="B462" s="34" t="s">
        <v>59</v>
      </c>
      <c r="C462" s="53">
        <v>2026</v>
      </c>
      <c r="D462" s="53">
        <v>2026</v>
      </c>
      <c r="E462" s="54" t="s">
        <v>3223</v>
      </c>
      <c r="F462" s="55" t="s">
        <v>50</v>
      </c>
      <c r="G462" s="55" t="s">
        <v>50</v>
      </c>
      <c r="H462" s="45" t="s">
        <v>1244</v>
      </c>
      <c r="I462" s="61" t="s">
        <v>52</v>
      </c>
      <c r="J462" s="56"/>
      <c r="K462" s="55" t="s">
        <v>71</v>
      </c>
      <c r="L462" s="55"/>
      <c r="M462" s="55"/>
      <c r="N462" s="55" t="s">
        <v>110</v>
      </c>
      <c r="O462" s="45" t="s">
        <v>296</v>
      </c>
      <c r="P462" s="55" t="s">
        <v>73</v>
      </c>
      <c r="Q462" s="55" t="s">
        <v>57</v>
      </c>
      <c r="R462" s="55"/>
      <c r="S462" s="56" t="s">
        <v>58</v>
      </c>
      <c r="T462" s="55" t="str">
        <f>IF(ISNUMBER(SEARCH(",",N462)),"Y","N")</f>
        <v>N</v>
      </c>
      <c r="U462" s="57">
        <v>1.347</v>
      </c>
      <c r="V462" s="57" t="s">
        <v>101</v>
      </c>
      <c r="W462" s="55"/>
      <c r="X462" s="54" t="s">
        <v>4471</v>
      </c>
      <c r="Y462" s="52"/>
      <c r="Z462" s="3" t="s">
        <v>61</v>
      </c>
      <c r="AA462" s="1" t="s">
        <v>1046</v>
      </c>
      <c r="AB462" s="1"/>
      <c r="AC462" s="1"/>
      <c r="AD462" s="3" t="s">
        <v>62</v>
      </c>
      <c r="AE462" s="3" t="s">
        <v>83</v>
      </c>
      <c r="AF462" s="3" t="s">
        <v>1247</v>
      </c>
      <c r="AG462" s="3" t="s">
        <v>1247</v>
      </c>
      <c r="AH462" s="58"/>
      <c r="AI462" s="3"/>
      <c r="AJ462" s="3"/>
      <c r="AK462" s="3"/>
      <c r="AL462" s="3"/>
      <c r="AM462" s="3"/>
      <c r="AN462" s="3"/>
      <c r="AO462" s="3"/>
      <c r="AP462" s="3"/>
      <c r="AQ462" s="3"/>
      <c r="AR462" s="3"/>
      <c r="AS462" s="3"/>
      <c r="AT462" s="3"/>
      <c r="AU462" s="3"/>
      <c r="AV462" s="3"/>
      <c r="AW462" s="3"/>
      <c r="AX462" s="3"/>
      <c r="AY462" s="3"/>
      <c r="AZ462" s="4" t="s">
        <v>1246</v>
      </c>
      <c r="BA462" s="32"/>
      <c r="BB462" s="1"/>
      <c r="BC462" s="1"/>
    </row>
    <row r="463" spans="1:55" s="78" customFormat="1" ht="15" customHeight="1" x14ac:dyDescent="0.25">
      <c r="A463" s="52" t="s">
        <v>4472</v>
      </c>
      <c r="B463" s="34" t="s">
        <v>59</v>
      </c>
      <c r="C463" s="53">
        <v>2026</v>
      </c>
      <c r="D463" s="53">
        <v>2026</v>
      </c>
      <c r="E463" s="54" t="s">
        <v>3224</v>
      </c>
      <c r="F463" s="55" t="s">
        <v>50</v>
      </c>
      <c r="G463" s="55" t="s">
        <v>50</v>
      </c>
      <c r="H463" s="45" t="s">
        <v>1248</v>
      </c>
      <c r="I463" s="56" t="s">
        <v>78</v>
      </c>
      <c r="J463" s="56"/>
      <c r="K463" s="55" t="s">
        <v>74</v>
      </c>
      <c r="L463" s="55" t="s">
        <v>88</v>
      </c>
      <c r="M463" s="55"/>
      <c r="N463" s="55" t="s">
        <v>181</v>
      </c>
      <c r="O463" s="55"/>
      <c r="P463" s="55" t="s">
        <v>75</v>
      </c>
      <c r="Q463" s="56" t="s">
        <v>57</v>
      </c>
      <c r="R463" s="55"/>
      <c r="S463" s="56" t="s">
        <v>58</v>
      </c>
      <c r="T463" s="55" t="s">
        <v>81</v>
      </c>
      <c r="U463" s="57">
        <v>-999</v>
      </c>
      <c r="V463" s="57" t="s">
        <v>59</v>
      </c>
      <c r="W463" s="55" t="s">
        <v>2797</v>
      </c>
      <c r="X463" s="54" t="s">
        <v>4472</v>
      </c>
      <c r="Y463" s="52"/>
      <c r="Z463" s="3" t="s">
        <v>61</v>
      </c>
      <c r="AA463" s="1" t="s">
        <v>1046</v>
      </c>
      <c r="AB463" s="1"/>
      <c r="AC463" s="1"/>
      <c r="AD463" s="3" t="s">
        <v>62</v>
      </c>
      <c r="AE463" s="3" t="s">
        <v>83</v>
      </c>
      <c r="AF463" s="3" t="s">
        <v>1245</v>
      </c>
      <c r="AG463" s="3" t="s">
        <v>1245</v>
      </c>
      <c r="AH463" s="58"/>
      <c r="AI463" s="3"/>
      <c r="AJ463" s="3"/>
      <c r="AK463" s="3"/>
      <c r="AL463" s="3"/>
      <c r="AM463" s="3"/>
      <c r="AN463" s="3"/>
      <c r="AO463" s="3"/>
      <c r="AP463" s="3"/>
      <c r="AQ463" s="3"/>
      <c r="AR463" s="3"/>
      <c r="AS463" s="3"/>
      <c r="AT463" s="3"/>
      <c r="AU463" s="3"/>
      <c r="AV463" s="3"/>
      <c r="AW463" s="3"/>
      <c r="AX463" s="3"/>
      <c r="AY463" s="3"/>
      <c r="AZ463" s="4" t="s">
        <v>1246</v>
      </c>
      <c r="BA463" s="32" t="s">
        <v>3864</v>
      </c>
      <c r="BB463" s="1"/>
      <c r="BC463" s="1"/>
    </row>
    <row r="464" spans="1:55" s="78" customFormat="1" ht="15" customHeight="1" x14ac:dyDescent="0.25">
      <c r="A464" s="52" t="s">
        <v>4473</v>
      </c>
      <c r="B464" s="34" t="s">
        <v>59</v>
      </c>
      <c r="C464" s="53">
        <v>2026</v>
      </c>
      <c r="D464" s="53">
        <v>2026</v>
      </c>
      <c r="E464" s="54" t="s">
        <v>3224</v>
      </c>
      <c r="F464" s="55" t="s">
        <v>50</v>
      </c>
      <c r="G464" s="55" t="s">
        <v>50</v>
      </c>
      <c r="H464" s="45" t="s">
        <v>1248</v>
      </c>
      <c r="I464" s="56" t="s">
        <v>78</v>
      </c>
      <c r="J464" s="56"/>
      <c r="K464" s="55" t="s">
        <v>71</v>
      </c>
      <c r="L464" s="55" t="s">
        <v>88</v>
      </c>
      <c r="M464" s="55"/>
      <c r="N464" s="55" t="s">
        <v>181</v>
      </c>
      <c r="O464" s="55"/>
      <c r="P464" s="55" t="s">
        <v>73</v>
      </c>
      <c r="Q464" s="55" t="s">
        <v>57</v>
      </c>
      <c r="R464" s="55"/>
      <c r="S464" s="56" t="s">
        <v>58</v>
      </c>
      <c r="T464" s="55" t="s">
        <v>81</v>
      </c>
      <c r="U464" s="57">
        <v>-999</v>
      </c>
      <c r="V464" s="57" t="s">
        <v>59</v>
      </c>
      <c r="W464" s="55" t="s">
        <v>2797</v>
      </c>
      <c r="X464" s="54" t="s">
        <v>4473</v>
      </c>
      <c r="Y464" s="52"/>
      <c r="Z464" s="3" t="s">
        <v>61</v>
      </c>
      <c r="AA464" s="1" t="s">
        <v>1046</v>
      </c>
      <c r="AB464" s="1"/>
      <c r="AC464" s="1"/>
      <c r="AD464" s="3" t="s">
        <v>62</v>
      </c>
      <c r="AE464" s="3" t="s">
        <v>83</v>
      </c>
      <c r="AF464" s="3" t="s">
        <v>1247</v>
      </c>
      <c r="AG464" s="3" t="s">
        <v>1247</v>
      </c>
      <c r="AH464" s="58"/>
      <c r="AI464" s="3"/>
      <c r="AJ464" s="3"/>
      <c r="AK464" s="3"/>
      <c r="AL464" s="3"/>
      <c r="AM464" s="3"/>
      <c r="AN464" s="3"/>
      <c r="AO464" s="3"/>
      <c r="AP464" s="3"/>
      <c r="AQ464" s="3"/>
      <c r="AR464" s="3"/>
      <c r="AS464" s="3"/>
      <c r="AT464" s="3"/>
      <c r="AU464" s="3"/>
      <c r="AV464" s="3"/>
      <c r="AW464" s="3"/>
      <c r="AX464" s="3"/>
      <c r="AY464" s="3"/>
      <c r="AZ464" s="4" t="s">
        <v>1246</v>
      </c>
      <c r="BA464" s="32"/>
      <c r="BB464" s="1"/>
      <c r="BC464" s="1"/>
    </row>
    <row r="465" spans="1:55" s="78" customFormat="1" ht="15" customHeight="1" x14ac:dyDescent="0.25">
      <c r="A465" s="52" t="s">
        <v>4474</v>
      </c>
      <c r="B465" s="34" t="s">
        <v>59</v>
      </c>
      <c r="C465" s="53">
        <v>2026</v>
      </c>
      <c r="D465" s="53">
        <v>2026</v>
      </c>
      <c r="E465" s="54" t="s">
        <v>3225</v>
      </c>
      <c r="F465" s="55" t="s">
        <v>50</v>
      </c>
      <c r="G465" s="55" t="s">
        <v>50</v>
      </c>
      <c r="H465" s="45" t="s">
        <v>1250</v>
      </c>
      <c r="I465" s="56" t="s">
        <v>78</v>
      </c>
      <c r="J465" s="56"/>
      <c r="K465" s="55" t="s">
        <v>74</v>
      </c>
      <c r="L465" s="55" t="s">
        <v>88</v>
      </c>
      <c r="M465" s="55"/>
      <c r="N465" s="55" t="s">
        <v>181</v>
      </c>
      <c r="O465" s="55"/>
      <c r="P465" s="55" t="s">
        <v>75</v>
      </c>
      <c r="Q465" s="56" t="s">
        <v>57</v>
      </c>
      <c r="R465" s="55"/>
      <c r="S465" s="56" t="s">
        <v>58</v>
      </c>
      <c r="T465" s="55" t="s">
        <v>81</v>
      </c>
      <c r="U465" s="57">
        <v>-999</v>
      </c>
      <c r="V465" s="57" t="s">
        <v>59</v>
      </c>
      <c r="W465" s="55" t="s">
        <v>2797</v>
      </c>
      <c r="X465" s="54" t="s">
        <v>4474</v>
      </c>
      <c r="Y465" s="52"/>
      <c r="Z465" s="3" t="s">
        <v>61</v>
      </c>
      <c r="AA465" s="3" t="s">
        <v>1251</v>
      </c>
      <c r="AB465" s="3"/>
      <c r="AC465" s="3"/>
      <c r="AD465" s="3" t="s">
        <v>62</v>
      </c>
      <c r="AE465" s="3" t="s">
        <v>108</v>
      </c>
      <c r="AF465" s="3" t="s">
        <v>1252</v>
      </c>
      <c r="AG465" s="3" t="s">
        <v>1252</v>
      </c>
      <c r="AH465" s="53">
        <v>100</v>
      </c>
      <c r="AI465" s="3"/>
      <c r="AJ465" s="3"/>
      <c r="AK465" s="3"/>
      <c r="AL465" s="3"/>
      <c r="AM465" s="3"/>
      <c r="AN465" s="3"/>
      <c r="AO465" s="3"/>
      <c r="AP465" s="3"/>
      <c r="AQ465" s="3"/>
      <c r="AR465" s="3"/>
      <c r="AS465" s="3"/>
      <c r="AT465" s="3"/>
      <c r="AU465" s="3"/>
      <c r="AV465" s="3"/>
      <c r="AW465" s="3"/>
      <c r="AX465" s="3"/>
      <c r="AY465" s="3"/>
      <c r="AZ465" s="4" t="s">
        <v>1249</v>
      </c>
      <c r="BA465" s="32"/>
      <c r="BB465" s="1"/>
      <c r="BC465" s="1"/>
    </row>
    <row r="466" spans="1:55" s="78" customFormat="1" ht="15" customHeight="1" x14ac:dyDescent="0.25">
      <c r="A466" s="52" t="s">
        <v>4475</v>
      </c>
      <c r="B466" s="34" t="s">
        <v>59</v>
      </c>
      <c r="C466" s="53">
        <v>2026</v>
      </c>
      <c r="D466" s="53">
        <v>2026</v>
      </c>
      <c r="E466" s="54" t="s">
        <v>3225</v>
      </c>
      <c r="F466" s="55" t="s">
        <v>50</v>
      </c>
      <c r="G466" s="55" t="s">
        <v>50</v>
      </c>
      <c r="H466" s="45" t="s">
        <v>1250</v>
      </c>
      <c r="I466" s="56" t="s">
        <v>78</v>
      </c>
      <c r="J466" s="56"/>
      <c r="K466" s="55" t="s">
        <v>71</v>
      </c>
      <c r="L466" s="55" t="s">
        <v>88</v>
      </c>
      <c r="M466" s="55"/>
      <c r="N466" s="55" t="s">
        <v>181</v>
      </c>
      <c r="O466" s="55"/>
      <c r="P466" s="55" t="s">
        <v>73</v>
      </c>
      <c r="Q466" s="55" t="s">
        <v>57</v>
      </c>
      <c r="R466" s="55"/>
      <c r="S466" s="56" t="s">
        <v>58</v>
      </c>
      <c r="T466" s="55" t="s">
        <v>81</v>
      </c>
      <c r="U466" s="57">
        <v>0.56699999999999995</v>
      </c>
      <c r="V466" s="57" t="s">
        <v>101</v>
      </c>
      <c r="W466" s="55"/>
      <c r="X466" s="54" t="s">
        <v>4475</v>
      </c>
      <c r="Y466" s="52"/>
      <c r="Z466" s="3" t="s">
        <v>61</v>
      </c>
      <c r="AA466" s="3" t="s">
        <v>1251</v>
      </c>
      <c r="AB466" s="3"/>
      <c r="AC466" s="3"/>
      <c r="AD466" s="3" t="s">
        <v>62</v>
      </c>
      <c r="AE466" s="3" t="s">
        <v>108</v>
      </c>
      <c r="AF466" s="3" t="s">
        <v>1252</v>
      </c>
      <c r="AG466" s="3" t="s">
        <v>1252</v>
      </c>
      <c r="AH466" s="58">
        <v>100</v>
      </c>
      <c r="AI466" s="3"/>
      <c r="AJ466" s="3"/>
      <c r="AK466" s="3"/>
      <c r="AL466" s="3"/>
      <c r="AM466" s="3"/>
      <c r="AN466" s="3"/>
      <c r="AO466" s="3"/>
      <c r="AP466" s="3"/>
      <c r="AQ466" s="3"/>
      <c r="AR466" s="3"/>
      <c r="AS466" s="3"/>
      <c r="AT466" s="3"/>
      <c r="AU466" s="3"/>
      <c r="AV466" s="3"/>
      <c r="AW466" s="3"/>
      <c r="AX466" s="3"/>
      <c r="AY466" s="3"/>
      <c r="AZ466" s="4" t="s">
        <v>1249</v>
      </c>
      <c r="BA466" s="32"/>
      <c r="BB466" s="1"/>
      <c r="BC466" s="1"/>
    </row>
    <row r="467" spans="1:55" s="78" customFormat="1" ht="15" customHeight="1" x14ac:dyDescent="0.25">
      <c r="A467" s="52" t="s">
        <v>4476</v>
      </c>
      <c r="B467" s="34" t="s">
        <v>59</v>
      </c>
      <c r="C467" s="53">
        <v>2026</v>
      </c>
      <c r="D467" s="53">
        <v>2026</v>
      </c>
      <c r="E467" s="54" t="s">
        <v>3226</v>
      </c>
      <c r="F467" s="55" t="s">
        <v>50</v>
      </c>
      <c r="G467" s="55" t="s">
        <v>50</v>
      </c>
      <c r="H467" s="45" t="s">
        <v>1253</v>
      </c>
      <c r="I467" s="56" t="s">
        <v>52</v>
      </c>
      <c r="J467" s="56"/>
      <c r="K467" s="56" t="s">
        <v>74</v>
      </c>
      <c r="L467" s="55" t="str">
        <f>IF(K467="Mines and Quarries","Mine","")</f>
        <v/>
      </c>
      <c r="M467" s="55"/>
      <c r="N467" s="55" t="s">
        <v>110</v>
      </c>
      <c r="O467" s="56" t="s">
        <v>296</v>
      </c>
      <c r="P467" s="55" t="s">
        <v>75</v>
      </c>
      <c r="Q467" s="56" t="s">
        <v>57</v>
      </c>
      <c r="R467" s="55"/>
      <c r="S467" s="56" t="s">
        <v>58</v>
      </c>
      <c r="T467" s="55" t="str">
        <f t="shared" ref="T467:T475" si="7">IF(ISNUMBER(SEARCH(",",N467)),"Y","N")</f>
        <v>N</v>
      </c>
      <c r="U467" s="57">
        <v>-999</v>
      </c>
      <c r="V467" s="57" t="s">
        <v>59</v>
      </c>
      <c r="W467" s="55" t="s">
        <v>2797</v>
      </c>
      <c r="X467" s="54" t="s">
        <v>4476</v>
      </c>
      <c r="Y467" s="52"/>
      <c r="Z467" s="3" t="s">
        <v>61</v>
      </c>
      <c r="AA467" s="3" t="s">
        <v>1251</v>
      </c>
      <c r="AB467" s="3"/>
      <c r="AC467" s="3"/>
      <c r="AD467" s="3" t="s">
        <v>62</v>
      </c>
      <c r="AE467" s="2" t="s">
        <v>108</v>
      </c>
      <c r="AF467" s="3" t="s">
        <v>1252</v>
      </c>
      <c r="AG467" s="3" t="s">
        <v>1252</v>
      </c>
      <c r="AH467" s="53">
        <v>100</v>
      </c>
      <c r="AI467" s="3"/>
      <c r="AJ467" s="53"/>
      <c r="AK467" s="1"/>
      <c r="AL467" s="60"/>
      <c r="AM467" s="1"/>
      <c r="AN467" s="60"/>
      <c r="AO467" s="1"/>
      <c r="AP467" s="60"/>
      <c r="AQ467" s="1"/>
      <c r="AR467" s="60"/>
      <c r="AS467" s="1"/>
      <c r="AT467" s="60"/>
      <c r="AU467" s="1"/>
      <c r="AV467" s="60"/>
      <c r="AW467" s="1"/>
      <c r="AX467" s="60"/>
      <c r="AY467" s="1"/>
      <c r="AZ467" s="4" t="s">
        <v>1249</v>
      </c>
      <c r="BA467" s="5"/>
      <c r="BB467" s="1"/>
      <c r="BC467" s="1"/>
    </row>
    <row r="468" spans="1:55" s="78" customFormat="1" ht="15" customHeight="1" x14ac:dyDescent="0.25">
      <c r="A468" s="52" t="s">
        <v>4477</v>
      </c>
      <c r="B468" s="34" t="s">
        <v>59</v>
      </c>
      <c r="C468" s="53">
        <v>2026</v>
      </c>
      <c r="D468" s="53">
        <v>2026</v>
      </c>
      <c r="E468" s="54" t="s">
        <v>3226</v>
      </c>
      <c r="F468" s="55" t="s">
        <v>50</v>
      </c>
      <c r="G468" s="55" t="s">
        <v>50</v>
      </c>
      <c r="H468" s="45" t="s">
        <v>1253</v>
      </c>
      <c r="I468" s="56" t="s">
        <v>52</v>
      </c>
      <c r="J468" s="56"/>
      <c r="K468" s="55" t="s">
        <v>71</v>
      </c>
      <c r="L468" s="55" t="str">
        <f>IF(K468="Mine or Quarry","Mine","")</f>
        <v/>
      </c>
      <c r="M468" s="55"/>
      <c r="N468" s="55" t="s">
        <v>110</v>
      </c>
      <c r="O468" s="45" t="s">
        <v>296</v>
      </c>
      <c r="P468" s="55" t="s">
        <v>73</v>
      </c>
      <c r="Q468" s="55" t="s">
        <v>57</v>
      </c>
      <c r="R468" s="55"/>
      <c r="S468" s="56" t="s">
        <v>58</v>
      </c>
      <c r="T468" s="55" t="str">
        <f t="shared" si="7"/>
        <v>N</v>
      </c>
      <c r="U468" s="57">
        <v>0.56699999999999995</v>
      </c>
      <c r="V468" s="57" t="s">
        <v>101</v>
      </c>
      <c r="W468" s="55"/>
      <c r="X468" s="54" t="s">
        <v>4477</v>
      </c>
      <c r="Y468" s="52"/>
      <c r="Z468" s="3" t="s">
        <v>61</v>
      </c>
      <c r="AA468" s="3" t="s">
        <v>1251</v>
      </c>
      <c r="AB468" s="3"/>
      <c r="AC468" s="3"/>
      <c r="AD468" s="3" t="s">
        <v>62</v>
      </c>
      <c r="AE468" s="3" t="s">
        <v>108</v>
      </c>
      <c r="AF468" s="3" t="s">
        <v>1252</v>
      </c>
      <c r="AG468" s="3" t="s">
        <v>1252</v>
      </c>
      <c r="AH468" s="53">
        <v>100</v>
      </c>
      <c r="AI468" s="3"/>
      <c r="AJ468" s="53"/>
      <c r="AK468" s="3"/>
      <c r="AL468" s="53"/>
      <c r="AM468" s="3"/>
      <c r="AN468" s="53"/>
      <c r="AO468" s="3"/>
      <c r="AP468" s="53"/>
      <c r="AQ468" s="3"/>
      <c r="AR468" s="53"/>
      <c r="AS468" s="3"/>
      <c r="AT468" s="53"/>
      <c r="AU468" s="3"/>
      <c r="AV468" s="53"/>
      <c r="AW468" s="3"/>
      <c r="AX468" s="53"/>
      <c r="AY468" s="3"/>
      <c r="AZ468" s="4" t="s">
        <v>1249</v>
      </c>
      <c r="BA468" s="32"/>
      <c r="BB468" s="1"/>
      <c r="BC468" s="1"/>
    </row>
    <row r="469" spans="1:55" s="78" customFormat="1" ht="15" customHeight="1" x14ac:dyDescent="0.25">
      <c r="A469" s="52" t="s">
        <v>4478</v>
      </c>
      <c r="B469" s="34" t="s">
        <v>59</v>
      </c>
      <c r="C469" s="53">
        <v>2026</v>
      </c>
      <c r="D469" s="53">
        <v>2026</v>
      </c>
      <c r="E469" s="54" t="s">
        <v>3227</v>
      </c>
      <c r="F469" s="55" t="s">
        <v>50</v>
      </c>
      <c r="G469" s="55" t="s">
        <v>50</v>
      </c>
      <c r="H469" s="45" t="s">
        <v>1255</v>
      </c>
      <c r="I469" s="56" t="s">
        <v>78</v>
      </c>
      <c r="J469" s="56"/>
      <c r="K469" s="56" t="s">
        <v>74</v>
      </c>
      <c r="L469" s="55" t="str">
        <f>IF(K469="Mines and Quarries","Mine","")</f>
        <v/>
      </c>
      <c r="M469" s="55"/>
      <c r="N469" s="56" t="s">
        <v>181</v>
      </c>
      <c r="O469" s="56"/>
      <c r="P469" s="55" t="s">
        <v>75</v>
      </c>
      <c r="Q469" s="56" t="s">
        <v>57</v>
      </c>
      <c r="R469" s="55"/>
      <c r="S469" s="56" t="s">
        <v>58</v>
      </c>
      <c r="T469" s="55" t="str">
        <f t="shared" si="7"/>
        <v>N</v>
      </c>
      <c r="U469" s="57">
        <v>-999</v>
      </c>
      <c r="V469" s="57" t="s">
        <v>59</v>
      </c>
      <c r="W469" s="55" t="s">
        <v>2319</v>
      </c>
      <c r="X469" s="54" t="s">
        <v>4478</v>
      </c>
      <c r="Y469" s="52"/>
      <c r="Z469" s="2" t="s">
        <v>61</v>
      </c>
      <c r="AA469" s="3" t="s">
        <v>1046</v>
      </c>
      <c r="AB469" s="3"/>
      <c r="AC469" s="3"/>
      <c r="AD469" s="3" t="s">
        <v>62</v>
      </c>
      <c r="AE469" s="1" t="s">
        <v>83</v>
      </c>
      <c r="AF469" s="1"/>
      <c r="AG469" s="1" t="s">
        <v>1256</v>
      </c>
      <c r="AH469" s="1"/>
      <c r="AI469" s="1"/>
      <c r="AJ469" s="1"/>
      <c r="AK469" s="1"/>
      <c r="AL469" s="1"/>
      <c r="AM469" s="1"/>
      <c r="AN469" s="1"/>
      <c r="AO469" s="1"/>
      <c r="AP469" s="1"/>
      <c r="AQ469" s="1"/>
      <c r="AR469" s="1"/>
      <c r="AS469" s="1"/>
      <c r="AT469" s="1"/>
      <c r="AU469" s="1"/>
      <c r="AV469" s="1"/>
      <c r="AW469" s="1"/>
      <c r="AX469" s="1"/>
      <c r="AY469" s="1"/>
      <c r="AZ469" s="38" t="s">
        <v>1254</v>
      </c>
      <c r="BA469" s="5"/>
      <c r="BB469" s="1"/>
      <c r="BC469" s="1"/>
    </row>
    <row r="470" spans="1:55" s="78" customFormat="1" ht="15" customHeight="1" x14ac:dyDescent="0.25">
      <c r="A470" s="52" t="s">
        <v>4479</v>
      </c>
      <c r="B470" s="34" t="s">
        <v>59</v>
      </c>
      <c r="C470" s="53">
        <v>2026</v>
      </c>
      <c r="D470" s="53">
        <v>2026</v>
      </c>
      <c r="E470" s="54" t="s">
        <v>3228</v>
      </c>
      <c r="F470" s="55" t="s">
        <v>50</v>
      </c>
      <c r="G470" s="55" t="s">
        <v>50</v>
      </c>
      <c r="H470" s="45" t="s">
        <v>1258</v>
      </c>
      <c r="I470" s="56" t="s">
        <v>78</v>
      </c>
      <c r="J470" s="56"/>
      <c r="K470" s="55" t="s">
        <v>71</v>
      </c>
      <c r="L470" s="55" t="s">
        <v>88</v>
      </c>
      <c r="M470" s="55"/>
      <c r="N470" s="55" t="s">
        <v>181</v>
      </c>
      <c r="O470" s="55"/>
      <c r="P470" s="55" t="s">
        <v>73</v>
      </c>
      <c r="Q470" s="55" t="s">
        <v>57</v>
      </c>
      <c r="R470" s="55"/>
      <c r="S470" s="56" t="s">
        <v>81</v>
      </c>
      <c r="T470" s="55" t="str">
        <f t="shared" si="7"/>
        <v>N</v>
      </c>
      <c r="U470" s="57">
        <v>0.35499999999999998</v>
      </c>
      <c r="V470" s="57" t="s">
        <v>101</v>
      </c>
      <c r="W470" s="55" t="s">
        <v>2319</v>
      </c>
      <c r="X470" s="54" t="s">
        <v>4479</v>
      </c>
      <c r="Y470" s="52"/>
      <c r="Z470" s="3" t="s">
        <v>61</v>
      </c>
      <c r="AA470" s="1" t="s">
        <v>941</v>
      </c>
      <c r="AB470" s="1"/>
      <c r="AC470" s="1"/>
      <c r="AD470" s="3" t="s">
        <v>62</v>
      </c>
      <c r="AE470" s="3" t="s">
        <v>336</v>
      </c>
      <c r="AF470" s="3" t="s">
        <v>1259</v>
      </c>
      <c r="AG470" s="3" t="s">
        <v>1259</v>
      </c>
      <c r="AH470" s="58">
        <v>100</v>
      </c>
      <c r="AI470" s="3"/>
      <c r="AJ470" s="3"/>
      <c r="AK470" s="3"/>
      <c r="AL470" s="3"/>
      <c r="AM470" s="3"/>
      <c r="AN470" s="3"/>
      <c r="AO470" s="3"/>
      <c r="AP470" s="3"/>
      <c r="AQ470" s="3"/>
      <c r="AR470" s="3"/>
      <c r="AS470" s="3"/>
      <c r="AT470" s="3"/>
      <c r="AU470" s="3"/>
      <c r="AV470" s="3"/>
      <c r="AW470" s="3"/>
      <c r="AX470" s="3"/>
      <c r="AY470" s="3"/>
      <c r="AZ470" s="4" t="s">
        <v>1257</v>
      </c>
      <c r="BA470" s="4"/>
      <c r="BB470" s="1"/>
      <c r="BC470" s="1"/>
    </row>
    <row r="471" spans="1:55" s="78" customFormat="1" ht="15" customHeight="1" x14ac:dyDescent="0.25">
      <c r="A471" s="52" t="s">
        <v>4480</v>
      </c>
      <c r="B471" s="34" t="s">
        <v>59</v>
      </c>
      <c r="C471" s="53">
        <v>2026</v>
      </c>
      <c r="D471" s="53">
        <v>2026</v>
      </c>
      <c r="E471" s="54" t="s">
        <v>3231</v>
      </c>
      <c r="F471" s="55" t="s">
        <v>50</v>
      </c>
      <c r="G471" s="55" t="s">
        <v>50</v>
      </c>
      <c r="H471" s="45" t="s">
        <v>1261</v>
      </c>
      <c r="I471" s="56" t="s">
        <v>78</v>
      </c>
      <c r="J471" s="56"/>
      <c r="K471" s="55" t="s">
        <v>71</v>
      </c>
      <c r="L471" s="55" t="str">
        <f>IF(K471="Mine or Quarry","Mine","")</f>
        <v/>
      </c>
      <c r="M471" s="55"/>
      <c r="N471" s="55" t="s">
        <v>110</v>
      </c>
      <c r="O471" s="45" t="s">
        <v>296</v>
      </c>
      <c r="P471" s="55" t="s">
        <v>73</v>
      </c>
      <c r="Q471" s="55" t="s">
        <v>57</v>
      </c>
      <c r="R471" s="55"/>
      <c r="S471" s="56" t="s">
        <v>58</v>
      </c>
      <c r="T471" s="55" t="str">
        <f t="shared" si="7"/>
        <v>N</v>
      </c>
      <c r="U471" s="57">
        <v>30</v>
      </c>
      <c r="V471" s="57" t="s">
        <v>101</v>
      </c>
      <c r="W471" s="55" t="s">
        <v>2319</v>
      </c>
      <c r="X471" s="54" t="s">
        <v>4480</v>
      </c>
      <c r="Y471" s="52"/>
      <c r="Z471" s="3" t="s">
        <v>2005</v>
      </c>
      <c r="AA471" s="3" t="s">
        <v>1262</v>
      </c>
      <c r="AB471" s="3"/>
      <c r="AC471" s="3"/>
      <c r="AD471" s="3" t="s">
        <v>62</v>
      </c>
      <c r="AE471" s="3" t="s">
        <v>155</v>
      </c>
      <c r="AF471" s="1"/>
      <c r="AG471" s="1" t="s">
        <v>432</v>
      </c>
      <c r="AH471" s="53">
        <v>100</v>
      </c>
      <c r="AI471" s="1"/>
      <c r="AJ471" s="59"/>
      <c r="AK471" s="3"/>
      <c r="AL471" s="53"/>
      <c r="AM471" s="3"/>
      <c r="AN471" s="53"/>
      <c r="AO471" s="3"/>
      <c r="AP471" s="53"/>
      <c r="AQ471" s="3"/>
      <c r="AR471" s="53"/>
      <c r="AS471" s="3"/>
      <c r="AT471" s="53"/>
      <c r="AU471" s="3"/>
      <c r="AV471" s="53"/>
      <c r="AW471" s="3"/>
      <c r="AX471" s="53"/>
      <c r="AY471" s="3"/>
      <c r="AZ471" s="4" t="s">
        <v>1260</v>
      </c>
      <c r="BA471" s="3"/>
      <c r="BB471" s="1"/>
      <c r="BC471" s="1"/>
    </row>
    <row r="472" spans="1:55" s="78" customFormat="1" ht="15" customHeight="1" x14ac:dyDescent="0.25">
      <c r="A472" s="52" t="s">
        <v>4481</v>
      </c>
      <c r="B472" s="34" t="s">
        <v>59</v>
      </c>
      <c r="C472" s="53">
        <v>2026</v>
      </c>
      <c r="D472" s="53">
        <v>2026</v>
      </c>
      <c r="E472" s="54" t="s">
        <v>3232</v>
      </c>
      <c r="F472" s="55" t="s">
        <v>50</v>
      </c>
      <c r="G472" s="55" t="s">
        <v>50</v>
      </c>
      <c r="H472" s="45" t="s">
        <v>1263</v>
      </c>
      <c r="I472" s="45" t="s">
        <v>52</v>
      </c>
      <c r="J472" s="56"/>
      <c r="K472" s="56" t="s">
        <v>74</v>
      </c>
      <c r="L472" s="55"/>
      <c r="M472" s="55"/>
      <c r="N472" s="55" t="s">
        <v>110</v>
      </c>
      <c r="O472" s="56" t="s">
        <v>296</v>
      </c>
      <c r="P472" s="55" t="s">
        <v>75</v>
      </c>
      <c r="Q472" s="55" t="s">
        <v>57</v>
      </c>
      <c r="R472" s="55"/>
      <c r="S472" s="56" t="s">
        <v>58</v>
      </c>
      <c r="T472" s="55" t="str">
        <f t="shared" si="7"/>
        <v>N</v>
      </c>
      <c r="U472" s="57">
        <v>2</v>
      </c>
      <c r="V472" s="57" t="s">
        <v>101</v>
      </c>
      <c r="W472" s="55"/>
      <c r="X472" s="66" t="s">
        <v>4481</v>
      </c>
      <c r="Y472" s="60"/>
      <c r="Z472" s="1" t="s">
        <v>61</v>
      </c>
      <c r="AA472" s="3" t="s">
        <v>430</v>
      </c>
      <c r="AB472" s="3"/>
      <c r="AC472" s="3"/>
      <c r="AD472" s="3" t="s">
        <v>62</v>
      </c>
      <c r="AE472" s="2" t="s">
        <v>83</v>
      </c>
      <c r="AF472" s="1" t="s">
        <v>431</v>
      </c>
      <c r="AG472" s="1" t="s">
        <v>432</v>
      </c>
      <c r="AH472" s="53">
        <v>61.5</v>
      </c>
      <c r="AI472" s="1" t="s">
        <v>433</v>
      </c>
      <c r="AJ472" s="59">
        <v>38.5</v>
      </c>
      <c r="AK472" s="1"/>
      <c r="AL472" s="60"/>
      <c r="AM472" s="1"/>
      <c r="AN472" s="60"/>
      <c r="AO472" s="1"/>
      <c r="AP472" s="60"/>
      <c r="AQ472" s="1"/>
      <c r="AR472" s="60"/>
      <c r="AS472" s="1"/>
      <c r="AT472" s="60"/>
      <c r="AU472" s="1"/>
      <c r="AV472" s="60"/>
      <c r="AW472" s="1"/>
      <c r="AX472" s="60"/>
      <c r="AY472" s="1"/>
      <c r="AZ472" s="4" t="s">
        <v>3865</v>
      </c>
      <c r="BA472" s="5" t="s">
        <v>3864</v>
      </c>
      <c r="BB472" s="1"/>
      <c r="BC472" s="1"/>
    </row>
    <row r="473" spans="1:55" s="78" customFormat="1" ht="15" customHeight="1" x14ac:dyDescent="0.25">
      <c r="A473" s="52" t="s">
        <v>4482</v>
      </c>
      <c r="B473" s="34" t="s">
        <v>59</v>
      </c>
      <c r="C473" s="53">
        <v>2026</v>
      </c>
      <c r="D473" s="53">
        <v>2026</v>
      </c>
      <c r="E473" s="54" t="s">
        <v>3232</v>
      </c>
      <c r="F473" s="55" t="s">
        <v>50</v>
      </c>
      <c r="G473" s="55" t="s">
        <v>50</v>
      </c>
      <c r="H473" s="45" t="s">
        <v>1263</v>
      </c>
      <c r="I473" s="45" t="s">
        <v>52</v>
      </c>
      <c r="J473" s="56"/>
      <c r="K473" s="56" t="s">
        <v>71</v>
      </c>
      <c r="L473" s="55" t="str">
        <f>IF(K473="Mine or Quarry","Mine","")</f>
        <v/>
      </c>
      <c r="M473" s="55"/>
      <c r="N473" s="55" t="s">
        <v>110</v>
      </c>
      <c r="O473" s="45" t="s">
        <v>296</v>
      </c>
      <c r="P473" s="55" t="s">
        <v>73</v>
      </c>
      <c r="Q473" s="55" t="s">
        <v>57</v>
      </c>
      <c r="R473" s="55"/>
      <c r="S473" s="56" t="s">
        <v>58</v>
      </c>
      <c r="T473" s="55" t="str">
        <f t="shared" si="7"/>
        <v>N</v>
      </c>
      <c r="U473" s="57">
        <v>28</v>
      </c>
      <c r="V473" s="57" t="s">
        <v>101</v>
      </c>
      <c r="W473" s="55"/>
      <c r="X473" s="66" t="s">
        <v>4482</v>
      </c>
      <c r="Y473" s="60"/>
      <c r="Z473" s="1" t="s">
        <v>61</v>
      </c>
      <c r="AA473" s="3" t="s">
        <v>430</v>
      </c>
      <c r="AB473" s="3"/>
      <c r="AC473" s="3"/>
      <c r="AD473" s="3" t="s">
        <v>62</v>
      </c>
      <c r="AE473" s="2" t="s">
        <v>83</v>
      </c>
      <c r="AF473" s="1" t="s">
        <v>431</v>
      </c>
      <c r="AG473" s="1" t="s">
        <v>432</v>
      </c>
      <c r="AH473" s="53">
        <v>61.5</v>
      </c>
      <c r="AI473" s="1" t="s">
        <v>433</v>
      </c>
      <c r="AJ473" s="59">
        <v>38.5</v>
      </c>
      <c r="AK473" s="1"/>
      <c r="AL473" s="60"/>
      <c r="AM473" s="1"/>
      <c r="AN473" s="60"/>
      <c r="AO473" s="1"/>
      <c r="AP473" s="60"/>
      <c r="AQ473" s="1"/>
      <c r="AR473" s="60"/>
      <c r="AS473" s="1"/>
      <c r="AT473" s="60"/>
      <c r="AU473" s="1"/>
      <c r="AV473" s="60"/>
      <c r="AW473" s="1"/>
      <c r="AX473" s="60"/>
      <c r="AY473" s="1"/>
      <c r="AZ473" s="4" t="s">
        <v>3865</v>
      </c>
      <c r="BA473" s="5" t="s">
        <v>3864</v>
      </c>
      <c r="BB473" s="1" t="s">
        <v>3866</v>
      </c>
      <c r="BC473" s="1"/>
    </row>
    <row r="474" spans="1:55" s="78" customFormat="1" ht="15" customHeight="1" x14ac:dyDescent="0.25">
      <c r="A474" s="52" t="s">
        <v>4483</v>
      </c>
      <c r="B474" s="34" t="s">
        <v>59</v>
      </c>
      <c r="C474" s="53">
        <v>2026</v>
      </c>
      <c r="D474" s="53">
        <v>2026</v>
      </c>
      <c r="E474" s="54" t="s">
        <v>3233</v>
      </c>
      <c r="F474" s="55" t="s">
        <v>50</v>
      </c>
      <c r="G474" s="55" t="s">
        <v>50</v>
      </c>
      <c r="H474" s="45" t="s">
        <v>1265</v>
      </c>
      <c r="I474" s="56" t="s">
        <v>78</v>
      </c>
      <c r="J474" s="56"/>
      <c r="K474" s="45" t="s">
        <v>180</v>
      </c>
      <c r="L474" s="55" t="str">
        <f>IF(K474="Mine or Quarry","Mine","")</f>
        <v/>
      </c>
      <c r="M474" s="55"/>
      <c r="N474" s="61" t="s">
        <v>181</v>
      </c>
      <c r="O474" s="61"/>
      <c r="P474" s="55" t="s">
        <v>182</v>
      </c>
      <c r="Q474" s="55" t="s">
        <v>5353</v>
      </c>
      <c r="R474" s="55"/>
      <c r="S474" s="56" t="s">
        <v>81</v>
      </c>
      <c r="T474" s="55" t="str">
        <f t="shared" si="7"/>
        <v>N</v>
      </c>
      <c r="U474" s="57">
        <v>-999</v>
      </c>
      <c r="V474" s="57" t="s">
        <v>59</v>
      </c>
      <c r="W474" s="55"/>
      <c r="X474" s="54" t="s">
        <v>4483</v>
      </c>
      <c r="Y474" s="53"/>
      <c r="Z474" s="3" t="s">
        <v>154</v>
      </c>
      <c r="AA474" s="65" t="s">
        <v>1266</v>
      </c>
      <c r="AB474" s="65"/>
      <c r="AC474" s="65"/>
      <c r="AD474" s="3" t="s">
        <v>62</v>
      </c>
      <c r="AE474" s="3" t="s">
        <v>184</v>
      </c>
      <c r="AF474" s="3"/>
      <c r="AG474" s="3" t="s">
        <v>450</v>
      </c>
      <c r="AH474" s="58">
        <v>100</v>
      </c>
      <c r="AI474" s="65"/>
      <c r="AJ474" s="69"/>
      <c r="AK474" s="65"/>
      <c r="AL474" s="65"/>
      <c r="AM474" s="65"/>
      <c r="AN474" s="65"/>
      <c r="AO474" s="65"/>
      <c r="AP474" s="65"/>
      <c r="AQ474" s="65"/>
      <c r="AR474" s="65"/>
      <c r="AS474" s="65"/>
      <c r="AT474" s="65"/>
      <c r="AU474" s="65"/>
      <c r="AV474" s="65"/>
      <c r="AW474" s="65"/>
      <c r="AX474" s="65"/>
      <c r="AY474" s="65"/>
      <c r="AZ474" s="4" t="s">
        <v>1264</v>
      </c>
      <c r="BA474" s="65"/>
      <c r="BB474" s="1"/>
      <c r="BC474" s="1"/>
    </row>
    <row r="475" spans="1:55" s="78" customFormat="1" ht="15" customHeight="1" x14ac:dyDescent="0.25">
      <c r="A475" s="52" t="s">
        <v>4484</v>
      </c>
      <c r="B475" s="34" t="s">
        <v>59</v>
      </c>
      <c r="C475" s="53">
        <v>2026</v>
      </c>
      <c r="D475" s="53">
        <v>2026</v>
      </c>
      <c r="E475" s="54" t="s">
        <v>3234</v>
      </c>
      <c r="F475" s="55" t="s">
        <v>50</v>
      </c>
      <c r="G475" s="55" t="s">
        <v>50</v>
      </c>
      <c r="H475" s="45" t="s">
        <v>1268</v>
      </c>
      <c r="I475" s="45" t="s">
        <v>52</v>
      </c>
      <c r="J475" s="56" t="s">
        <v>316</v>
      </c>
      <c r="K475" s="55" t="s">
        <v>643</v>
      </c>
      <c r="L475" s="55" t="s">
        <v>54</v>
      </c>
      <c r="M475" s="55"/>
      <c r="N475" s="55" t="s">
        <v>1269</v>
      </c>
      <c r="O475" s="55"/>
      <c r="P475" s="55" t="s">
        <v>318</v>
      </c>
      <c r="Q475" s="55" t="s">
        <v>57</v>
      </c>
      <c r="R475" s="55"/>
      <c r="S475" s="56" t="s">
        <v>81</v>
      </c>
      <c r="T475" s="55" t="str">
        <f t="shared" si="7"/>
        <v>N</v>
      </c>
      <c r="U475" s="57">
        <v>1200000</v>
      </c>
      <c r="V475" s="57" t="s">
        <v>101</v>
      </c>
      <c r="W475" s="55" t="s">
        <v>2319</v>
      </c>
      <c r="X475" s="54" t="s">
        <v>4484</v>
      </c>
      <c r="Y475" s="52"/>
      <c r="Z475" s="3" t="s">
        <v>61</v>
      </c>
      <c r="AA475" s="3" t="s">
        <v>1270</v>
      </c>
      <c r="AB475" s="3"/>
      <c r="AC475" s="3"/>
      <c r="AD475" s="3" t="s">
        <v>62</v>
      </c>
      <c r="AE475" s="3" t="s">
        <v>206</v>
      </c>
      <c r="AF475" s="3" t="s">
        <v>1271</v>
      </c>
      <c r="AG475" s="3" t="s">
        <v>1272</v>
      </c>
      <c r="AH475" s="58">
        <v>100</v>
      </c>
      <c r="AI475" s="3"/>
      <c r="AJ475" s="3"/>
      <c r="AK475" s="3"/>
      <c r="AL475" s="3"/>
      <c r="AM475" s="3"/>
      <c r="AN475" s="3"/>
      <c r="AO475" s="3"/>
      <c r="AP475" s="3"/>
      <c r="AQ475" s="3"/>
      <c r="AR475" s="3"/>
      <c r="AS475" s="3"/>
      <c r="AT475" s="3"/>
      <c r="AU475" s="3"/>
      <c r="AV475" s="3"/>
      <c r="AW475" s="3"/>
      <c r="AX475" s="3"/>
      <c r="AY475" s="3"/>
      <c r="AZ475" s="4" t="s">
        <v>1267</v>
      </c>
      <c r="BA475" s="3"/>
      <c r="BB475" s="1"/>
      <c r="BC475" s="1"/>
    </row>
    <row r="476" spans="1:55" s="78" customFormat="1" ht="15" customHeight="1" x14ac:dyDescent="0.25">
      <c r="A476" s="52" t="s">
        <v>4485</v>
      </c>
      <c r="B476" s="34" t="s">
        <v>59</v>
      </c>
      <c r="C476" s="53">
        <v>2026</v>
      </c>
      <c r="D476" s="53">
        <v>2026</v>
      </c>
      <c r="E476" s="54" t="s">
        <v>3235</v>
      </c>
      <c r="F476" s="55" t="s">
        <v>50</v>
      </c>
      <c r="G476" s="55" t="s">
        <v>50</v>
      </c>
      <c r="H476" s="45" t="s">
        <v>1274</v>
      </c>
      <c r="I476" s="56" t="s">
        <v>52</v>
      </c>
      <c r="J476" s="56"/>
      <c r="K476" s="55" t="s">
        <v>633</v>
      </c>
      <c r="L476" s="55"/>
      <c r="M476" s="55"/>
      <c r="N476" s="56" t="s">
        <v>418</v>
      </c>
      <c r="O476" s="56"/>
      <c r="P476" s="56" t="s">
        <v>89</v>
      </c>
      <c r="Q476" s="61" t="s">
        <v>89</v>
      </c>
      <c r="R476" s="55"/>
      <c r="S476" s="56" t="s">
        <v>81</v>
      </c>
      <c r="T476" s="55" t="s">
        <v>81</v>
      </c>
      <c r="U476" s="57">
        <v>650000</v>
      </c>
      <c r="V476" s="57" t="s">
        <v>101</v>
      </c>
      <c r="W476" s="55" t="s">
        <v>2319</v>
      </c>
      <c r="X476" s="54" t="s">
        <v>4485</v>
      </c>
      <c r="Y476" s="52"/>
      <c r="Z476" s="2" t="s">
        <v>61</v>
      </c>
      <c r="AA476" s="1" t="s">
        <v>1275</v>
      </c>
      <c r="AB476" s="1"/>
      <c r="AC476" s="1"/>
      <c r="AD476" s="3" t="s">
        <v>62</v>
      </c>
      <c r="AE476" s="2" t="s">
        <v>780</v>
      </c>
      <c r="AF476" s="2"/>
      <c r="AG476" s="1" t="s">
        <v>1276</v>
      </c>
      <c r="AH476" s="2">
        <v>100</v>
      </c>
      <c r="AI476" s="1"/>
      <c r="AJ476" s="1"/>
      <c r="AK476" s="1"/>
      <c r="AL476" s="1"/>
      <c r="AM476" s="1"/>
      <c r="AN476" s="1"/>
      <c r="AO476" s="1"/>
      <c r="AP476" s="1"/>
      <c r="AQ476" s="1"/>
      <c r="AR476" s="1"/>
      <c r="AS476" s="1"/>
      <c r="AT476" s="1"/>
      <c r="AU476" s="1"/>
      <c r="AV476" s="1"/>
      <c r="AW476" s="1"/>
      <c r="AX476" s="1"/>
      <c r="AY476" s="1"/>
      <c r="AZ476" s="4" t="s">
        <v>1273</v>
      </c>
      <c r="BA476" s="1"/>
      <c r="BB476" s="1"/>
      <c r="BC476" s="1"/>
    </row>
    <row r="477" spans="1:55" s="78" customFormat="1" ht="15" customHeight="1" x14ac:dyDescent="0.25">
      <c r="A477" s="52" t="s">
        <v>4486</v>
      </c>
      <c r="B477" s="34" t="s">
        <v>59</v>
      </c>
      <c r="C477" s="53">
        <v>2026</v>
      </c>
      <c r="D477" s="53">
        <v>2026</v>
      </c>
      <c r="E477" s="54" t="s">
        <v>5316</v>
      </c>
      <c r="F477" s="55" t="s">
        <v>50</v>
      </c>
      <c r="G477" s="55" t="s">
        <v>50</v>
      </c>
      <c r="H477" s="45" t="s">
        <v>3229</v>
      </c>
      <c r="I477" s="45" t="s">
        <v>78</v>
      </c>
      <c r="J477" s="56"/>
      <c r="K477" s="56" t="s">
        <v>71</v>
      </c>
      <c r="L477" s="55"/>
      <c r="M477" s="55"/>
      <c r="N477" s="56" t="s">
        <v>181</v>
      </c>
      <c r="O477" s="56"/>
      <c r="P477" s="55" t="s">
        <v>73</v>
      </c>
      <c r="Q477" s="55" t="s">
        <v>57</v>
      </c>
      <c r="R477" s="55"/>
      <c r="S477" s="56" t="s">
        <v>58</v>
      </c>
      <c r="T477" s="55" t="s">
        <v>81</v>
      </c>
      <c r="U477" s="73">
        <v>3.12</v>
      </c>
      <c r="V477" s="57" t="s">
        <v>101</v>
      </c>
      <c r="W477" s="55"/>
      <c r="X477" s="54" t="s">
        <v>4486</v>
      </c>
      <c r="Y477" s="52"/>
      <c r="Z477" s="1" t="s">
        <v>154</v>
      </c>
      <c r="AA477" s="1" t="s">
        <v>1278</v>
      </c>
      <c r="AB477" s="1"/>
      <c r="AC477" s="1"/>
      <c r="AD477" s="3" t="s">
        <v>62</v>
      </c>
      <c r="AE477" s="2" t="s">
        <v>83</v>
      </c>
      <c r="AF477" s="2"/>
      <c r="AG477" s="3" t="s">
        <v>1279</v>
      </c>
      <c r="AH477" s="58">
        <v>100</v>
      </c>
      <c r="AI477" s="1"/>
      <c r="AJ477" s="1"/>
      <c r="AK477" s="1"/>
      <c r="AL477" s="1"/>
      <c r="AM477" s="1"/>
      <c r="AN477" s="1"/>
      <c r="AO477" s="1"/>
      <c r="AP477" s="1"/>
      <c r="AQ477" s="1"/>
      <c r="AR477" s="1"/>
      <c r="AS477" s="1"/>
      <c r="AT477" s="1"/>
      <c r="AU477" s="1"/>
      <c r="AV477" s="1"/>
      <c r="AW477" s="1"/>
      <c r="AX477" s="1"/>
      <c r="AY477" s="1"/>
      <c r="AZ477" s="4" t="s">
        <v>1277</v>
      </c>
      <c r="BA477" s="1"/>
      <c r="BB477" s="1"/>
      <c r="BC477" s="1"/>
    </row>
    <row r="478" spans="1:55" s="78" customFormat="1" ht="15" customHeight="1" x14ac:dyDescent="0.25">
      <c r="A478" s="52" t="s">
        <v>4487</v>
      </c>
      <c r="B478" s="34" t="s">
        <v>59</v>
      </c>
      <c r="C478" s="53">
        <v>2026</v>
      </c>
      <c r="D478" s="53">
        <v>2026</v>
      </c>
      <c r="E478" s="54" t="s">
        <v>3236</v>
      </c>
      <c r="F478" s="55" t="s">
        <v>50</v>
      </c>
      <c r="G478" s="55" t="s">
        <v>50</v>
      </c>
      <c r="H478" s="45" t="s">
        <v>1280</v>
      </c>
      <c r="I478" s="56" t="s">
        <v>52</v>
      </c>
      <c r="J478" s="56"/>
      <c r="K478" s="55" t="s">
        <v>71</v>
      </c>
      <c r="L478" s="55" t="str">
        <f>IF(K478="Mine or Quarry","Mine","")</f>
        <v/>
      </c>
      <c r="M478" s="55"/>
      <c r="N478" s="55" t="s">
        <v>110</v>
      </c>
      <c r="O478" s="45" t="s">
        <v>296</v>
      </c>
      <c r="P478" s="55" t="s">
        <v>73</v>
      </c>
      <c r="Q478" s="55" t="s">
        <v>57</v>
      </c>
      <c r="R478" s="55"/>
      <c r="S478" s="56" t="s">
        <v>58</v>
      </c>
      <c r="T478" s="55" t="str">
        <f>IF(ISNUMBER(SEARCH(",",N478)),"Y","N")</f>
        <v>N</v>
      </c>
      <c r="U478" s="73">
        <v>3.12</v>
      </c>
      <c r="V478" s="57" t="s">
        <v>101</v>
      </c>
      <c r="W478" s="55"/>
      <c r="X478" s="54" t="s">
        <v>4487</v>
      </c>
      <c r="Y478" s="52"/>
      <c r="Z478" s="3" t="s">
        <v>154</v>
      </c>
      <c r="AA478" s="3" t="s">
        <v>1278</v>
      </c>
      <c r="AB478" s="3"/>
      <c r="AC478" s="3"/>
      <c r="AD478" s="3" t="s">
        <v>62</v>
      </c>
      <c r="AE478" s="3" t="s">
        <v>83</v>
      </c>
      <c r="AF478" s="3"/>
      <c r="AG478" s="3" t="s">
        <v>1279</v>
      </c>
      <c r="AH478" s="58">
        <v>100</v>
      </c>
      <c r="AI478" s="3"/>
      <c r="AJ478" s="3"/>
      <c r="AK478" s="3"/>
      <c r="AL478" s="3"/>
      <c r="AM478" s="3"/>
      <c r="AN478" s="3"/>
      <c r="AO478" s="3"/>
      <c r="AP478" s="3"/>
      <c r="AQ478" s="3"/>
      <c r="AR478" s="3"/>
      <c r="AS478" s="3"/>
      <c r="AT478" s="3"/>
      <c r="AU478" s="3"/>
      <c r="AV478" s="3"/>
      <c r="AW478" s="3"/>
      <c r="AX478" s="3"/>
      <c r="AY478" s="3"/>
      <c r="AZ478" s="4" t="s">
        <v>1277</v>
      </c>
      <c r="BA478" s="3"/>
      <c r="BB478" s="1"/>
      <c r="BC478" s="1"/>
    </row>
    <row r="479" spans="1:55" s="78" customFormat="1" ht="15" customHeight="1" x14ac:dyDescent="0.25">
      <c r="A479" s="52" t="s">
        <v>4488</v>
      </c>
      <c r="B479" s="34" t="s">
        <v>59</v>
      </c>
      <c r="C479" s="53">
        <v>2026</v>
      </c>
      <c r="D479" s="53">
        <v>2026</v>
      </c>
      <c r="E479" s="54" t="s">
        <v>3237</v>
      </c>
      <c r="F479" s="55" t="s">
        <v>50</v>
      </c>
      <c r="G479" s="55" t="s">
        <v>50</v>
      </c>
      <c r="H479" s="45" t="s">
        <v>3230</v>
      </c>
      <c r="I479" s="45" t="s">
        <v>78</v>
      </c>
      <c r="J479" s="56"/>
      <c r="K479" s="56" t="s">
        <v>71</v>
      </c>
      <c r="L479" s="55"/>
      <c r="M479" s="55"/>
      <c r="N479" s="56" t="s">
        <v>181</v>
      </c>
      <c r="O479" s="56"/>
      <c r="P479" s="55" t="s">
        <v>73</v>
      </c>
      <c r="Q479" s="55" t="s">
        <v>57</v>
      </c>
      <c r="R479" s="55"/>
      <c r="S479" s="56" t="s">
        <v>58</v>
      </c>
      <c r="T479" s="55" t="s">
        <v>81</v>
      </c>
      <c r="U479" s="73">
        <v>1.69</v>
      </c>
      <c r="V479" s="57" t="s">
        <v>101</v>
      </c>
      <c r="W479" s="55" t="s">
        <v>2319</v>
      </c>
      <c r="X479" s="54" t="s">
        <v>4488</v>
      </c>
      <c r="Y479" s="52"/>
      <c r="Z479" s="1" t="s">
        <v>61</v>
      </c>
      <c r="AA479" s="3" t="s">
        <v>1278</v>
      </c>
      <c r="AB479" s="3"/>
      <c r="AC479" s="3"/>
      <c r="AD479" s="3" t="s">
        <v>62</v>
      </c>
      <c r="AE479" s="2" t="s">
        <v>83</v>
      </c>
      <c r="AF479" s="2"/>
      <c r="AG479" s="3" t="s">
        <v>1279</v>
      </c>
      <c r="AH479" s="58">
        <v>100</v>
      </c>
      <c r="AI479" s="1"/>
      <c r="AJ479" s="1"/>
      <c r="AK479" s="1"/>
      <c r="AL479" s="1"/>
      <c r="AM479" s="1"/>
      <c r="AN479" s="1"/>
      <c r="AO479" s="1"/>
      <c r="AP479" s="1"/>
      <c r="AQ479" s="1"/>
      <c r="AR479" s="1"/>
      <c r="AS479" s="1"/>
      <c r="AT479" s="1"/>
      <c r="AU479" s="1"/>
      <c r="AV479" s="1"/>
      <c r="AW479" s="1"/>
      <c r="AX479" s="1"/>
      <c r="AY479" s="1"/>
      <c r="AZ479" s="4" t="s">
        <v>1277</v>
      </c>
      <c r="BA479" s="1" t="s">
        <v>3867</v>
      </c>
      <c r="BB479" s="1"/>
      <c r="BC479" s="1"/>
    </row>
    <row r="480" spans="1:55" s="78" customFormat="1" ht="15" customHeight="1" x14ac:dyDescent="0.25">
      <c r="A480" s="52" t="s">
        <v>4489</v>
      </c>
      <c r="B480" s="34" t="s">
        <v>59</v>
      </c>
      <c r="C480" s="53">
        <v>2026</v>
      </c>
      <c r="D480" s="53">
        <v>2026</v>
      </c>
      <c r="E480" s="54" t="s">
        <v>3238</v>
      </c>
      <c r="F480" s="55" t="s">
        <v>50</v>
      </c>
      <c r="G480" s="55" t="s">
        <v>50</v>
      </c>
      <c r="H480" s="45" t="s">
        <v>5317</v>
      </c>
      <c r="I480" s="63" t="s">
        <v>78</v>
      </c>
      <c r="J480" s="56"/>
      <c r="K480" s="63" t="s">
        <v>346</v>
      </c>
      <c r="L480" s="63" t="s">
        <v>88</v>
      </c>
      <c r="M480" s="55"/>
      <c r="N480" s="56" t="s">
        <v>1282</v>
      </c>
      <c r="O480" s="56" t="s">
        <v>1283</v>
      </c>
      <c r="P480" s="56" t="s">
        <v>89</v>
      </c>
      <c r="Q480" s="56" t="s">
        <v>89</v>
      </c>
      <c r="R480" s="55"/>
      <c r="S480" s="56" t="s">
        <v>81</v>
      </c>
      <c r="T480" s="55" t="s">
        <v>81</v>
      </c>
      <c r="U480" s="57">
        <v>175000</v>
      </c>
      <c r="V480" s="57" t="s">
        <v>101</v>
      </c>
      <c r="W480" s="55"/>
      <c r="X480" s="54" t="s">
        <v>4489</v>
      </c>
      <c r="Y480" s="52"/>
      <c r="Z480" s="3" t="s">
        <v>154</v>
      </c>
      <c r="AA480" s="3" t="s">
        <v>1284</v>
      </c>
      <c r="AB480" s="3"/>
      <c r="AC480" s="3"/>
      <c r="AD480" s="3" t="s">
        <v>62</v>
      </c>
      <c r="AE480" s="3" t="s">
        <v>519</v>
      </c>
      <c r="AF480" s="11" t="s">
        <v>1285</v>
      </c>
      <c r="AG480" s="11" t="s">
        <v>1285</v>
      </c>
      <c r="AH480" s="58">
        <v>100</v>
      </c>
      <c r="AI480" s="3"/>
      <c r="AJ480" s="3"/>
      <c r="AK480" s="3"/>
      <c r="AL480" s="3"/>
      <c r="AM480" s="3"/>
      <c r="AN480" s="3"/>
      <c r="AO480" s="3"/>
      <c r="AP480" s="3"/>
      <c r="AQ480" s="3"/>
      <c r="AR480" s="3"/>
      <c r="AS480" s="3"/>
      <c r="AT480" s="3"/>
      <c r="AU480" s="3"/>
      <c r="AV480" s="3"/>
      <c r="AW480" s="3"/>
      <c r="AX480" s="3"/>
      <c r="AY480" s="3"/>
      <c r="AZ480" s="11" t="s">
        <v>1281</v>
      </c>
      <c r="BA480" s="11"/>
      <c r="BB480" s="1"/>
      <c r="BC480" s="1"/>
    </row>
    <row r="481" spans="1:55" s="78" customFormat="1" ht="15" customHeight="1" x14ac:dyDescent="0.25">
      <c r="A481" s="52" t="s">
        <v>4490</v>
      </c>
      <c r="B481" s="34" t="s">
        <v>59</v>
      </c>
      <c r="C481" s="53">
        <v>2026</v>
      </c>
      <c r="D481" s="53">
        <v>2026</v>
      </c>
      <c r="E481" s="54" t="s">
        <v>3240</v>
      </c>
      <c r="F481" s="55" t="s">
        <v>50</v>
      </c>
      <c r="G481" s="55" t="s">
        <v>50</v>
      </c>
      <c r="H481" s="45" t="s">
        <v>1288</v>
      </c>
      <c r="I481" s="45" t="s">
        <v>78</v>
      </c>
      <c r="J481" s="56"/>
      <c r="K481" s="55" t="s">
        <v>133</v>
      </c>
      <c r="L481" s="55" t="s">
        <v>88</v>
      </c>
      <c r="M481" s="55"/>
      <c r="N481" s="55" t="s">
        <v>181</v>
      </c>
      <c r="O481" s="55" t="s">
        <v>1289</v>
      </c>
      <c r="P481" s="55" t="s">
        <v>134</v>
      </c>
      <c r="Q481" s="55" t="s">
        <v>57</v>
      </c>
      <c r="R481" s="55"/>
      <c r="S481" s="56" t="s">
        <v>58</v>
      </c>
      <c r="T481" s="55" t="s">
        <v>81</v>
      </c>
      <c r="U481" s="57">
        <v>1100</v>
      </c>
      <c r="V481" s="57" t="s">
        <v>101</v>
      </c>
      <c r="W481" s="55"/>
      <c r="X481" s="54" t="s">
        <v>4490</v>
      </c>
      <c r="Y481" s="52"/>
      <c r="Z481" s="3" t="s">
        <v>2005</v>
      </c>
      <c r="AA481" s="3" t="s">
        <v>1290</v>
      </c>
      <c r="AB481" s="3"/>
      <c r="AC481" s="3"/>
      <c r="AD481" s="3" t="s">
        <v>62</v>
      </c>
      <c r="AE481" s="3" t="s">
        <v>251</v>
      </c>
      <c r="AF481" s="3" t="s">
        <v>1287</v>
      </c>
      <c r="AG481" s="1" t="s">
        <v>586</v>
      </c>
      <c r="AH481" s="58">
        <v>100</v>
      </c>
      <c r="AI481" s="3"/>
      <c r="AJ481" s="3"/>
      <c r="AK481" s="3"/>
      <c r="AL481" s="3"/>
      <c r="AM481" s="3"/>
      <c r="AN481" s="3"/>
      <c r="AO481" s="3"/>
      <c r="AP481" s="3"/>
      <c r="AQ481" s="3"/>
      <c r="AR481" s="3"/>
      <c r="AS481" s="3"/>
      <c r="AT481" s="3"/>
      <c r="AU481" s="3"/>
      <c r="AV481" s="3"/>
      <c r="AW481" s="3"/>
      <c r="AX481" s="3"/>
      <c r="AY481" s="3"/>
      <c r="AZ481" s="4" t="s">
        <v>1286</v>
      </c>
      <c r="BA481" s="3"/>
      <c r="BB481" s="1"/>
      <c r="BC481" s="1"/>
    </row>
    <row r="482" spans="1:55" s="78" customFormat="1" ht="15" customHeight="1" x14ac:dyDescent="0.25">
      <c r="A482" s="52" t="s">
        <v>4491</v>
      </c>
      <c r="B482" s="34" t="s">
        <v>59</v>
      </c>
      <c r="C482" s="53">
        <v>2026</v>
      </c>
      <c r="D482" s="53">
        <v>2026</v>
      </c>
      <c r="E482" s="54" t="s">
        <v>3240</v>
      </c>
      <c r="F482" s="55" t="s">
        <v>50</v>
      </c>
      <c r="G482" s="55" t="s">
        <v>50</v>
      </c>
      <c r="H482" s="45" t="s">
        <v>1288</v>
      </c>
      <c r="I482" s="45" t="s">
        <v>78</v>
      </c>
      <c r="J482" s="56"/>
      <c r="K482" s="55" t="s">
        <v>218</v>
      </c>
      <c r="L482" s="55" t="s">
        <v>88</v>
      </c>
      <c r="M482" s="55"/>
      <c r="N482" s="55" t="s">
        <v>181</v>
      </c>
      <c r="O482" s="55" t="s">
        <v>1289</v>
      </c>
      <c r="P482" s="55" t="s">
        <v>219</v>
      </c>
      <c r="Q482" s="55" t="s">
        <v>57</v>
      </c>
      <c r="R482" s="55"/>
      <c r="S482" s="56" t="s">
        <v>58</v>
      </c>
      <c r="T482" s="55" t="s">
        <v>81</v>
      </c>
      <c r="U482" s="57">
        <v>63500</v>
      </c>
      <c r="V482" s="57" t="s">
        <v>101</v>
      </c>
      <c r="W482" s="55"/>
      <c r="X482" s="54" t="s">
        <v>4491</v>
      </c>
      <c r="Y482" s="52"/>
      <c r="Z482" s="3" t="s">
        <v>2005</v>
      </c>
      <c r="AA482" s="3" t="s">
        <v>1290</v>
      </c>
      <c r="AB482" s="3"/>
      <c r="AC482" s="3"/>
      <c r="AD482" s="3" t="s">
        <v>62</v>
      </c>
      <c r="AE482" s="3" t="s">
        <v>251</v>
      </c>
      <c r="AF482" s="3" t="s">
        <v>1287</v>
      </c>
      <c r="AG482" s="1" t="s">
        <v>586</v>
      </c>
      <c r="AH482" s="58">
        <v>100</v>
      </c>
      <c r="AI482" s="3"/>
      <c r="AJ482" s="3"/>
      <c r="AK482" s="3"/>
      <c r="AL482" s="3"/>
      <c r="AM482" s="3"/>
      <c r="AN482" s="3"/>
      <c r="AO482" s="3"/>
      <c r="AP482" s="3"/>
      <c r="AQ482" s="3"/>
      <c r="AR482" s="3"/>
      <c r="AS482" s="3"/>
      <c r="AT482" s="3"/>
      <c r="AU482" s="3"/>
      <c r="AV482" s="3"/>
      <c r="AW482" s="3"/>
      <c r="AX482" s="3"/>
      <c r="AY482" s="3"/>
      <c r="AZ482" s="4" t="s">
        <v>1286</v>
      </c>
      <c r="BA482" s="3"/>
      <c r="BB482" s="1"/>
      <c r="BC482" s="1"/>
    </row>
    <row r="483" spans="1:55" s="78" customFormat="1" ht="15" customHeight="1" x14ac:dyDescent="0.25">
      <c r="A483" s="52" t="s">
        <v>4492</v>
      </c>
      <c r="B483" s="34" t="s">
        <v>59</v>
      </c>
      <c r="C483" s="53">
        <v>2026</v>
      </c>
      <c r="D483" s="53">
        <v>2026</v>
      </c>
      <c r="E483" s="54" t="s">
        <v>3241</v>
      </c>
      <c r="F483" s="55" t="s">
        <v>50</v>
      </c>
      <c r="G483" s="55" t="s">
        <v>50</v>
      </c>
      <c r="H483" s="45" t="s">
        <v>3239</v>
      </c>
      <c r="I483" s="61" t="s">
        <v>52</v>
      </c>
      <c r="J483" s="56"/>
      <c r="K483" s="55" t="s">
        <v>133</v>
      </c>
      <c r="L483" s="55" t="s">
        <v>54</v>
      </c>
      <c r="M483" s="55"/>
      <c r="N483" s="55" t="s">
        <v>240</v>
      </c>
      <c r="O483" s="55"/>
      <c r="P483" s="55" t="s">
        <v>134</v>
      </c>
      <c r="Q483" s="55" t="s">
        <v>57</v>
      </c>
      <c r="R483" s="55"/>
      <c r="S483" s="56" t="s">
        <v>58</v>
      </c>
      <c r="T483" s="55" t="str">
        <f>IF(ISNUMBER(SEARCH(",",N483)),"Y","N")</f>
        <v>N</v>
      </c>
      <c r="U483" s="57">
        <v>1100</v>
      </c>
      <c r="V483" s="57" t="s">
        <v>101</v>
      </c>
      <c r="W483" s="55"/>
      <c r="X483" s="54" t="s">
        <v>4492</v>
      </c>
      <c r="Y483" s="52"/>
      <c r="Z483" s="3" t="s">
        <v>2005</v>
      </c>
      <c r="AA483" s="3" t="s">
        <v>1290</v>
      </c>
      <c r="AB483" s="3"/>
      <c r="AC483" s="3"/>
      <c r="AD483" s="3" t="s">
        <v>62</v>
      </c>
      <c r="AE483" s="3" t="s">
        <v>251</v>
      </c>
      <c r="AF483" s="3" t="s">
        <v>1287</v>
      </c>
      <c r="AG483" s="1" t="s">
        <v>586</v>
      </c>
      <c r="AH483" s="58">
        <v>100</v>
      </c>
      <c r="AI483" s="3"/>
      <c r="AJ483" s="3"/>
      <c r="AK483" s="3"/>
      <c r="AL483" s="3"/>
      <c r="AM483" s="3"/>
      <c r="AN483" s="3"/>
      <c r="AO483" s="3"/>
      <c r="AP483" s="3"/>
      <c r="AQ483" s="3"/>
      <c r="AR483" s="3"/>
      <c r="AS483" s="3"/>
      <c r="AT483" s="3"/>
      <c r="AU483" s="3"/>
      <c r="AV483" s="3"/>
      <c r="AW483" s="3"/>
      <c r="AX483" s="3"/>
      <c r="AY483" s="3"/>
      <c r="AZ483" s="4" t="s">
        <v>1286</v>
      </c>
      <c r="BA483" s="3"/>
      <c r="BB483" s="1"/>
      <c r="BC483" s="1"/>
    </row>
    <row r="484" spans="1:55" s="78" customFormat="1" ht="15" customHeight="1" x14ac:dyDescent="0.25">
      <c r="A484" s="52" t="s">
        <v>4493</v>
      </c>
      <c r="B484" s="34" t="s">
        <v>59</v>
      </c>
      <c r="C484" s="53">
        <v>2026</v>
      </c>
      <c r="D484" s="53">
        <v>2026</v>
      </c>
      <c r="E484" s="54" t="s">
        <v>3241</v>
      </c>
      <c r="F484" s="55" t="s">
        <v>50</v>
      </c>
      <c r="G484" s="55" t="s">
        <v>50</v>
      </c>
      <c r="H484" s="45" t="s">
        <v>3239</v>
      </c>
      <c r="I484" s="61" t="s">
        <v>52</v>
      </c>
      <c r="J484" s="56"/>
      <c r="K484" s="55" t="s">
        <v>218</v>
      </c>
      <c r="L484" s="55" t="s">
        <v>317</v>
      </c>
      <c r="M484" s="55"/>
      <c r="N484" s="55" t="s">
        <v>55</v>
      </c>
      <c r="O484" s="55" t="s">
        <v>816</v>
      </c>
      <c r="P484" s="55" t="s">
        <v>219</v>
      </c>
      <c r="Q484" s="55" t="s">
        <v>57</v>
      </c>
      <c r="R484" s="55"/>
      <c r="S484" s="56" t="s">
        <v>58</v>
      </c>
      <c r="T484" s="55" t="s">
        <v>58</v>
      </c>
      <c r="U484" s="57">
        <v>63500</v>
      </c>
      <c r="V484" s="57" t="s">
        <v>101</v>
      </c>
      <c r="W484" s="55"/>
      <c r="X484" s="54" t="s">
        <v>4493</v>
      </c>
      <c r="Y484" s="52"/>
      <c r="Z484" s="3" t="s">
        <v>2005</v>
      </c>
      <c r="AA484" s="3" t="s">
        <v>1290</v>
      </c>
      <c r="AB484" s="3"/>
      <c r="AC484" s="3"/>
      <c r="AD484" s="3" t="s">
        <v>62</v>
      </c>
      <c r="AE484" s="3" t="s">
        <v>251</v>
      </c>
      <c r="AF484" s="3" t="s">
        <v>1287</v>
      </c>
      <c r="AG484" s="1" t="s">
        <v>586</v>
      </c>
      <c r="AH484" s="58">
        <v>100</v>
      </c>
      <c r="AI484" s="3"/>
      <c r="AJ484" s="3"/>
      <c r="AK484" s="3"/>
      <c r="AL484" s="3"/>
      <c r="AM484" s="3"/>
      <c r="AN484" s="3"/>
      <c r="AO484" s="3"/>
      <c r="AP484" s="3"/>
      <c r="AQ484" s="3"/>
      <c r="AR484" s="3"/>
      <c r="AS484" s="3"/>
      <c r="AT484" s="3"/>
      <c r="AU484" s="3"/>
      <c r="AV484" s="3"/>
      <c r="AW484" s="3"/>
      <c r="AX484" s="3"/>
      <c r="AY484" s="3"/>
      <c r="AZ484" s="4" t="s">
        <v>1286</v>
      </c>
      <c r="BA484" s="3"/>
      <c r="BB484" s="1"/>
      <c r="BC484" s="1"/>
    </row>
    <row r="485" spans="1:55" s="78" customFormat="1" ht="15" customHeight="1" x14ac:dyDescent="0.25">
      <c r="A485" s="52" t="s">
        <v>4494</v>
      </c>
      <c r="B485" s="34" t="s">
        <v>59</v>
      </c>
      <c r="C485" s="53">
        <v>2026</v>
      </c>
      <c r="D485" s="53">
        <v>2026</v>
      </c>
      <c r="E485" s="54" t="s">
        <v>3242</v>
      </c>
      <c r="F485" s="55" t="s">
        <v>50</v>
      </c>
      <c r="G485" s="55" t="s">
        <v>50</v>
      </c>
      <c r="H485" s="45" t="s">
        <v>1291</v>
      </c>
      <c r="I485" s="56" t="s">
        <v>52</v>
      </c>
      <c r="J485" s="56"/>
      <c r="K485" s="56" t="s">
        <v>87</v>
      </c>
      <c r="L485" s="55" t="str">
        <f>IF(K485="Mine or Quarry","Mine","")</f>
        <v/>
      </c>
      <c r="M485" s="55"/>
      <c r="N485" s="56"/>
      <c r="O485" s="56" t="s">
        <v>2892</v>
      </c>
      <c r="P485" s="56" t="s">
        <v>89</v>
      </c>
      <c r="Q485" s="56" t="s">
        <v>89</v>
      </c>
      <c r="R485" s="55"/>
      <c r="S485" s="56" t="s">
        <v>81</v>
      </c>
      <c r="T485" s="55" t="s">
        <v>58</v>
      </c>
      <c r="U485" s="57">
        <v>-999</v>
      </c>
      <c r="V485" s="57" t="s">
        <v>59</v>
      </c>
      <c r="W485" s="55" t="s">
        <v>2319</v>
      </c>
      <c r="X485" s="54" t="s">
        <v>4494</v>
      </c>
      <c r="Y485" s="52"/>
      <c r="Z485" s="1" t="s">
        <v>61</v>
      </c>
      <c r="AA485" s="1" t="s">
        <v>1292</v>
      </c>
      <c r="AB485" s="1"/>
      <c r="AC485" s="1"/>
      <c r="AD485" s="3" t="s">
        <v>62</v>
      </c>
      <c r="AE485" s="1" t="s">
        <v>1077</v>
      </c>
      <c r="AF485" s="1" t="s">
        <v>947</v>
      </c>
      <c r="AG485" s="1" t="s">
        <v>947</v>
      </c>
      <c r="AH485" s="1"/>
      <c r="AI485" s="1"/>
      <c r="AJ485" s="1"/>
      <c r="AK485" s="1"/>
      <c r="AL485" s="1"/>
      <c r="AM485" s="1"/>
      <c r="AN485" s="1"/>
      <c r="AO485" s="1"/>
      <c r="AP485" s="1"/>
      <c r="AQ485" s="1"/>
      <c r="AR485" s="1"/>
      <c r="AS485" s="1"/>
      <c r="AT485" s="1"/>
      <c r="AU485" s="1"/>
      <c r="AV485" s="1"/>
      <c r="AW485" s="1"/>
      <c r="AX485" s="1"/>
      <c r="AY485" s="1"/>
      <c r="AZ485" s="5" t="s">
        <v>1074</v>
      </c>
      <c r="BA485" s="5"/>
      <c r="BB485" s="1"/>
      <c r="BC485" s="1"/>
    </row>
    <row r="486" spans="1:55" s="78" customFormat="1" ht="15" customHeight="1" x14ac:dyDescent="0.25">
      <c r="A486" s="52" t="s">
        <v>4495</v>
      </c>
      <c r="B486" s="34" t="s">
        <v>59</v>
      </c>
      <c r="C486" s="53">
        <v>2026</v>
      </c>
      <c r="D486" s="53">
        <v>2026</v>
      </c>
      <c r="E486" s="54" t="s">
        <v>3243</v>
      </c>
      <c r="F486" s="55" t="s">
        <v>50</v>
      </c>
      <c r="G486" s="55" t="s">
        <v>50</v>
      </c>
      <c r="H486" s="45" t="s">
        <v>1294</v>
      </c>
      <c r="I486" s="45" t="s">
        <v>52</v>
      </c>
      <c r="J486" s="56" t="s">
        <v>165</v>
      </c>
      <c r="K486" s="56" t="s">
        <v>166</v>
      </c>
      <c r="L486" s="55"/>
      <c r="M486" s="55"/>
      <c r="N486" s="56" t="s">
        <v>280</v>
      </c>
      <c r="O486" s="56"/>
      <c r="P486" s="56" t="s">
        <v>89</v>
      </c>
      <c r="Q486" s="56" t="s">
        <v>89</v>
      </c>
      <c r="R486" s="55"/>
      <c r="S486" s="56" t="s">
        <v>81</v>
      </c>
      <c r="T486" s="55" t="s">
        <v>81</v>
      </c>
      <c r="U486" s="57">
        <v>-999</v>
      </c>
      <c r="V486" s="57" t="s">
        <v>59</v>
      </c>
      <c r="W486" s="55" t="s">
        <v>2319</v>
      </c>
      <c r="X486" s="54" t="s">
        <v>4495</v>
      </c>
      <c r="Y486" s="52"/>
      <c r="Z486" s="1" t="s">
        <v>61</v>
      </c>
      <c r="AA486" s="1" t="s">
        <v>1295</v>
      </c>
      <c r="AB486" s="1"/>
      <c r="AC486" s="1"/>
      <c r="AD486" s="3" t="s">
        <v>62</v>
      </c>
      <c r="AE486" s="3" t="s">
        <v>131</v>
      </c>
      <c r="AF486" s="3"/>
      <c r="AG486" s="3" t="s">
        <v>1296</v>
      </c>
      <c r="AH486" s="58">
        <v>100</v>
      </c>
      <c r="AI486" s="1"/>
      <c r="AJ486" s="1"/>
      <c r="AK486" s="1"/>
      <c r="AL486" s="1"/>
      <c r="AM486" s="1"/>
      <c r="AN486" s="1"/>
      <c r="AO486" s="1"/>
      <c r="AP486" s="1"/>
      <c r="AQ486" s="1"/>
      <c r="AR486" s="1"/>
      <c r="AS486" s="1"/>
      <c r="AT486" s="1"/>
      <c r="AU486" s="1"/>
      <c r="AV486" s="1"/>
      <c r="AW486" s="1"/>
      <c r="AX486" s="1"/>
      <c r="AY486" s="1"/>
      <c r="AZ486" s="4" t="s">
        <v>1293</v>
      </c>
      <c r="BA486" s="5"/>
      <c r="BB486" s="1"/>
      <c r="BC486" s="1"/>
    </row>
    <row r="487" spans="1:55" s="78" customFormat="1" ht="15" customHeight="1" x14ac:dyDescent="0.25">
      <c r="A487" s="52" t="s">
        <v>4496</v>
      </c>
      <c r="B487" s="34" t="s">
        <v>59</v>
      </c>
      <c r="C487" s="53">
        <v>2026</v>
      </c>
      <c r="D487" s="53">
        <v>2026</v>
      </c>
      <c r="E487" s="54" t="s">
        <v>3244</v>
      </c>
      <c r="F487" s="55" t="s">
        <v>50</v>
      </c>
      <c r="G487" s="55" t="s">
        <v>50</v>
      </c>
      <c r="H487" s="45" t="s">
        <v>1298</v>
      </c>
      <c r="I487" s="56" t="s">
        <v>78</v>
      </c>
      <c r="J487" s="56"/>
      <c r="K487" s="56" t="s">
        <v>53</v>
      </c>
      <c r="L487" s="55" t="s">
        <v>88</v>
      </c>
      <c r="M487" s="55"/>
      <c r="N487" s="56" t="s">
        <v>110</v>
      </c>
      <c r="O487" s="56"/>
      <c r="P487" s="55" t="s">
        <v>56</v>
      </c>
      <c r="Q487" s="55" t="s">
        <v>57</v>
      </c>
      <c r="R487" s="55"/>
      <c r="S487" s="56" t="s">
        <v>58</v>
      </c>
      <c r="T487" s="55" t="str">
        <f t="shared" ref="T487:T495" si="8">IF(ISNUMBER(SEARCH(",",N487)),"Y","N")</f>
        <v>N</v>
      </c>
      <c r="U487" s="57">
        <v>1637</v>
      </c>
      <c r="V487" s="57" t="s">
        <v>101</v>
      </c>
      <c r="W487" s="55" t="s">
        <v>2319</v>
      </c>
      <c r="X487" s="54" t="s">
        <v>4496</v>
      </c>
      <c r="Y487" s="52"/>
      <c r="Z487" s="1" t="s">
        <v>61</v>
      </c>
      <c r="AA487" s="1" t="s">
        <v>1299</v>
      </c>
      <c r="AB487" s="1"/>
      <c r="AC487" s="1"/>
      <c r="AD487" s="3" t="s">
        <v>62</v>
      </c>
      <c r="AE487" s="3" t="s">
        <v>519</v>
      </c>
      <c r="AF487" s="1" t="s">
        <v>299</v>
      </c>
      <c r="AG487" s="1" t="s">
        <v>299</v>
      </c>
      <c r="AH487" s="2">
        <v>100</v>
      </c>
      <c r="AI487" s="1"/>
      <c r="AJ487" s="1"/>
      <c r="AK487" s="1"/>
      <c r="AL487" s="1"/>
      <c r="AM487" s="1"/>
      <c r="AN487" s="1"/>
      <c r="AO487" s="1"/>
      <c r="AP487" s="1"/>
      <c r="AQ487" s="1"/>
      <c r="AR487" s="1"/>
      <c r="AS487" s="1"/>
      <c r="AT487" s="1"/>
      <c r="AU487" s="1"/>
      <c r="AV487" s="1"/>
      <c r="AW487" s="1"/>
      <c r="AX487" s="1"/>
      <c r="AY487" s="1"/>
      <c r="AZ487" s="5" t="s">
        <v>1297</v>
      </c>
      <c r="BA487" s="5"/>
      <c r="BB487" s="1"/>
      <c r="BC487" s="1"/>
    </row>
    <row r="488" spans="1:55" s="78" customFormat="1" ht="15" customHeight="1" x14ac:dyDescent="0.25">
      <c r="A488" s="52" t="s">
        <v>4497</v>
      </c>
      <c r="B488" s="34" t="s">
        <v>59</v>
      </c>
      <c r="C488" s="53">
        <v>2026</v>
      </c>
      <c r="D488" s="53">
        <v>2026</v>
      </c>
      <c r="E488" s="54" t="s">
        <v>3244</v>
      </c>
      <c r="F488" s="55" t="s">
        <v>50</v>
      </c>
      <c r="G488" s="55" t="s">
        <v>50</v>
      </c>
      <c r="H488" s="45" t="s">
        <v>1298</v>
      </c>
      <c r="I488" s="56" t="s">
        <v>78</v>
      </c>
      <c r="J488" s="56"/>
      <c r="K488" s="56" t="s">
        <v>582</v>
      </c>
      <c r="L488" s="55" t="s">
        <v>88</v>
      </c>
      <c r="M488" s="55"/>
      <c r="N488" s="56" t="s">
        <v>110</v>
      </c>
      <c r="O488" s="56"/>
      <c r="P488" s="61" t="s">
        <v>583</v>
      </c>
      <c r="Q488" s="61" t="s">
        <v>57</v>
      </c>
      <c r="R488" s="55"/>
      <c r="S488" s="56" t="s">
        <v>58</v>
      </c>
      <c r="T488" s="55" t="str">
        <f t="shared" si="8"/>
        <v>N</v>
      </c>
      <c r="U488" s="57">
        <v>16523</v>
      </c>
      <c r="V488" s="57" t="s">
        <v>101</v>
      </c>
      <c r="W488" s="55" t="s">
        <v>2319</v>
      </c>
      <c r="X488" s="54" t="s">
        <v>4497</v>
      </c>
      <c r="Y488" s="52"/>
      <c r="Z488" s="1" t="s">
        <v>61</v>
      </c>
      <c r="AA488" s="1" t="s">
        <v>1299</v>
      </c>
      <c r="AB488" s="1"/>
      <c r="AC488" s="1"/>
      <c r="AD488" s="3" t="s">
        <v>62</v>
      </c>
      <c r="AE488" s="1" t="s">
        <v>519</v>
      </c>
      <c r="AF488" s="1" t="s">
        <v>299</v>
      </c>
      <c r="AG488" s="1" t="s">
        <v>299</v>
      </c>
      <c r="AH488" s="53">
        <v>100</v>
      </c>
      <c r="AI488" s="3"/>
      <c r="AJ488" s="53"/>
      <c r="AK488" s="3"/>
      <c r="AL488" s="53"/>
      <c r="AM488" s="3"/>
      <c r="AN488" s="53"/>
      <c r="AO488" s="3"/>
      <c r="AP488" s="53"/>
      <c r="AQ488" s="3"/>
      <c r="AR488" s="53"/>
      <c r="AS488" s="3"/>
      <c r="AT488" s="53"/>
      <c r="AU488" s="3"/>
      <c r="AV488" s="53"/>
      <c r="AW488" s="3"/>
      <c r="AX488" s="53"/>
      <c r="AY488" s="1"/>
      <c r="AZ488" s="5" t="s">
        <v>1297</v>
      </c>
      <c r="BA488" s="5"/>
      <c r="BB488" s="1"/>
      <c r="BC488" s="1"/>
    </row>
    <row r="489" spans="1:55" s="78" customFormat="1" ht="15" customHeight="1" x14ac:dyDescent="0.25">
      <c r="A489" s="52" t="s">
        <v>4498</v>
      </c>
      <c r="B489" s="34" t="s">
        <v>59</v>
      </c>
      <c r="C489" s="53">
        <v>2026</v>
      </c>
      <c r="D489" s="53">
        <v>2026</v>
      </c>
      <c r="E489" s="54" t="s">
        <v>3244</v>
      </c>
      <c r="F489" s="55" t="s">
        <v>50</v>
      </c>
      <c r="G489" s="55" t="s">
        <v>50</v>
      </c>
      <c r="H489" s="45" t="s">
        <v>1298</v>
      </c>
      <c r="I489" s="56" t="s">
        <v>78</v>
      </c>
      <c r="J489" s="56"/>
      <c r="K489" s="56" t="s">
        <v>313</v>
      </c>
      <c r="L489" s="55" t="s">
        <v>88</v>
      </c>
      <c r="M489" s="55"/>
      <c r="N489" s="56" t="s">
        <v>110</v>
      </c>
      <c r="O489" s="56"/>
      <c r="P489" s="61" t="s">
        <v>314</v>
      </c>
      <c r="Q489" s="61" t="s">
        <v>57</v>
      </c>
      <c r="R489" s="55"/>
      <c r="S489" s="56" t="s">
        <v>58</v>
      </c>
      <c r="T489" s="55" t="str">
        <f t="shared" si="8"/>
        <v>N</v>
      </c>
      <c r="U489" s="57">
        <v>46618</v>
      </c>
      <c r="V489" s="57" t="s">
        <v>101</v>
      </c>
      <c r="W489" s="55" t="s">
        <v>2319</v>
      </c>
      <c r="X489" s="54" t="s">
        <v>4498</v>
      </c>
      <c r="Y489" s="52"/>
      <c r="Z489" s="1" t="s">
        <v>61</v>
      </c>
      <c r="AA489" s="1" t="s">
        <v>1299</v>
      </c>
      <c r="AB489" s="1"/>
      <c r="AC489" s="1"/>
      <c r="AD489" s="3" t="s">
        <v>62</v>
      </c>
      <c r="AE489" s="3" t="s">
        <v>519</v>
      </c>
      <c r="AF489" s="1" t="s">
        <v>299</v>
      </c>
      <c r="AG489" s="1" t="s">
        <v>299</v>
      </c>
      <c r="AH489" s="2">
        <v>100</v>
      </c>
      <c r="AI489" s="1"/>
      <c r="AJ489" s="1"/>
      <c r="AK489" s="1"/>
      <c r="AL489" s="1"/>
      <c r="AM489" s="1"/>
      <c r="AN489" s="1"/>
      <c r="AO489" s="1"/>
      <c r="AP489" s="1"/>
      <c r="AQ489" s="1"/>
      <c r="AR489" s="1"/>
      <c r="AS489" s="1"/>
      <c r="AT489" s="1"/>
      <c r="AU489" s="1"/>
      <c r="AV489" s="1"/>
      <c r="AW489" s="1"/>
      <c r="AX489" s="1"/>
      <c r="AY489" s="1"/>
      <c r="AZ489" s="5" t="s">
        <v>1297</v>
      </c>
      <c r="BA489" s="5"/>
      <c r="BB489" s="1"/>
      <c r="BC489" s="1"/>
    </row>
    <row r="490" spans="1:55" s="78" customFormat="1" ht="15" customHeight="1" x14ac:dyDescent="0.25">
      <c r="A490" s="52" t="s">
        <v>4499</v>
      </c>
      <c r="B490" s="34" t="s">
        <v>59</v>
      </c>
      <c r="C490" s="53">
        <v>2026</v>
      </c>
      <c r="D490" s="53">
        <v>2026</v>
      </c>
      <c r="E490" s="54" t="s">
        <v>3244</v>
      </c>
      <c r="F490" s="55" t="s">
        <v>50</v>
      </c>
      <c r="G490" s="55" t="s">
        <v>50</v>
      </c>
      <c r="H490" s="45" t="s">
        <v>1298</v>
      </c>
      <c r="I490" s="56" t="s">
        <v>78</v>
      </c>
      <c r="J490" s="56"/>
      <c r="K490" s="56" t="s">
        <v>71</v>
      </c>
      <c r="L490" s="55" t="s">
        <v>88</v>
      </c>
      <c r="M490" s="55"/>
      <c r="N490" s="56" t="s">
        <v>110</v>
      </c>
      <c r="O490" s="56"/>
      <c r="P490" s="55" t="s">
        <v>73</v>
      </c>
      <c r="Q490" s="55" t="s">
        <v>57</v>
      </c>
      <c r="R490" s="55"/>
      <c r="S490" s="56" t="s">
        <v>58</v>
      </c>
      <c r="T490" s="55" t="str">
        <f t="shared" si="8"/>
        <v>N</v>
      </c>
      <c r="U490" s="57">
        <v>1.6830000000000001</v>
      </c>
      <c r="V490" s="57" t="s">
        <v>101</v>
      </c>
      <c r="W490" s="55" t="s">
        <v>2319</v>
      </c>
      <c r="X490" s="54" t="s">
        <v>4499</v>
      </c>
      <c r="Y490" s="52"/>
      <c r="Z490" s="1" t="s">
        <v>61</v>
      </c>
      <c r="AA490" s="1" t="s">
        <v>1299</v>
      </c>
      <c r="AB490" s="1"/>
      <c r="AC490" s="1"/>
      <c r="AD490" s="3" t="s">
        <v>62</v>
      </c>
      <c r="AE490" s="3" t="s">
        <v>519</v>
      </c>
      <c r="AF490" s="1" t="s">
        <v>299</v>
      </c>
      <c r="AG490" s="1" t="s">
        <v>299</v>
      </c>
      <c r="AH490" s="53">
        <v>100</v>
      </c>
      <c r="AI490" s="3"/>
      <c r="AJ490" s="53"/>
      <c r="AK490" s="3"/>
      <c r="AL490" s="53"/>
      <c r="AM490" s="3"/>
      <c r="AN490" s="53"/>
      <c r="AO490" s="3"/>
      <c r="AP490" s="53"/>
      <c r="AQ490" s="3"/>
      <c r="AR490" s="53"/>
      <c r="AS490" s="3"/>
      <c r="AT490" s="53"/>
      <c r="AU490" s="3"/>
      <c r="AV490" s="53"/>
      <c r="AW490" s="3"/>
      <c r="AX490" s="53"/>
      <c r="AY490" s="1"/>
      <c r="AZ490" s="5" t="s">
        <v>1297</v>
      </c>
      <c r="BA490" s="5"/>
      <c r="BB490" s="1"/>
      <c r="BC490" s="1"/>
    </row>
    <row r="491" spans="1:55" s="78" customFormat="1" ht="15" customHeight="1" x14ac:dyDescent="0.25">
      <c r="A491" s="52" t="s">
        <v>4500</v>
      </c>
      <c r="B491" s="34" t="s">
        <v>59</v>
      </c>
      <c r="C491" s="53">
        <v>2026</v>
      </c>
      <c r="D491" s="53">
        <v>2026</v>
      </c>
      <c r="E491" s="54" t="s">
        <v>3244</v>
      </c>
      <c r="F491" s="55" t="s">
        <v>50</v>
      </c>
      <c r="G491" s="55" t="s">
        <v>50</v>
      </c>
      <c r="H491" s="45" t="s">
        <v>1298</v>
      </c>
      <c r="I491" s="56" t="s">
        <v>78</v>
      </c>
      <c r="J491" s="56"/>
      <c r="K491" s="56" t="s">
        <v>74</v>
      </c>
      <c r="L491" s="55" t="s">
        <v>88</v>
      </c>
      <c r="M491" s="55"/>
      <c r="N491" s="56" t="s">
        <v>110</v>
      </c>
      <c r="O491" s="56"/>
      <c r="P491" s="55" t="s">
        <v>75</v>
      </c>
      <c r="Q491" s="56" t="s">
        <v>57</v>
      </c>
      <c r="R491" s="55"/>
      <c r="S491" s="56" t="s">
        <v>58</v>
      </c>
      <c r="T491" s="55" t="str">
        <f t="shared" si="8"/>
        <v>N</v>
      </c>
      <c r="U491" s="72">
        <v>247.34899999999999</v>
      </c>
      <c r="V491" s="57" t="s">
        <v>101</v>
      </c>
      <c r="W491" s="55" t="s">
        <v>2319</v>
      </c>
      <c r="X491" s="54" t="s">
        <v>4500</v>
      </c>
      <c r="Y491" s="52"/>
      <c r="Z491" s="1" t="s">
        <v>61</v>
      </c>
      <c r="AA491" s="1" t="s">
        <v>1299</v>
      </c>
      <c r="AB491" s="1"/>
      <c r="AC491" s="1"/>
      <c r="AD491" s="3" t="s">
        <v>62</v>
      </c>
      <c r="AE491" s="1" t="s">
        <v>519</v>
      </c>
      <c r="AF491" s="1" t="s">
        <v>299</v>
      </c>
      <c r="AG491" s="1" t="s">
        <v>299</v>
      </c>
      <c r="AH491" s="53">
        <v>100</v>
      </c>
      <c r="AI491" s="3"/>
      <c r="AJ491" s="53"/>
      <c r="AK491" s="3"/>
      <c r="AL491" s="53"/>
      <c r="AM491" s="3"/>
      <c r="AN491" s="53"/>
      <c r="AO491" s="3"/>
      <c r="AP491" s="53"/>
      <c r="AQ491" s="3"/>
      <c r="AR491" s="53"/>
      <c r="AS491" s="3"/>
      <c r="AT491" s="53"/>
      <c r="AU491" s="3"/>
      <c r="AV491" s="53"/>
      <c r="AW491" s="3"/>
      <c r="AX491" s="53"/>
      <c r="AY491" s="1"/>
      <c r="AZ491" s="5" t="s">
        <v>1297</v>
      </c>
      <c r="BA491" s="5"/>
      <c r="BB491" s="1"/>
      <c r="BC491" s="1"/>
    </row>
    <row r="492" spans="1:55" s="78" customFormat="1" ht="15" customHeight="1" x14ac:dyDescent="0.25">
      <c r="A492" s="52" t="s">
        <v>4501</v>
      </c>
      <c r="B492" s="34" t="s">
        <v>59</v>
      </c>
      <c r="C492" s="53">
        <v>2026</v>
      </c>
      <c r="D492" s="53">
        <v>2026</v>
      </c>
      <c r="E492" s="54" t="s">
        <v>3245</v>
      </c>
      <c r="F492" s="55" t="s">
        <v>50</v>
      </c>
      <c r="G492" s="55" t="s">
        <v>50</v>
      </c>
      <c r="H492" s="45" t="s">
        <v>1300</v>
      </c>
      <c r="I492" s="56" t="s">
        <v>78</v>
      </c>
      <c r="J492" s="56"/>
      <c r="K492" s="56" t="s">
        <v>204</v>
      </c>
      <c r="L492" s="55"/>
      <c r="M492" s="55"/>
      <c r="N492" s="56"/>
      <c r="O492" s="56"/>
      <c r="P492" s="55" t="s">
        <v>89</v>
      </c>
      <c r="Q492" s="55" t="s">
        <v>89</v>
      </c>
      <c r="R492" s="55"/>
      <c r="S492" s="56" t="s">
        <v>81</v>
      </c>
      <c r="T492" s="55" t="str">
        <f t="shared" si="8"/>
        <v>N</v>
      </c>
      <c r="U492" s="57">
        <v>-999</v>
      </c>
      <c r="V492" s="57" t="s">
        <v>59</v>
      </c>
      <c r="W492" s="55" t="s">
        <v>2319</v>
      </c>
      <c r="X492" s="54" t="s">
        <v>4501</v>
      </c>
      <c r="Y492" s="52"/>
      <c r="Z492" s="1" t="s">
        <v>61</v>
      </c>
      <c r="AA492" s="1" t="s">
        <v>376</v>
      </c>
      <c r="AB492" s="1"/>
      <c r="AC492" s="1"/>
      <c r="AD492" s="3" t="s">
        <v>62</v>
      </c>
      <c r="AE492" s="1" t="s">
        <v>83</v>
      </c>
      <c r="AF492" s="1"/>
      <c r="AG492" s="3" t="s">
        <v>207</v>
      </c>
      <c r="AH492" s="1"/>
      <c r="AI492" s="1"/>
      <c r="AJ492" s="1"/>
      <c r="AK492" s="1"/>
      <c r="AL492" s="1"/>
      <c r="AM492" s="1"/>
      <c r="AN492" s="1"/>
      <c r="AO492" s="1"/>
      <c r="AP492" s="1"/>
      <c r="AQ492" s="1"/>
      <c r="AR492" s="1"/>
      <c r="AS492" s="1"/>
      <c r="AT492" s="1"/>
      <c r="AU492" s="1"/>
      <c r="AV492" s="1"/>
      <c r="AW492" s="1"/>
      <c r="AX492" s="1"/>
      <c r="AY492" s="1"/>
      <c r="AZ492" s="4" t="s">
        <v>202</v>
      </c>
      <c r="BA492" s="1"/>
      <c r="BB492" s="1"/>
      <c r="BC492" s="1"/>
    </row>
    <row r="493" spans="1:55" s="78" customFormat="1" ht="15" customHeight="1" x14ac:dyDescent="0.25">
      <c r="A493" s="52" t="s">
        <v>4502</v>
      </c>
      <c r="B493" s="34" t="s">
        <v>59</v>
      </c>
      <c r="C493" s="53">
        <v>2026</v>
      </c>
      <c r="D493" s="53">
        <v>2026</v>
      </c>
      <c r="E493" s="54" t="s">
        <v>3246</v>
      </c>
      <c r="F493" s="55" t="s">
        <v>50</v>
      </c>
      <c r="G493" s="55" t="s">
        <v>50</v>
      </c>
      <c r="H493" s="45" t="s">
        <v>1302</v>
      </c>
      <c r="I493" s="56" t="s">
        <v>52</v>
      </c>
      <c r="J493" s="56"/>
      <c r="K493" s="56" t="s">
        <v>53</v>
      </c>
      <c r="L493" s="55" t="str">
        <f>IF(K493="Mine or Quarry","Mine","")</f>
        <v/>
      </c>
      <c r="M493" s="55"/>
      <c r="N493" s="55" t="s">
        <v>327</v>
      </c>
      <c r="O493" s="56"/>
      <c r="P493" s="55" t="s">
        <v>56</v>
      </c>
      <c r="Q493" s="55" t="s">
        <v>57</v>
      </c>
      <c r="R493" s="55"/>
      <c r="S493" s="56" t="s">
        <v>81</v>
      </c>
      <c r="T493" s="55" t="str">
        <f t="shared" si="8"/>
        <v>N</v>
      </c>
      <c r="U493" s="57">
        <v>11000</v>
      </c>
      <c r="V493" s="57" t="s">
        <v>101</v>
      </c>
      <c r="W493" s="55"/>
      <c r="X493" s="54" t="s">
        <v>4502</v>
      </c>
      <c r="Y493" s="52"/>
      <c r="Z493" s="45" t="s">
        <v>61</v>
      </c>
      <c r="AA493" s="56" t="s">
        <v>1303</v>
      </c>
      <c r="AB493" s="56"/>
      <c r="AC493" s="56"/>
      <c r="AD493" s="3" t="s">
        <v>62</v>
      </c>
      <c r="AE493" s="45" t="s">
        <v>108</v>
      </c>
      <c r="AF493" s="3"/>
      <c r="AG493" s="56" t="s">
        <v>1304</v>
      </c>
      <c r="AH493" s="45">
        <v>100</v>
      </c>
      <c r="AI493" s="56"/>
      <c r="AJ493" s="56"/>
      <c r="AK493" s="56"/>
      <c r="AL493" s="56"/>
      <c r="AM493" s="56"/>
      <c r="AN493" s="56"/>
      <c r="AO493" s="56"/>
      <c r="AP493" s="56"/>
      <c r="AQ493" s="56"/>
      <c r="AR493" s="56"/>
      <c r="AS493" s="56"/>
      <c r="AT493" s="56"/>
      <c r="AU493" s="56"/>
      <c r="AV493" s="56"/>
      <c r="AW493" s="56"/>
      <c r="AX493" s="56"/>
      <c r="AY493" s="56"/>
      <c r="AZ493" s="4" t="s">
        <v>1301</v>
      </c>
      <c r="BA493" s="56"/>
      <c r="BB493" s="1"/>
      <c r="BC493" s="1"/>
    </row>
    <row r="494" spans="1:55" s="78" customFormat="1" ht="15" customHeight="1" x14ac:dyDescent="0.25">
      <c r="A494" s="52" t="s">
        <v>4503</v>
      </c>
      <c r="B494" s="34" t="s">
        <v>59</v>
      </c>
      <c r="C494" s="53">
        <v>2026</v>
      </c>
      <c r="D494" s="53">
        <v>2026</v>
      </c>
      <c r="E494" s="54" t="s">
        <v>3248</v>
      </c>
      <c r="F494" s="55" t="s">
        <v>50</v>
      </c>
      <c r="G494" s="55" t="s">
        <v>50</v>
      </c>
      <c r="H494" s="45" t="s">
        <v>1305</v>
      </c>
      <c r="I494" s="56" t="s">
        <v>78</v>
      </c>
      <c r="J494" s="56"/>
      <c r="K494" s="56" t="s">
        <v>71</v>
      </c>
      <c r="L494" s="55" t="s">
        <v>88</v>
      </c>
      <c r="M494" s="55"/>
      <c r="N494" s="56" t="s">
        <v>181</v>
      </c>
      <c r="O494" s="56"/>
      <c r="P494" s="55" t="s">
        <v>73</v>
      </c>
      <c r="Q494" s="55" t="s">
        <v>57</v>
      </c>
      <c r="R494" s="55"/>
      <c r="S494" s="56" t="s">
        <v>58</v>
      </c>
      <c r="T494" s="55" t="str">
        <f t="shared" si="8"/>
        <v>N</v>
      </c>
      <c r="U494" s="73">
        <v>5.4</v>
      </c>
      <c r="V494" s="57" t="s">
        <v>101</v>
      </c>
      <c r="W494" s="55"/>
      <c r="X494" s="54" t="s">
        <v>4503</v>
      </c>
      <c r="Y494" s="52"/>
      <c r="Z494" s="1" t="s">
        <v>61</v>
      </c>
      <c r="AA494" s="1" t="s">
        <v>1306</v>
      </c>
      <c r="AB494" s="1"/>
      <c r="AC494" s="1"/>
      <c r="AD494" s="3" t="s">
        <v>62</v>
      </c>
      <c r="AE494" s="1" t="s">
        <v>353</v>
      </c>
      <c r="AF494" s="1"/>
      <c r="AG494" s="1" t="s">
        <v>1307</v>
      </c>
      <c r="AH494" s="2">
        <v>100</v>
      </c>
      <c r="AI494" s="1"/>
      <c r="AJ494" s="1"/>
      <c r="AK494" s="1"/>
      <c r="AL494" s="1"/>
      <c r="AM494" s="1"/>
      <c r="AN494" s="1"/>
      <c r="AO494" s="1"/>
      <c r="AP494" s="1"/>
      <c r="AQ494" s="1"/>
      <c r="AR494" s="1"/>
      <c r="AS494" s="1"/>
      <c r="AT494" s="1"/>
      <c r="AU494" s="1"/>
      <c r="AV494" s="1"/>
      <c r="AW494" s="1"/>
      <c r="AX494" s="1"/>
      <c r="AY494" s="1"/>
      <c r="AZ494" s="4" t="s">
        <v>532</v>
      </c>
      <c r="BA494" s="5"/>
      <c r="BB494" s="1"/>
      <c r="BC494" s="1"/>
    </row>
    <row r="495" spans="1:55" s="78" customFormat="1" ht="15" customHeight="1" x14ac:dyDescent="0.25">
      <c r="A495" s="52" t="s">
        <v>4504</v>
      </c>
      <c r="B495" s="34" t="s">
        <v>59</v>
      </c>
      <c r="C495" s="53">
        <v>2026</v>
      </c>
      <c r="D495" s="53">
        <v>2026</v>
      </c>
      <c r="E495" s="54" t="s">
        <v>3248</v>
      </c>
      <c r="F495" s="55" t="s">
        <v>50</v>
      </c>
      <c r="G495" s="55" t="s">
        <v>50</v>
      </c>
      <c r="H495" s="45" t="s">
        <v>1305</v>
      </c>
      <c r="I495" s="56" t="s">
        <v>78</v>
      </c>
      <c r="J495" s="56"/>
      <c r="K495" s="56" t="s">
        <v>74</v>
      </c>
      <c r="L495" s="55" t="str">
        <f>IF(K495="Mines and Quarries","Mine","")</f>
        <v/>
      </c>
      <c r="M495" s="55"/>
      <c r="N495" s="56" t="s">
        <v>181</v>
      </c>
      <c r="O495" s="56"/>
      <c r="P495" s="55" t="s">
        <v>75</v>
      </c>
      <c r="Q495" s="56" t="s">
        <v>57</v>
      </c>
      <c r="R495" s="55"/>
      <c r="S495" s="56" t="s">
        <v>58</v>
      </c>
      <c r="T495" s="55" t="str">
        <f t="shared" si="8"/>
        <v>N</v>
      </c>
      <c r="U495" s="73">
        <v>5.4</v>
      </c>
      <c r="V495" s="57" t="s">
        <v>101</v>
      </c>
      <c r="W495" s="55"/>
      <c r="X495" s="54" t="s">
        <v>4504</v>
      </c>
      <c r="Y495" s="52"/>
      <c r="Z495" s="1" t="s">
        <v>61</v>
      </c>
      <c r="AA495" s="1" t="s">
        <v>1306</v>
      </c>
      <c r="AB495" s="1"/>
      <c r="AC495" s="1"/>
      <c r="AD495" s="3" t="s">
        <v>62</v>
      </c>
      <c r="AE495" s="1" t="s">
        <v>353</v>
      </c>
      <c r="AF495" s="1"/>
      <c r="AG495" s="1" t="s">
        <v>1307</v>
      </c>
      <c r="AH495" s="2">
        <v>100</v>
      </c>
      <c r="AI495" s="1"/>
      <c r="AJ495" s="1"/>
      <c r="AK495" s="1"/>
      <c r="AL495" s="1"/>
      <c r="AM495" s="1"/>
      <c r="AN495" s="1"/>
      <c r="AO495" s="1"/>
      <c r="AP495" s="1"/>
      <c r="AQ495" s="1"/>
      <c r="AR495" s="1"/>
      <c r="AS495" s="1"/>
      <c r="AT495" s="1"/>
      <c r="AU495" s="1"/>
      <c r="AV495" s="1"/>
      <c r="AW495" s="1"/>
      <c r="AX495" s="1"/>
      <c r="AY495" s="1"/>
      <c r="AZ495" s="4" t="s">
        <v>532</v>
      </c>
      <c r="BA495" s="5"/>
      <c r="BB495" s="1"/>
      <c r="BC495" s="1"/>
    </row>
    <row r="496" spans="1:55" s="78" customFormat="1" ht="15" customHeight="1" x14ac:dyDescent="0.25">
      <c r="A496" s="52" t="s">
        <v>4505</v>
      </c>
      <c r="B496" s="34" t="s">
        <v>59</v>
      </c>
      <c r="C496" s="53">
        <v>2026</v>
      </c>
      <c r="D496" s="53">
        <v>2026</v>
      </c>
      <c r="E496" s="54" t="s">
        <v>3249</v>
      </c>
      <c r="F496" s="55" t="s">
        <v>50</v>
      </c>
      <c r="G496" s="55" t="s">
        <v>50</v>
      </c>
      <c r="H496" s="45" t="s">
        <v>1308</v>
      </c>
      <c r="I496" s="56" t="s">
        <v>52</v>
      </c>
      <c r="J496" s="56"/>
      <c r="K496" s="56" t="s">
        <v>71</v>
      </c>
      <c r="L496" s="55"/>
      <c r="M496" s="55"/>
      <c r="N496" s="56" t="s">
        <v>110</v>
      </c>
      <c r="O496" s="56" t="s">
        <v>296</v>
      </c>
      <c r="P496" s="55" t="s">
        <v>73</v>
      </c>
      <c r="Q496" s="55" t="s">
        <v>57</v>
      </c>
      <c r="R496" s="55"/>
      <c r="S496" s="56" t="s">
        <v>58</v>
      </c>
      <c r="T496" s="55" t="s">
        <v>81</v>
      </c>
      <c r="U496" s="73">
        <v>5.4</v>
      </c>
      <c r="V496" s="57" t="s">
        <v>101</v>
      </c>
      <c r="W496" s="55"/>
      <c r="X496" s="54" t="s">
        <v>4505</v>
      </c>
      <c r="Y496" s="52"/>
      <c r="Z496" s="1" t="s">
        <v>61</v>
      </c>
      <c r="AA496" s="1" t="s">
        <v>1306</v>
      </c>
      <c r="AB496" s="1"/>
      <c r="AC496" s="1"/>
      <c r="AD496" s="3" t="s">
        <v>62</v>
      </c>
      <c r="AE496" s="1" t="s">
        <v>353</v>
      </c>
      <c r="AF496" s="1"/>
      <c r="AG496" s="1" t="s">
        <v>1307</v>
      </c>
      <c r="AH496" s="2">
        <v>100</v>
      </c>
      <c r="AI496" s="3"/>
      <c r="AJ496" s="53"/>
      <c r="AK496" s="3"/>
      <c r="AL496" s="53"/>
      <c r="AM496" s="3"/>
      <c r="AN496" s="53"/>
      <c r="AO496" s="3"/>
      <c r="AP496" s="53"/>
      <c r="AQ496" s="3"/>
      <c r="AR496" s="53"/>
      <c r="AS496" s="3"/>
      <c r="AT496" s="53"/>
      <c r="AU496" s="3"/>
      <c r="AV496" s="53"/>
      <c r="AW496" s="3"/>
      <c r="AX496" s="53"/>
      <c r="AY496" s="1"/>
      <c r="AZ496" s="4" t="s">
        <v>532</v>
      </c>
      <c r="BA496" s="5"/>
      <c r="BB496" s="1"/>
      <c r="BC496" s="1"/>
    </row>
    <row r="497" spans="1:55" s="78" customFormat="1" ht="15" customHeight="1" x14ac:dyDescent="0.25">
      <c r="A497" s="52" t="s">
        <v>4506</v>
      </c>
      <c r="B497" s="34" t="s">
        <v>59</v>
      </c>
      <c r="C497" s="53">
        <v>2026</v>
      </c>
      <c r="D497" s="53">
        <v>2026</v>
      </c>
      <c r="E497" s="54" t="s">
        <v>3249</v>
      </c>
      <c r="F497" s="55" t="s">
        <v>50</v>
      </c>
      <c r="G497" s="55" t="s">
        <v>50</v>
      </c>
      <c r="H497" s="45" t="s">
        <v>1308</v>
      </c>
      <c r="I497" s="56" t="s">
        <v>52</v>
      </c>
      <c r="J497" s="56"/>
      <c r="K497" s="56" t="s">
        <v>74</v>
      </c>
      <c r="L497" s="55"/>
      <c r="M497" s="55"/>
      <c r="N497" s="56" t="s">
        <v>110</v>
      </c>
      <c r="O497" s="56" t="s">
        <v>296</v>
      </c>
      <c r="P497" s="55" t="s">
        <v>75</v>
      </c>
      <c r="Q497" s="56" t="s">
        <v>57</v>
      </c>
      <c r="R497" s="55"/>
      <c r="S497" s="56" t="s">
        <v>58</v>
      </c>
      <c r="T497" s="55" t="s">
        <v>81</v>
      </c>
      <c r="U497" s="73">
        <v>5.4</v>
      </c>
      <c r="V497" s="57" t="s">
        <v>101</v>
      </c>
      <c r="W497" s="55"/>
      <c r="X497" s="54" t="s">
        <v>4506</v>
      </c>
      <c r="Y497" s="52"/>
      <c r="Z497" s="1" t="s">
        <v>61</v>
      </c>
      <c r="AA497" s="1" t="s">
        <v>1306</v>
      </c>
      <c r="AB497" s="1"/>
      <c r="AC497" s="1"/>
      <c r="AD497" s="3" t="s">
        <v>62</v>
      </c>
      <c r="AE497" s="1" t="s">
        <v>353</v>
      </c>
      <c r="AF497" s="1"/>
      <c r="AG497" s="1" t="s">
        <v>1307</v>
      </c>
      <c r="AH497" s="2">
        <v>100</v>
      </c>
      <c r="AI497" s="3"/>
      <c r="AJ497" s="53"/>
      <c r="AK497" s="3"/>
      <c r="AL497" s="53"/>
      <c r="AM497" s="3"/>
      <c r="AN497" s="53"/>
      <c r="AO497" s="3"/>
      <c r="AP497" s="53"/>
      <c r="AQ497" s="3"/>
      <c r="AR497" s="53"/>
      <c r="AS497" s="3"/>
      <c r="AT497" s="53"/>
      <c r="AU497" s="3"/>
      <c r="AV497" s="53"/>
      <c r="AW497" s="3"/>
      <c r="AX497" s="53"/>
      <c r="AY497" s="1"/>
      <c r="AZ497" s="4" t="s">
        <v>532</v>
      </c>
      <c r="BA497" s="5"/>
      <c r="BB497" s="1"/>
      <c r="BC497" s="1"/>
    </row>
    <row r="498" spans="1:55" s="78" customFormat="1" ht="15" customHeight="1" x14ac:dyDescent="0.25">
      <c r="A498" s="52" t="s">
        <v>4507</v>
      </c>
      <c r="B498" s="34" t="s">
        <v>59</v>
      </c>
      <c r="C498" s="53">
        <v>2026</v>
      </c>
      <c r="D498" s="53">
        <v>2026</v>
      </c>
      <c r="E498" s="54" t="s">
        <v>3250</v>
      </c>
      <c r="F498" s="55" t="s">
        <v>50</v>
      </c>
      <c r="G498" s="55" t="s">
        <v>50</v>
      </c>
      <c r="H498" s="45" t="s">
        <v>3247</v>
      </c>
      <c r="I498" s="56" t="s">
        <v>52</v>
      </c>
      <c r="J498" s="56"/>
      <c r="K498" s="55" t="s">
        <v>140</v>
      </c>
      <c r="L498" s="55" t="s">
        <v>54</v>
      </c>
      <c r="M498" s="55"/>
      <c r="N498" s="55" t="s">
        <v>270</v>
      </c>
      <c r="O498" s="55"/>
      <c r="P498" s="55" t="s">
        <v>271</v>
      </c>
      <c r="Q498" s="55" t="s">
        <v>5353</v>
      </c>
      <c r="R498" s="55"/>
      <c r="S498" s="56" t="s">
        <v>81</v>
      </c>
      <c r="T498" s="55" t="s">
        <v>81</v>
      </c>
      <c r="U498" s="57">
        <v>225000</v>
      </c>
      <c r="V498" s="57" t="s">
        <v>101</v>
      </c>
      <c r="W498" s="55" t="s">
        <v>2319</v>
      </c>
      <c r="X498" s="54" t="s">
        <v>4507</v>
      </c>
      <c r="Y498" s="52"/>
      <c r="Z498" s="3" t="s">
        <v>61</v>
      </c>
      <c r="AA498" s="3" t="s">
        <v>1309</v>
      </c>
      <c r="AB498" s="3"/>
      <c r="AC498" s="3"/>
      <c r="AD498" s="3" t="s">
        <v>62</v>
      </c>
      <c r="AE498" s="3" t="s">
        <v>648</v>
      </c>
      <c r="AF498" s="3"/>
      <c r="AG498" s="3" t="s">
        <v>1310</v>
      </c>
      <c r="AH498" s="58">
        <v>100</v>
      </c>
      <c r="AI498" s="3"/>
      <c r="AJ498" s="3"/>
      <c r="AK498" s="3"/>
      <c r="AL498" s="3"/>
      <c r="AM498" s="3"/>
      <c r="AN498" s="3"/>
      <c r="AO498" s="3"/>
      <c r="AP498" s="3"/>
      <c r="AQ498" s="3"/>
      <c r="AR498" s="3"/>
      <c r="AS498" s="3"/>
      <c r="AT498" s="3"/>
      <c r="AU498" s="3"/>
      <c r="AV498" s="3"/>
      <c r="AW498" s="3"/>
      <c r="AX498" s="3"/>
      <c r="AY498" s="3"/>
      <c r="AZ498" s="4" t="s">
        <v>139</v>
      </c>
      <c r="BA498" s="3"/>
      <c r="BB498" s="1"/>
      <c r="BC498" s="1"/>
    </row>
    <row r="499" spans="1:55" s="78" customFormat="1" ht="15" customHeight="1" x14ac:dyDescent="0.25">
      <c r="A499" s="52" t="s">
        <v>4508</v>
      </c>
      <c r="B499" s="34" t="s">
        <v>59</v>
      </c>
      <c r="C499" s="53">
        <v>2026</v>
      </c>
      <c r="D499" s="53">
        <v>2026</v>
      </c>
      <c r="E499" s="54" t="s">
        <v>3251</v>
      </c>
      <c r="F499" s="55" t="s">
        <v>50</v>
      </c>
      <c r="G499" s="55" t="s">
        <v>50</v>
      </c>
      <c r="H499" s="45" t="s">
        <v>1311</v>
      </c>
      <c r="I499" s="56" t="s">
        <v>52</v>
      </c>
      <c r="J499" s="56"/>
      <c r="K499" s="56" t="s">
        <v>1019</v>
      </c>
      <c r="L499" s="55"/>
      <c r="M499" s="55"/>
      <c r="N499" s="56"/>
      <c r="O499" s="56" t="s">
        <v>1020</v>
      </c>
      <c r="P499" s="56" t="s">
        <v>89</v>
      </c>
      <c r="Q499" s="56" t="s">
        <v>89</v>
      </c>
      <c r="R499" s="55"/>
      <c r="S499" s="56" t="s">
        <v>81</v>
      </c>
      <c r="T499" s="55" t="s">
        <v>81</v>
      </c>
      <c r="U499" s="57">
        <v>-999</v>
      </c>
      <c r="V499" s="57" t="s">
        <v>59</v>
      </c>
      <c r="W499" s="55" t="s">
        <v>2319</v>
      </c>
      <c r="X499" s="54" t="s">
        <v>4508</v>
      </c>
      <c r="Y499" s="52"/>
      <c r="Z499" s="1" t="s">
        <v>61</v>
      </c>
      <c r="AA499" s="1" t="s">
        <v>1312</v>
      </c>
      <c r="AB499" s="1"/>
      <c r="AC499" s="1"/>
      <c r="AD499" s="3" t="s">
        <v>62</v>
      </c>
      <c r="AE499" s="1" t="s">
        <v>251</v>
      </c>
      <c r="AF499" s="1" t="s">
        <v>1022</v>
      </c>
      <c r="AG499" s="1" t="s">
        <v>1023</v>
      </c>
      <c r="AH499" s="2">
        <v>100</v>
      </c>
      <c r="AI499" s="1"/>
      <c r="AJ499" s="1"/>
      <c r="AK499" s="1"/>
      <c r="AL499" s="1"/>
      <c r="AM499" s="1"/>
      <c r="AN499" s="1"/>
      <c r="AO499" s="1"/>
      <c r="AP499" s="1"/>
      <c r="AQ499" s="1"/>
      <c r="AR499" s="1"/>
      <c r="AS499" s="1"/>
      <c r="AT499" s="1"/>
      <c r="AU499" s="1"/>
      <c r="AV499" s="1"/>
      <c r="AW499" s="1"/>
      <c r="AX499" s="1"/>
      <c r="AY499" s="1"/>
      <c r="AZ499" s="4" t="s">
        <v>1017</v>
      </c>
      <c r="BA499" s="1"/>
      <c r="BB499" s="1"/>
      <c r="BC499" s="1"/>
    </row>
    <row r="500" spans="1:55" s="78" customFormat="1" ht="15" customHeight="1" x14ac:dyDescent="0.25">
      <c r="A500" s="52" t="s">
        <v>4509</v>
      </c>
      <c r="B500" s="34" t="s">
        <v>59</v>
      </c>
      <c r="C500" s="53">
        <v>2026</v>
      </c>
      <c r="D500" s="53">
        <v>2026</v>
      </c>
      <c r="E500" s="54" t="s">
        <v>3252</v>
      </c>
      <c r="F500" s="55" t="s">
        <v>50</v>
      </c>
      <c r="G500" s="55" t="s">
        <v>50</v>
      </c>
      <c r="H500" s="45" t="s">
        <v>1314</v>
      </c>
      <c r="I500" s="56" t="s">
        <v>78</v>
      </c>
      <c r="J500" s="56"/>
      <c r="K500" s="56" t="s">
        <v>71</v>
      </c>
      <c r="L500" s="55"/>
      <c r="M500" s="55"/>
      <c r="N500" s="56" t="s">
        <v>181</v>
      </c>
      <c r="O500" s="56"/>
      <c r="P500" s="55" t="s">
        <v>73</v>
      </c>
      <c r="Q500" s="55" t="s">
        <v>57</v>
      </c>
      <c r="R500" s="55"/>
      <c r="S500" s="56" t="s">
        <v>58</v>
      </c>
      <c r="T500" s="55" t="s">
        <v>81</v>
      </c>
      <c r="U500" s="57">
        <v>2.0129999999999999</v>
      </c>
      <c r="V500" s="57" t="s">
        <v>101</v>
      </c>
      <c r="W500" s="55"/>
      <c r="X500" s="54" t="s">
        <v>4509</v>
      </c>
      <c r="Y500" s="52"/>
      <c r="Z500" s="1" t="s">
        <v>154</v>
      </c>
      <c r="AA500" s="1" t="s">
        <v>1315</v>
      </c>
      <c r="AB500" s="1"/>
      <c r="AC500" s="1"/>
      <c r="AD500" s="3" t="s">
        <v>62</v>
      </c>
      <c r="AE500" s="3" t="s">
        <v>83</v>
      </c>
      <c r="AF500" s="3" t="s">
        <v>1316</v>
      </c>
      <c r="AG500" s="3" t="s">
        <v>1316</v>
      </c>
      <c r="AH500" s="58">
        <v>100</v>
      </c>
      <c r="AI500" s="1"/>
      <c r="AJ500" s="1"/>
      <c r="AK500" s="1"/>
      <c r="AL500" s="1"/>
      <c r="AM500" s="1"/>
      <c r="AN500" s="1"/>
      <c r="AO500" s="1"/>
      <c r="AP500" s="1"/>
      <c r="AQ500" s="1"/>
      <c r="AR500" s="1"/>
      <c r="AS500" s="1"/>
      <c r="AT500" s="1"/>
      <c r="AU500" s="1"/>
      <c r="AV500" s="1"/>
      <c r="AW500" s="1"/>
      <c r="AX500" s="1"/>
      <c r="AY500" s="1"/>
      <c r="AZ500" s="2" t="s">
        <v>1313</v>
      </c>
      <c r="BA500" s="5"/>
      <c r="BB500" s="1"/>
      <c r="BC500" s="1"/>
    </row>
    <row r="501" spans="1:55" s="78" customFormat="1" ht="15" customHeight="1" x14ac:dyDescent="0.25">
      <c r="A501" s="52" t="s">
        <v>4510</v>
      </c>
      <c r="B501" s="34" t="s">
        <v>59</v>
      </c>
      <c r="C501" s="53">
        <v>2026</v>
      </c>
      <c r="D501" s="53">
        <v>2026</v>
      </c>
      <c r="E501" s="54" t="s">
        <v>3252</v>
      </c>
      <c r="F501" s="55" t="s">
        <v>50</v>
      </c>
      <c r="G501" s="55" t="s">
        <v>50</v>
      </c>
      <c r="H501" s="45" t="s">
        <v>1314</v>
      </c>
      <c r="I501" s="56" t="s">
        <v>78</v>
      </c>
      <c r="J501" s="56"/>
      <c r="K501" s="55" t="s">
        <v>74</v>
      </c>
      <c r="L501" s="55"/>
      <c r="M501" s="55"/>
      <c r="N501" s="55" t="s">
        <v>181</v>
      </c>
      <c r="O501" s="55"/>
      <c r="P501" s="55" t="s">
        <v>75</v>
      </c>
      <c r="Q501" s="56" t="s">
        <v>57</v>
      </c>
      <c r="R501" s="55"/>
      <c r="S501" s="56" t="s">
        <v>58</v>
      </c>
      <c r="T501" s="55" t="s">
        <v>81</v>
      </c>
      <c r="U501" s="57">
        <v>9.0429999999999993</v>
      </c>
      <c r="V501" s="57" t="s">
        <v>101</v>
      </c>
      <c r="W501" s="55"/>
      <c r="X501" s="54" t="s">
        <v>4510</v>
      </c>
      <c r="Y501" s="52"/>
      <c r="Z501" s="3" t="s">
        <v>154</v>
      </c>
      <c r="AA501" s="1" t="s">
        <v>1315</v>
      </c>
      <c r="AB501" s="1"/>
      <c r="AC501" s="1"/>
      <c r="AD501" s="3" t="s">
        <v>62</v>
      </c>
      <c r="AE501" s="3" t="s">
        <v>83</v>
      </c>
      <c r="AF501" s="3" t="s">
        <v>1316</v>
      </c>
      <c r="AG501" s="3" t="s">
        <v>1316</v>
      </c>
      <c r="AH501" s="58">
        <v>100</v>
      </c>
      <c r="AI501" s="3"/>
      <c r="AJ501" s="3"/>
      <c r="AK501" s="3"/>
      <c r="AL501" s="3"/>
      <c r="AM501" s="3"/>
      <c r="AN501" s="3"/>
      <c r="AO501" s="3"/>
      <c r="AP501" s="3"/>
      <c r="AQ501" s="3"/>
      <c r="AR501" s="3"/>
      <c r="AS501" s="3"/>
      <c r="AT501" s="3"/>
      <c r="AU501" s="3"/>
      <c r="AV501" s="3"/>
      <c r="AW501" s="3"/>
      <c r="AX501" s="3"/>
      <c r="AY501" s="3"/>
      <c r="AZ501" s="2" t="s">
        <v>1313</v>
      </c>
      <c r="BA501" s="3"/>
      <c r="BB501" s="1"/>
      <c r="BC501" s="1"/>
    </row>
    <row r="502" spans="1:55" s="78" customFormat="1" ht="15" customHeight="1" x14ac:dyDescent="0.25">
      <c r="A502" s="52" t="s">
        <v>4511</v>
      </c>
      <c r="B502" s="34" t="s">
        <v>59</v>
      </c>
      <c r="C502" s="53">
        <v>2026</v>
      </c>
      <c r="D502" s="53">
        <v>2026</v>
      </c>
      <c r="E502" s="54" t="s">
        <v>3253</v>
      </c>
      <c r="F502" s="55" t="s">
        <v>50</v>
      </c>
      <c r="G502" s="55" t="s">
        <v>50</v>
      </c>
      <c r="H502" s="45" t="s">
        <v>1317</v>
      </c>
      <c r="I502" s="45" t="s">
        <v>52</v>
      </c>
      <c r="J502" s="56"/>
      <c r="K502" s="56" t="s">
        <v>71</v>
      </c>
      <c r="L502" s="55" t="str">
        <f>IF(K502="Mine or Quarry","Mine","")</f>
        <v/>
      </c>
      <c r="M502" s="55"/>
      <c r="N502" s="55" t="s">
        <v>110</v>
      </c>
      <c r="O502" s="45" t="s">
        <v>296</v>
      </c>
      <c r="P502" s="55" t="s">
        <v>73</v>
      </c>
      <c r="Q502" s="55" t="s">
        <v>57</v>
      </c>
      <c r="R502" s="55"/>
      <c r="S502" s="56" t="s">
        <v>58</v>
      </c>
      <c r="T502" s="55" t="str">
        <f>IF(ISNUMBER(SEARCH(",",N502)),"Y","N")</f>
        <v>N</v>
      </c>
      <c r="U502" s="57">
        <v>2.0129999999999999</v>
      </c>
      <c r="V502" s="57" t="s">
        <v>101</v>
      </c>
      <c r="W502" s="55"/>
      <c r="X502" s="54" t="s">
        <v>4511</v>
      </c>
      <c r="Y502" s="52"/>
      <c r="Z502" s="1" t="s">
        <v>154</v>
      </c>
      <c r="AA502" s="1" t="s">
        <v>1315</v>
      </c>
      <c r="AB502" s="1"/>
      <c r="AC502" s="1"/>
      <c r="AD502" s="3" t="s">
        <v>62</v>
      </c>
      <c r="AE502" s="3" t="s">
        <v>83</v>
      </c>
      <c r="AF502" s="3" t="s">
        <v>1316</v>
      </c>
      <c r="AG502" s="3" t="s">
        <v>1316</v>
      </c>
      <c r="AH502" s="58">
        <v>100</v>
      </c>
      <c r="AI502" s="1"/>
      <c r="AJ502" s="1"/>
      <c r="AK502" s="1"/>
      <c r="AL502" s="1"/>
      <c r="AM502" s="1"/>
      <c r="AN502" s="1"/>
      <c r="AO502" s="1"/>
      <c r="AP502" s="1"/>
      <c r="AQ502" s="1"/>
      <c r="AR502" s="1"/>
      <c r="AS502" s="1"/>
      <c r="AT502" s="1"/>
      <c r="AU502" s="1"/>
      <c r="AV502" s="1"/>
      <c r="AW502" s="1"/>
      <c r="AX502" s="1"/>
      <c r="AY502" s="1"/>
      <c r="AZ502" s="2" t="s">
        <v>1313</v>
      </c>
      <c r="BA502" s="5"/>
      <c r="BB502" s="1"/>
      <c r="BC502" s="1"/>
    </row>
    <row r="503" spans="1:55" s="78" customFormat="1" ht="15" customHeight="1" x14ac:dyDescent="0.25">
      <c r="A503" s="52" t="s">
        <v>4512</v>
      </c>
      <c r="B503" s="34" t="s">
        <v>59</v>
      </c>
      <c r="C503" s="53">
        <v>2026</v>
      </c>
      <c r="D503" s="53">
        <v>2026</v>
      </c>
      <c r="E503" s="54" t="s">
        <v>3253</v>
      </c>
      <c r="F503" s="55" t="s">
        <v>50</v>
      </c>
      <c r="G503" s="55" t="s">
        <v>50</v>
      </c>
      <c r="H503" s="45" t="s">
        <v>1317</v>
      </c>
      <c r="I503" s="45" t="s">
        <v>52</v>
      </c>
      <c r="J503" s="56"/>
      <c r="K503" s="56" t="s">
        <v>74</v>
      </c>
      <c r="L503" s="55" t="str">
        <f>IF(K503="Mines and Quarries","Mine","")</f>
        <v/>
      </c>
      <c r="M503" s="55"/>
      <c r="N503" s="55" t="s">
        <v>110</v>
      </c>
      <c r="O503" s="56" t="s">
        <v>296</v>
      </c>
      <c r="P503" s="55" t="s">
        <v>75</v>
      </c>
      <c r="Q503" s="56" t="s">
        <v>57</v>
      </c>
      <c r="R503" s="55"/>
      <c r="S503" s="56" t="s">
        <v>58</v>
      </c>
      <c r="T503" s="55" t="str">
        <f>IF(ISNUMBER(SEARCH(",",N503)),"Y","N")</f>
        <v>N</v>
      </c>
      <c r="U503" s="57">
        <v>9.0429999999999993</v>
      </c>
      <c r="V503" s="57" t="s">
        <v>101</v>
      </c>
      <c r="W503" s="55"/>
      <c r="X503" s="54" t="s">
        <v>4512</v>
      </c>
      <c r="Y503" s="52"/>
      <c r="Z503" s="1" t="s">
        <v>154</v>
      </c>
      <c r="AA503" s="1" t="s">
        <v>1315</v>
      </c>
      <c r="AB503" s="1"/>
      <c r="AC503" s="1"/>
      <c r="AD503" s="3" t="s">
        <v>62</v>
      </c>
      <c r="AE503" s="3" t="s">
        <v>83</v>
      </c>
      <c r="AF503" s="3" t="s">
        <v>1316</v>
      </c>
      <c r="AG503" s="3" t="s">
        <v>1316</v>
      </c>
      <c r="AH503" s="58">
        <v>100</v>
      </c>
      <c r="AI503" s="1"/>
      <c r="AJ503" s="1"/>
      <c r="AK503" s="1"/>
      <c r="AL503" s="1"/>
      <c r="AM503" s="1"/>
      <c r="AN503" s="1"/>
      <c r="AO503" s="1"/>
      <c r="AP503" s="1"/>
      <c r="AQ503" s="1"/>
      <c r="AR503" s="1"/>
      <c r="AS503" s="1"/>
      <c r="AT503" s="1"/>
      <c r="AU503" s="1"/>
      <c r="AV503" s="1"/>
      <c r="AW503" s="1"/>
      <c r="AX503" s="1"/>
      <c r="AY503" s="1"/>
      <c r="AZ503" s="2" t="s">
        <v>1313</v>
      </c>
      <c r="BA503" s="5"/>
      <c r="BB503" s="1"/>
      <c r="BC503" s="1"/>
    </row>
    <row r="504" spans="1:55" s="78" customFormat="1" ht="15" customHeight="1" x14ac:dyDescent="0.25">
      <c r="A504" s="52" t="s">
        <v>4513</v>
      </c>
      <c r="B504" s="34" t="s">
        <v>59</v>
      </c>
      <c r="C504" s="53">
        <v>2026</v>
      </c>
      <c r="D504" s="53">
        <v>2026</v>
      </c>
      <c r="E504" s="54" t="s">
        <v>3254</v>
      </c>
      <c r="F504" s="55" t="s">
        <v>50</v>
      </c>
      <c r="G504" s="55" t="s">
        <v>50</v>
      </c>
      <c r="H504" s="45" t="s">
        <v>1318</v>
      </c>
      <c r="I504" s="56" t="s">
        <v>78</v>
      </c>
      <c r="J504" s="56"/>
      <c r="K504" s="56" t="s">
        <v>285</v>
      </c>
      <c r="L504" s="55" t="s">
        <v>88</v>
      </c>
      <c r="M504" s="55"/>
      <c r="N504" s="56" t="s">
        <v>181</v>
      </c>
      <c r="O504" s="56"/>
      <c r="P504" s="56" t="s">
        <v>89</v>
      </c>
      <c r="Q504" s="56" t="s">
        <v>89</v>
      </c>
      <c r="R504" s="55"/>
      <c r="S504" s="56" t="s">
        <v>81</v>
      </c>
      <c r="T504" s="55" t="str">
        <f>IF(ISNUMBER(SEARCH(",",N504)),"Y","N")</f>
        <v>N</v>
      </c>
      <c r="U504" s="57">
        <v>-999</v>
      </c>
      <c r="V504" s="57" t="s">
        <v>59</v>
      </c>
      <c r="W504" s="55" t="s">
        <v>2319</v>
      </c>
      <c r="X504" s="54" t="s">
        <v>4513</v>
      </c>
      <c r="Y504" s="52"/>
      <c r="Z504" s="1" t="s">
        <v>61</v>
      </c>
      <c r="AA504" s="1" t="s">
        <v>1319</v>
      </c>
      <c r="AB504" s="1"/>
      <c r="AC504" s="1"/>
      <c r="AD504" s="3" t="s">
        <v>62</v>
      </c>
      <c r="AE504" s="1" t="s">
        <v>780</v>
      </c>
      <c r="AF504" s="1"/>
      <c r="AG504" s="1" t="s">
        <v>1320</v>
      </c>
      <c r="AH504" s="2">
        <v>100</v>
      </c>
      <c r="AI504" s="1"/>
      <c r="AJ504" s="1"/>
      <c r="AK504" s="1"/>
      <c r="AL504" s="1"/>
      <c r="AM504" s="1"/>
      <c r="AN504" s="1"/>
      <c r="AO504" s="1"/>
      <c r="AP504" s="1"/>
      <c r="AQ504" s="1"/>
      <c r="AR504" s="1"/>
      <c r="AS504" s="1"/>
      <c r="AT504" s="1"/>
      <c r="AU504" s="1"/>
      <c r="AV504" s="1"/>
      <c r="AW504" s="1"/>
      <c r="AX504" s="1"/>
      <c r="AY504" s="1"/>
      <c r="AZ504" s="4" t="s">
        <v>907</v>
      </c>
      <c r="BA504" s="1"/>
      <c r="BB504" s="1"/>
      <c r="BC504" s="1"/>
    </row>
    <row r="505" spans="1:55" s="78" customFormat="1" ht="15" customHeight="1" x14ac:dyDescent="0.25">
      <c r="A505" s="52" t="s">
        <v>4514</v>
      </c>
      <c r="B505" s="34" t="s">
        <v>59</v>
      </c>
      <c r="C505" s="53">
        <v>2026</v>
      </c>
      <c r="D505" s="53">
        <v>2026</v>
      </c>
      <c r="E505" s="54" t="s">
        <v>3255</v>
      </c>
      <c r="F505" s="55" t="s">
        <v>50</v>
      </c>
      <c r="G505" s="55" t="s">
        <v>50</v>
      </c>
      <c r="H505" s="45" t="s">
        <v>1321</v>
      </c>
      <c r="I505" s="56" t="s">
        <v>52</v>
      </c>
      <c r="J505" s="56"/>
      <c r="K505" s="55" t="s">
        <v>633</v>
      </c>
      <c r="L505" s="55"/>
      <c r="M505" s="55"/>
      <c r="N505" s="56" t="s">
        <v>418</v>
      </c>
      <c r="O505" s="56"/>
      <c r="P505" s="56" t="s">
        <v>89</v>
      </c>
      <c r="Q505" s="61" t="s">
        <v>89</v>
      </c>
      <c r="R505" s="55"/>
      <c r="S505" s="56" t="s">
        <v>81</v>
      </c>
      <c r="T505" s="55" t="s">
        <v>81</v>
      </c>
      <c r="U505" s="57">
        <v>1200000</v>
      </c>
      <c r="V505" s="57" t="s">
        <v>101</v>
      </c>
      <c r="W505" s="55" t="s">
        <v>2319</v>
      </c>
      <c r="X505" s="54" t="s">
        <v>4514</v>
      </c>
      <c r="Y505" s="52"/>
      <c r="Z505" s="2" t="s">
        <v>61</v>
      </c>
      <c r="AA505" s="1" t="s">
        <v>1322</v>
      </c>
      <c r="AB505" s="1"/>
      <c r="AC505" s="1"/>
      <c r="AD505" s="3" t="s">
        <v>62</v>
      </c>
      <c r="AE505" s="2" t="s">
        <v>115</v>
      </c>
      <c r="AF505" s="2"/>
      <c r="AG505" s="1" t="s">
        <v>1276</v>
      </c>
      <c r="AH505" s="2">
        <v>100</v>
      </c>
      <c r="AI505" s="1"/>
      <c r="AJ505" s="1"/>
      <c r="AK505" s="1"/>
      <c r="AL505" s="1"/>
      <c r="AM505" s="1"/>
      <c r="AN505" s="1"/>
      <c r="AO505" s="1"/>
      <c r="AP505" s="1"/>
      <c r="AQ505" s="1"/>
      <c r="AR505" s="1"/>
      <c r="AS505" s="1"/>
      <c r="AT505" s="1"/>
      <c r="AU505" s="1"/>
      <c r="AV505" s="1"/>
      <c r="AW505" s="1"/>
      <c r="AX505" s="1"/>
      <c r="AY505" s="1"/>
      <c r="AZ505" s="4" t="s">
        <v>1273</v>
      </c>
      <c r="BA505" s="1"/>
      <c r="BB505" s="1"/>
      <c r="BC505" s="1"/>
    </row>
    <row r="506" spans="1:55" s="78" customFormat="1" ht="15" customHeight="1" x14ac:dyDescent="0.25">
      <c r="A506" s="52" t="s">
        <v>4515</v>
      </c>
      <c r="B506" s="34" t="s">
        <v>59</v>
      </c>
      <c r="C506" s="53">
        <v>2026</v>
      </c>
      <c r="D506" s="53">
        <v>2026</v>
      </c>
      <c r="E506" s="54" t="s">
        <v>3256</v>
      </c>
      <c r="F506" s="55" t="s">
        <v>50</v>
      </c>
      <c r="G506" s="55" t="s">
        <v>50</v>
      </c>
      <c r="H506" s="45" t="s">
        <v>1323</v>
      </c>
      <c r="I506" s="45" t="s">
        <v>52</v>
      </c>
      <c r="J506" s="56"/>
      <c r="K506" s="55" t="s">
        <v>210</v>
      </c>
      <c r="L506" s="55" t="s">
        <v>54</v>
      </c>
      <c r="M506" s="55" t="s">
        <v>211</v>
      </c>
      <c r="N506" s="55" t="s">
        <v>212</v>
      </c>
      <c r="O506" s="55"/>
      <c r="P506" s="55" t="s">
        <v>89</v>
      </c>
      <c r="Q506" s="55" t="s">
        <v>89</v>
      </c>
      <c r="R506" s="55"/>
      <c r="S506" s="56" t="s">
        <v>81</v>
      </c>
      <c r="T506" s="55" t="s">
        <v>81</v>
      </c>
      <c r="U506" s="57">
        <v>32850</v>
      </c>
      <c r="V506" s="57" t="s">
        <v>101</v>
      </c>
      <c r="W506" s="55" t="s">
        <v>2319</v>
      </c>
      <c r="X506" s="54" t="s">
        <v>4515</v>
      </c>
      <c r="Y506" s="52"/>
      <c r="Z506" s="3" t="s">
        <v>61</v>
      </c>
      <c r="AA506" s="1" t="s">
        <v>1324</v>
      </c>
      <c r="AB506" s="1"/>
      <c r="AC506" s="1"/>
      <c r="AD506" s="3" t="s">
        <v>62</v>
      </c>
      <c r="AE506" s="3" t="s">
        <v>1325</v>
      </c>
      <c r="AF506" s="3"/>
      <c r="AG506" s="1" t="s">
        <v>1326</v>
      </c>
      <c r="AH506" s="2">
        <v>100</v>
      </c>
      <c r="AI506" s="1"/>
      <c r="AJ506" s="2"/>
      <c r="AK506" s="3"/>
      <c r="AL506" s="3"/>
      <c r="AM506" s="3"/>
      <c r="AN506" s="3"/>
      <c r="AO506" s="3"/>
      <c r="AP506" s="3"/>
      <c r="AQ506" s="3"/>
      <c r="AR506" s="3"/>
      <c r="AS506" s="3"/>
      <c r="AT506" s="3"/>
      <c r="AU506" s="3"/>
      <c r="AV506" s="3"/>
      <c r="AW506" s="3"/>
      <c r="AX506" s="3"/>
      <c r="AY506" s="3"/>
      <c r="AZ506" s="4" t="s">
        <v>675</v>
      </c>
      <c r="BA506" s="3"/>
      <c r="BB506" s="1"/>
      <c r="BC506" s="1"/>
    </row>
    <row r="507" spans="1:55" s="78" customFormat="1" ht="15" customHeight="1" x14ac:dyDescent="0.25">
      <c r="A507" s="52" t="s">
        <v>4516</v>
      </c>
      <c r="B507" s="34" t="s">
        <v>59</v>
      </c>
      <c r="C507" s="53">
        <v>2026</v>
      </c>
      <c r="D507" s="53">
        <v>2026</v>
      </c>
      <c r="E507" s="54" t="s">
        <v>3257</v>
      </c>
      <c r="F507" s="55" t="s">
        <v>50</v>
      </c>
      <c r="G507" s="55" t="s">
        <v>50</v>
      </c>
      <c r="H507" s="45" t="s">
        <v>1329</v>
      </c>
      <c r="I507" s="45" t="s">
        <v>52</v>
      </c>
      <c r="J507" s="56"/>
      <c r="K507" s="45" t="s">
        <v>53</v>
      </c>
      <c r="L507" s="55" t="s">
        <v>317</v>
      </c>
      <c r="M507" s="55"/>
      <c r="N507" s="55" t="s">
        <v>5350</v>
      </c>
      <c r="O507" s="55"/>
      <c r="P507" s="55" t="s">
        <v>56</v>
      </c>
      <c r="Q507" s="55" t="s">
        <v>57</v>
      </c>
      <c r="R507" s="55"/>
      <c r="S507" s="56" t="s">
        <v>81</v>
      </c>
      <c r="T507" s="55" t="str">
        <f>IF(ISNUMBER(SEARCH(",",N507)),"Y","N")</f>
        <v>Y</v>
      </c>
      <c r="U507" s="57">
        <v>182000</v>
      </c>
      <c r="V507" s="57" t="s">
        <v>101</v>
      </c>
      <c r="W507" s="55"/>
      <c r="X507" s="62" t="s">
        <v>4516</v>
      </c>
      <c r="Y507" s="53"/>
      <c r="Z507" s="56" t="s">
        <v>2005</v>
      </c>
      <c r="AA507" s="3" t="s">
        <v>1330</v>
      </c>
      <c r="AB507" s="3"/>
      <c r="AC507" s="3"/>
      <c r="AD507" s="3" t="s">
        <v>62</v>
      </c>
      <c r="AE507" s="45" t="s">
        <v>108</v>
      </c>
      <c r="AF507" s="45"/>
      <c r="AG507" s="1" t="s">
        <v>197</v>
      </c>
      <c r="AH507" s="64">
        <v>100</v>
      </c>
      <c r="AI507" s="3"/>
      <c r="AJ507" s="3"/>
      <c r="AK507" s="3"/>
      <c r="AL507" s="3"/>
      <c r="AM507" s="3"/>
      <c r="AN507" s="3"/>
      <c r="AO507" s="3"/>
      <c r="AP507" s="3"/>
      <c r="AQ507" s="3"/>
      <c r="AR507" s="3"/>
      <c r="AS507" s="3"/>
      <c r="AT507" s="3"/>
      <c r="AU507" s="3"/>
      <c r="AV507" s="3"/>
      <c r="AW507" s="3"/>
      <c r="AX507" s="3"/>
      <c r="AY507" s="3"/>
      <c r="AZ507" s="2" t="s">
        <v>3868</v>
      </c>
      <c r="BA507" s="3" t="s">
        <v>3869</v>
      </c>
      <c r="BB507" s="4" t="s">
        <v>5324</v>
      </c>
      <c r="BC507" s="1"/>
    </row>
    <row r="508" spans="1:55" s="78" customFormat="1" ht="15" customHeight="1" x14ac:dyDescent="0.25">
      <c r="A508" s="52" t="s">
        <v>4517</v>
      </c>
      <c r="B508" s="34" t="s">
        <v>59</v>
      </c>
      <c r="C508" s="53">
        <v>2026</v>
      </c>
      <c r="D508" s="53">
        <v>2026</v>
      </c>
      <c r="E508" s="54" t="s">
        <v>3257</v>
      </c>
      <c r="F508" s="55" t="s">
        <v>50</v>
      </c>
      <c r="G508" s="55" t="s">
        <v>50</v>
      </c>
      <c r="H508" s="45" t="s">
        <v>1329</v>
      </c>
      <c r="I508" s="45" t="s">
        <v>52</v>
      </c>
      <c r="J508" s="56"/>
      <c r="K508" s="55" t="s">
        <v>210</v>
      </c>
      <c r="L508" s="55" t="s">
        <v>317</v>
      </c>
      <c r="M508" s="55"/>
      <c r="N508" s="55" t="s">
        <v>212</v>
      </c>
      <c r="O508" s="55"/>
      <c r="P508" s="55" t="s">
        <v>89</v>
      </c>
      <c r="Q508" s="55" t="s">
        <v>89</v>
      </c>
      <c r="R508" s="55"/>
      <c r="S508" s="56" t="s">
        <v>58</v>
      </c>
      <c r="T508" s="55" t="s">
        <v>81</v>
      </c>
      <c r="U508" s="57">
        <v>500000</v>
      </c>
      <c r="V508" s="57" t="s">
        <v>101</v>
      </c>
      <c r="W508" s="55"/>
      <c r="X508" s="62" t="s">
        <v>4517</v>
      </c>
      <c r="Y508" s="53"/>
      <c r="Z508" s="3" t="s">
        <v>2005</v>
      </c>
      <c r="AA508" s="1" t="s">
        <v>1330</v>
      </c>
      <c r="AB508" s="1"/>
      <c r="AC508" s="1"/>
      <c r="AD508" s="3" t="s">
        <v>62</v>
      </c>
      <c r="AE508" s="3" t="s">
        <v>108</v>
      </c>
      <c r="AF508" s="3"/>
      <c r="AG508" s="1" t="s">
        <v>197</v>
      </c>
      <c r="AH508" s="2">
        <v>100</v>
      </c>
      <c r="AI508" s="1"/>
      <c r="AJ508" s="2"/>
      <c r="AK508" s="3"/>
      <c r="AL508" s="3"/>
      <c r="AM508" s="3"/>
      <c r="AN508" s="3"/>
      <c r="AO508" s="3"/>
      <c r="AP508" s="3"/>
      <c r="AQ508" s="3"/>
      <c r="AR508" s="3"/>
      <c r="AS508" s="3"/>
      <c r="AT508" s="3"/>
      <c r="AU508" s="3"/>
      <c r="AV508" s="3"/>
      <c r="AW508" s="3"/>
      <c r="AX508" s="3"/>
      <c r="AY508" s="3"/>
      <c r="AZ508" s="4" t="s">
        <v>1331</v>
      </c>
      <c r="BA508" s="3"/>
      <c r="BB508" s="1"/>
      <c r="BC508" s="1"/>
    </row>
    <row r="509" spans="1:55" s="78" customFormat="1" ht="15" customHeight="1" x14ac:dyDescent="0.25">
      <c r="A509" s="52" t="s">
        <v>4518</v>
      </c>
      <c r="B509" s="34" t="s">
        <v>59</v>
      </c>
      <c r="C509" s="53">
        <v>2026</v>
      </c>
      <c r="D509" s="53">
        <v>2026</v>
      </c>
      <c r="E509" s="54" t="s">
        <v>3258</v>
      </c>
      <c r="F509" s="55" t="s">
        <v>50</v>
      </c>
      <c r="G509" s="55" t="s">
        <v>50</v>
      </c>
      <c r="H509" s="45" t="s">
        <v>1333</v>
      </c>
      <c r="I509" s="56" t="s">
        <v>78</v>
      </c>
      <c r="J509" s="56"/>
      <c r="K509" s="55" t="s">
        <v>715</v>
      </c>
      <c r="L509" s="55" t="str">
        <f>IF(K509="Mine or Quarry","Mine","")</f>
        <v/>
      </c>
      <c r="M509" s="55"/>
      <c r="N509" s="55" t="s">
        <v>181</v>
      </c>
      <c r="O509" s="55"/>
      <c r="P509" s="55" t="s">
        <v>716</v>
      </c>
      <c r="Q509" s="55" t="s">
        <v>5353</v>
      </c>
      <c r="R509" s="55"/>
      <c r="S509" s="56" t="s">
        <v>81</v>
      </c>
      <c r="T509" s="55" t="str">
        <f>IF(ISNUMBER(SEARCH(",",N509)),"Y","N")</f>
        <v>N</v>
      </c>
      <c r="U509" s="57">
        <v>11560</v>
      </c>
      <c r="V509" s="57" t="s">
        <v>101</v>
      </c>
      <c r="W509" s="55"/>
      <c r="X509" s="54" t="s">
        <v>4518</v>
      </c>
      <c r="Y509" s="52"/>
      <c r="Z509" s="3" t="s">
        <v>61</v>
      </c>
      <c r="AA509" s="3" t="s">
        <v>717</v>
      </c>
      <c r="AB509" s="3"/>
      <c r="AC509" s="3"/>
      <c r="AD509" s="3" t="s">
        <v>62</v>
      </c>
      <c r="AE509" s="3" t="s">
        <v>718</v>
      </c>
      <c r="AF509" s="3"/>
      <c r="AG509" s="3" t="s">
        <v>719</v>
      </c>
      <c r="AH509" s="58">
        <v>100</v>
      </c>
      <c r="AI509" s="3"/>
      <c r="AJ509" s="3"/>
      <c r="AK509" s="3"/>
      <c r="AL509" s="3"/>
      <c r="AM509" s="3"/>
      <c r="AN509" s="3"/>
      <c r="AO509" s="3"/>
      <c r="AP509" s="3"/>
      <c r="AQ509" s="3"/>
      <c r="AR509" s="3"/>
      <c r="AS509" s="3"/>
      <c r="AT509" s="3"/>
      <c r="AU509" s="3"/>
      <c r="AV509" s="3"/>
      <c r="AW509" s="3"/>
      <c r="AX509" s="3"/>
      <c r="AY509" s="3"/>
      <c r="AZ509" s="4" t="s">
        <v>1332</v>
      </c>
      <c r="BA509" s="3"/>
      <c r="BB509" s="1"/>
      <c r="BC509" s="1"/>
    </row>
    <row r="510" spans="1:55" s="78" customFormat="1" ht="15" customHeight="1" x14ac:dyDescent="0.25">
      <c r="A510" s="52" t="s">
        <v>4519</v>
      </c>
      <c r="B510" s="34" t="s">
        <v>59</v>
      </c>
      <c r="C510" s="53">
        <v>2026</v>
      </c>
      <c r="D510" s="53">
        <v>2026</v>
      </c>
      <c r="E510" s="54" t="s">
        <v>3259</v>
      </c>
      <c r="F510" s="55" t="s">
        <v>50</v>
      </c>
      <c r="G510" s="55" t="s">
        <v>50</v>
      </c>
      <c r="H510" s="45" t="s">
        <v>1334</v>
      </c>
      <c r="I510" s="56" t="s">
        <v>52</v>
      </c>
      <c r="J510" s="56" t="s">
        <v>165</v>
      </c>
      <c r="K510" s="55" t="s">
        <v>652</v>
      </c>
      <c r="L510" s="55" t="str">
        <f>IF(K510="Mine or Quarry","Mine","")</f>
        <v/>
      </c>
      <c r="M510" s="55"/>
      <c r="N510" s="55" t="s">
        <v>653</v>
      </c>
      <c r="O510" s="55"/>
      <c r="P510" s="56" t="s">
        <v>598</v>
      </c>
      <c r="Q510" s="55" t="s">
        <v>57</v>
      </c>
      <c r="R510" s="55"/>
      <c r="S510" s="56" t="s">
        <v>81</v>
      </c>
      <c r="T510" s="55" t="s">
        <v>81</v>
      </c>
      <c r="U510" s="57">
        <v>1900000</v>
      </c>
      <c r="V510" s="57" t="s">
        <v>101</v>
      </c>
      <c r="W510" s="55" t="s">
        <v>2319</v>
      </c>
      <c r="X510" s="54" t="s">
        <v>4519</v>
      </c>
      <c r="Y510" s="52"/>
      <c r="Z510" s="3" t="s">
        <v>61</v>
      </c>
      <c r="AA510" s="3" t="s">
        <v>1335</v>
      </c>
      <c r="AB510" s="3"/>
      <c r="AC510" s="3"/>
      <c r="AD510" s="3" t="s">
        <v>62</v>
      </c>
      <c r="AE510" s="3" t="s">
        <v>115</v>
      </c>
      <c r="AF510" s="3"/>
      <c r="AG510" s="1" t="s">
        <v>635</v>
      </c>
      <c r="AH510" s="2">
        <v>100</v>
      </c>
      <c r="AI510" s="3"/>
      <c r="AJ510" s="3"/>
      <c r="AK510" s="3"/>
      <c r="AL510" s="3"/>
      <c r="AM510" s="3"/>
      <c r="AN510" s="3"/>
      <c r="AO510" s="3"/>
      <c r="AP510" s="3"/>
      <c r="AQ510" s="3"/>
      <c r="AR510" s="3"/>
      <c r="AS510" s="3"/>
      <c r="AT510" s="3"/>
      <c r="AU510" s="3"/>
      <c r="AV510" s="3"/>
      <c r="AW510" s="3"/>
      <c r="AX510" s="3"/>
      <c r="AY510" s="3"/>
      <c r="AZ510" s="4" t="s">
        <v>2597</v>
      </c>
      <c r="BA510" s="3" t="s">
        <v>3870</v>
      </c>
      <c r="BB510" s="1" t="s">
        <v>3871</v>
      </c>
      <c r="BC510" s="1"/>
    </row>
    <row r="511" spans="1:55" s="78" customFormat="1" ht="15" customHeight="1" x14ac:dyDescent="0.25">
      <c r="A511" s="52" t="s">
        <v>4520</v>
      </c>
      <c r="B511" s="34" t="s">
        <v>59</v>
      </c>
      <c r="C511" s="53">
        <v>2026</v>
      </c>
      <c r="D511" s="53">
        <v>2026</v>
      </c>
      <c r="E511" s="54" t="s">
        <v>3260</v>
      </c>
      <c r="F511" s="55" t="s">
        <v>50</v>
      </c>
      <c r="G511" s="55" t="s">
        <v>50</v>
      </c>
      <c r="H511" s="45" t="s">
        <v>1337</v>
      </c>
      <c r="I511" s="61" t="s">
        <v>78</v>
      </c>
      <c r="J511" s="56"/>
      <c r="K511" s="55" t="s">
        <v>133</v>
      </c>
      <c r="L511" s="55" t="s">
        <v>54</v>
      </c>
      <c r="M511" s="55"/>
      <c r="N511" s="55" t="s">
        <v>423</v>
      </c>
      <c r="O511" s="55"/>
      <c r="P511" s="55" t="s">
        <v>134</v>
      </c>
      <c r="Q511" s="55" t="s">
        <v>57</v>
      </c>
      <c r="R511" s="55"/>
      <c r="S511" s="56" t="s">
        <v>81</v>
      </c>
      <c r="T511" s="55" t="s">
        <v>81</v>
      </c>
      <c r="U511" s="57">
        <v>4125</v>
      </c>
      <c r="V511" s="57" t="s">
        <v>101</v>
      </c>
      <c r="W511" s="55" t="s">
        <v>2319</v>
      </c>
      <c r="X511" s="54" t="s">
        <v>4520</v>
      </c>
      <c r="Y511" s="52"/>
      <c r="Z511" s="3" t="s">
        <v>154</v>
      </c>
      <c r="AA511" s="3" t="s">
        <v>679</v>
      </c>
      <c r="AB511" s="3"/>
      <c r="AC511" s="3"/>
      <c r="AD511" s="3" t="s">
        <v>62</v>
      </c>
      <c r="AE511" s="3" t="s">
        <v>464</v>
      </c>
      <c r="AF511" s="3" t="s">
        <v>1338</v>
      </c>
      <c r="AG511" s="3" t="s">
        <v>1339</v>
      </c>
      <c r="AH511" s="58">
        <v>100</v>
      </c>
      <c r="AI511" s="3"/>
      <c r="AJ511" s="3"/>
      <c r="AK511" s="3"/>
      <c r="AL511" s="3"/>
      <c r="AM511" s="3"/>
      <c r="AN511" s="3"/>
      <c r="AO511" s="3"/>
      <c r="AP511" s="3"/>
      <c r="AQ511" s="3"/>
      <c r="AR511" s="3"/>
      <c r="AS511" s="3"/>
      <c r="AT511" s="3"/>
      <c r="AU511" s="3"/>
      <c r="AV511" s="3"/>
      <c r="AW511" s="3"/>
      <c r="AX511" s="3"/>
      <c r="AY511" s="3"/>
      <c r="AZ511" s="4" t="s">
        <v>1336</v>
      </c>
      <c r="BA511" s="3"/>
      <c r="BB511" s="1"/>
      <c r="BC511" s="1"/>
    </row>
    <row r="512" spans="1:55" s="78" customFormat="1" ht="15" customHeight="1" x14ac:dyDescent="0.25">
      <c r="A512" s="52" t="s">
        <v>4521</v>
      </c>
      <c r="B512" s="34" t="s">
        <v>59</v>
      </c>
      <c r="C512" s="53">
        <v>2026</v>
      </c>
      <c r="D512" s="53">
        <v>2026</v>
      </c>
      <c r="E512" s="54" t="s">
        <v>3261</v>
      </c>
      <c r="F512" s="55" t="s">
        <v>50</v>
      </c>
      <c r="G512" s="55" t="s">
        <v>50</v>
      </c>
      <c r="H512" s="45" t="s">
        <v>1340</v>
      </c>
      <c r="I512" s="56" t="s">
        <v>52</v>
      </c>
      <c r="J512" s="56"/>
      <c r="K512" s="55" t="s">
        <v>173</v>
      </c>
      <c r="L512" s="55"/>
      <c r="M512" s="55"/>
      <c r="N512" s="56" t="s">
        <v>55</v>
      </c>
      <c r="O512" s="56" t="s">
        <v>760</v>
      </c>
      <c r="P512" s="55" t="s">
        <v>444</v>
      </c>
      <c r="Q512" s="55" t="s">
        <v>57</v>
      </c>
      <c r="R512" s="55"/>
      <c r="S512" s="56" t="s">
        <v>81</v>
      </c>
      <c r="T512" s="55" t="s">
        <v>81</v>
      </c>
      <c r="U512" s="57">
        <v>30000</v>
      </c>
      <c r="V512" s="57" t="s">
        <v>101</v>
      </c>
      <c r="W512" s="55" t="s">
        <v>2319</v>
      </c>
      <c r="X512" s="54" t="s">
        <v>4521</v>
      </c>
      <c r="Y512" s="52"/>
      <c r="Z512" s="2" t="s">
        <v>61</v>
      </c>
      <c r="AA512" s="1" t="s">
        <v>1341</v>
      </c>
      <c r="AB512" s="1"/>
      <c r="AC512" s="1"/>
      <c r="AD512" s="3" t="s">
        <v>62</v>
      </c>
      <c r="AE512" s="2" t="s">
        <v>306</v>
      </c>
      <c r="AF512" s="1" t="s">
        <v>1342</v>
      </c>
      <c r="AG512" s="1" t="s">
        <v>1343</v>
      </c>
      <c r="AH512" s="2">
        <v>80.5</v>
      </c>
      <c r="AI512" s="1" t="s">
        <v>1344</v>
      </c>
      <c r="AJ512" s="2">
        <v>19.5</v>
      </c>
      <c r="AK512" s="1"/>
      <c r="AL512" s="1"/>
      <c r="AM512" s="1"/>
      <c r="AN512" s="1"/>
      <c r="AO512" s="1"/>
      <c r="AP512" s="1"/>
      <c r="AQ512" s="1"/>
      <c r="AR512" s="1"/>
      <c r="AS512" s="1"/>
      <c r="AT512" s="1"/>
      <c r="AU512" s="1"/>
      <c r="AV512" s="1"/>
      <c r="AW512" s="1"/>
      <c r="AX512" s="1"/>
      <c r="AY512" s="1"/>
      <c r="AZ512" s="4" t="s">
        <v>3959</v>
      </c>
      <c r="BA512" s="1" t="s">
        <v>3872</v>
      </c>
      <c r="BB512" s="1"/>
      <c r="BC512" s="1"/>
    </row>
    <row r="513" spans="1:55" s="78" customFormat="1" ht="15" customHeight="1" x14ac:dyDescent="0.25">
      <c r="A513" s="52" t="s">
        <v>4522</v>
      </c>
      <c r="B513" s="34" t="s">
        <v>59</v>
      </c>
      <c r="C513" s="53">
        <v>2026</v>
      </c>
      <c r="D513" s="53">
        <v>2026</v>
      </c>
      <c r="E513" s="54" t="s">
        <v>3262</v>
      </c>
      <c r="F513" s="55" t="s">
        <v>50</v>
      </c>
      <c r="G513" s="55" t="s">
        <v>50</v>
      </c>
      <c r="H513" s="45" t="s">
        <v>1349</v>
      </c>
      <c r="I513" s="56" t="s">
        <v>78</v>
      </c>
      <c r="J513" s="56"/>
      <c r="K513" s="55" t="s">
        <v>120</v>
      </c>
      <c r="L513" s="55" t="s">
        <v>88</v>
      </c>
      <c r="M513" s="55"/>
      <c r="N513" s="55" t="s">
        <v>110</v>
      </c>
      <c r="O513" s="55"/>
      <c r="P513" s="55" t="s">
        <v>121</v>
      </c>
      <c r="Q513" s="55" t="s">
        <v>57</v>
      </c>
      <c r="R513" s="55"/>
      <c r="S513" s="56" t="s">
        <v>58</v>
      </c>
      <c r="T513" s="55" t="s">
        <v>81</v>
      </c>
      <c r="U513" s="57">
        <v>-999</v>
      </c>
      <c r="V513" s="57" t="s">
        <v>59</v>
      </c>
      <c r="W513" s="55"/>
      <c r="X513" s="62" t="s">
        <v>4522</v>
      </c>
      <c r="Y513" s="62"/>
      <c r="Z513" s="55" t="s">
        <v>61</v>
      </c>
      <c r="AA513" s="55" t="s">
        <v>1350</v>
      </c>
      <c r="AB513" s="55"/>
      <c r="AC513" s="55"/>
      <c r="AD513" s="3" t="s">
        <v>62</v>
      </c>
      <c r="AE513" s="55" t="s">
        <v>574</v>
      </c>
      <c r="AF513" s="55"/>
      <c r="AG513" s="56" t="s">
        <v>109</v>
      </c>
      <c r="AH513" s="64">
        <v>100</v>
      </c>
      <c r="AI513" s="55"/>
      <c r="AJ513" s="55"/>
      <c r="AK513" s="55"/>
      <c r="AL513" s="55"/>
      <c r="AM513" s="55"/>
      <c r="AN513" s="55"/>
      <c r="AO513" s="55"/>
      <c r="AP513" s="55"/>
      <c r="AQ513" s="55"/>
      <c r="AR513" s="55"/>
      <c r="AS513" s="55"/>
      <c r="AT513" s="55"/>
      <c r="AU513" s="55"/>
      <c r="AV513" s="55"/>
      <c r="AW513" s="55"/>
      <c r="AX513" s="55"/>
      <c r="AY513" s="55"/>
      <c r="AZ513" s="33" t="s">
        <v>3841</v>
      </c>
      <c r="BA513" s="55" t="s">
        <v>3842</v>
      </c>
      <c r="BB513" s="1"/>
      <c r="BC513" s="1"/>
    </row>
    <row r="514" spans="1:55" s="78" customFormat="1" ht="15" customHeight="1" x14ac:dyDescent="0.25">
      <c r="A514" s="52" t="s">
        <v>4523</v>
      </c>
      <c r="B514" s="34" t="s">
        <v>59</v>
      </c>
      <c r="C514" s="53">
        <v>2026</v>
      </c>
      <c r="D514" s="53">
        <v>2026</v>
      </c>
      <c r="E514" s="54" t="s">
        <v>3262</v>
      </c>
      <c r="F514" s="55" t="s">
        <v>50</v>
      </c>
      <c r="G514" s="55" t="s">
        <v>50</v>
      </c>
      <c r="H514" s="45" t="s">
        <v>1349</v>
      </c>
      <c r="I514" s="56" t="s">
        <v>78</v>
      </c>
      <c r="J514" s="56"/>
      <c r="K514" s="55" t="s">
        <v>264</v>
      </c>
      <c r="L514" s="55" t="s">
        <v>88</v>
      </c>
      <c r="M514" s="55"/>
      <c r="N514" s="55" t="s">
        <v>110</v>
      </c>
      <c r="O514" s="55"/>
      <c r="P514" s="55" t="s">
        <v>265</v>
      </c>
      <c r="Q514" s="55" t="s">
        <v>57</v>
      </c>
      <c r="R514" s="55"/>
      <c r="S514" s="56" t="s">
        <v>81</v>
      </c>
      <c r="T514" s="55" t="str">
        <f>IF(ISNUMBER(SEARCH(",",N514)),"Y","N")</f>
        <v>N</v>
      </c>
      <c r="U514" s="57">
        <v>6800</v>
      </c>
      <c r="V514" s="57" t="s">
        <v>101</v>
      </c>
      <c r="W514" s="55"/>
      <c r="X514" s="62" t="s">
        <v>4523</v>
      </c>
      <c r="Y514" s="62"/>
      <c r="Z514" s="3" t="s">
        <v>61</v>
      </c>
      <c r="AA514" s="55" t="s">
        <v>1350</v>
      </c>
      <c r="AB514" s="55"/>
      <c r="AC514" s="55"/>
      <c r="AD514" s="3" t="s">
        <v>62</v>
      </c>
      <c r="AE514" s="3" t="s">
        <v>574</v>
      </c>
      <c r="AF514" s="1" t="s">
        <v>109</v>
      </c>
      <c r="AG514" s="1" t="s">
        <v>109</v>
      </c>
      <c r="AH514" s="59">
        <v>100</v>
      </c>
      <c r="AI514" s="1"/>
      <c r="AJ514" s="59"/>
      <c r="AK514" s="1"/>
      <c r="AL514" s="59"/>
      <c r="AM514" s="3"/>
      <c r="AN514" s="53"/>
      <c r="AO514" s="3"/>
      <c r="AP514" s="53"/>
      <c r="AQ514" s="3"/>
      <c r="AR514" s="53"/>
      <c r="AS514" s="3"/>
      <c r="AT514" s="53"/>
      <c r="AU514" s="3"/>
      <c r="AV514" s="53"/>
      <c r="AW514" s="3"/>
      <c r="AX514" s="53"/>
      <c r="AY514" s="3"/>
      <c r="AZ514" s="4" t="s">
        <v>1351</v>
      </c>
      <c r="BA514" s="32" t="s">
        <v>3874</v>
      </c>
      <c r="BB514" s="1"/>
      <c r="BC514" s="1"/>
    </row>
    <row r="515" spans="1:55" s="78" customFormat="1" ht="15" customHeight="1" x14ac:dyDescent="0.25">
      <c r="A515" s="52" t="s">
        <v>4524</v>
      </c>
      <c r="B515" s="34" t="s">
        <v>59</v>
      </c>
      <c r="C515" s="53">
        <v>2026</v>
      </c>
      <c r="D515" s="53">
        <v>2026</v>
      </c>
      <c r="E515" s="54" t="s">
        <v>3263</v>
      </c>
      <c r="F515" s="55" t="s">
        <v>50</v>
      </c>
      <c r="G515" s="55" t="s">
        <v>50</v>
      </c>
      <c r="H515" s="45" t="s">
        <v>1353</v>
      </c>
      <c r="I515" s="56" t="s">
        <v>52</v>
      </c>
      <c r="J515" s="56"/>
      <c r="K515" s="55" t="s">
        <v>135</v>
      </c>
      <c r="L515" s="55" t="s">
        <v>54</v>
      </c>
      <c r="M515" s="55"/>
      <c r="N515" s="55" t="s">
        <v>1354</v>
      </c>
      <c r="O515" s="55"/>
      <c r="P515" s="55" t="s">
        <v>136</v>
      </c>
      <c r="Q515" s="55" t="s">
        <v>57</v>
      </c>
      <c r="R515" s="55"/>
      <c r="S515" s="56" t="s">
        <v>58</v>
      </c>
      <c r="T515" s="55" t="s">
        <v>58</v>
      </c>
      <c r="U515" s="57">
        <v>15750</v>
      </c>
      <c r="V515" s="57" t="s">
        <v>101</v>
      </c>
      <c r="W515" s="55" t="s">
        <v>2319</v>
      </c>
      <c r="X515" s="54" t="s">
        <v>4524</v>
      </c>
      <c r="Y515" s="52"/>
      <c r="Z515" s="3" t="s">
        <v>61</v>
      </c>
      <c r="AA515" s="3" t="s">
        <v>1345</v>
      </c>
      <c r="AB515" s="3"/>
      <c r="AC515" s="3"/>
      <c r="AD515" s="3" t="s">
        <v>62</v>
      </c>
      <c r="AE515" s="1" t="s">
        <v>83</v>
      </c>
      <c r="AF515" s="1" t="s">
        <v>1355</v>
      </c>
      <c r="AG515" s="1" t="s">
        <v>1356</v>
      </c>
      <c r="AH515" s="2">
        <v>100</v>
      </c>
      <c r="AI515" s="3"/>
      <c r="AJ515" s="3"/>
      <c r="AK515" s="3"/>
      <c r="AL515" s="3"/>
      <c r="AM515" s="3"/>
      <c r="AN515" s="3"/>
      <c r="AO515" s="3"/>
      <c r="AP515" s="3"/>
      <c r="AQ515" s="3"/>
      <c r="AR515" s="3"/>
      <c r="AS515" s="3"/>
      <c r="AT515" s="3"/>
      <c r="AU515" s="3"/>
      <c r="AV515" s="3"/>
      <c r="AW515" s="3"/>
      <c r="AX515" s="3"/>
      <c r="AY515" s="3"/>
      <c r="AZ515" s="4" t="s">
        <v>1352</v>
      </c>
      <c r="BA515" s="3"/>
      <c r="BB515" s="1"/>
      <c r="BC515" s="1"/>
    </row>
    <row r="516" spans="1:55" s="78" customFormat="1" ht="15" customHeight="1" x14ac:dyDescent="0.25">
      <c r="A516" s="52" t="s">
        <v>4525</v>
      </c>
      <c r="B516" s="34" t="s">
        <v>59</v>
      </c>
      <c r="C516" s="53">
        <v>2026</v>
      </c>
      <c r="D516" s="53">
        <v>2026</v>
      </c>
      <c r="E516" s="54" t="s">
        <v>3263</v>
      </c>
      <c r="F516" s="55" t="s">
        <v>50</v>
      </c>
      <c r="G516" s="55" t="s">
        <v>50</v>
      </c>
      <c r="H516" s="45" t="s">
        <v>1353</v>
      </c>
      <c r="I516" s="56" t="s">
        <v>52</v>
      </c>
      <c r="J516" s="56"/>
      <c r="K516" s="55" t="s">
        <v>540</v>
      </c>
      <c r="L516" s="55"/>
      <c r="M516" s="55"/>
      <c r="N516" s="55"/>
      <c r="O516" s="55" t="s">
        <v>1358</v>
      </c>
      <c r="P516" s="56" t="s">
        <v>543</v>
      </c>
      <c r="Q516" s="56" t="s">
        <v>57</v>
      </c>
      <c r="R516" s="55"/>
      <c r="S516" s="56" t="s">
        <v>58</v>
      </c>
      <c r="T516" s="55" t="s">
        <v>81</v>
      </c>
      <c r="U516" s="57">
        <v>-999</v>
      </c>
      <c r="V516" s="57" t="s">
        <v>59</v>
      </c>
      <c r="W516" s="55" t="s">
        <v>2319</v>
      </c>
      <c r="X516" s="54" t="s">
        <v>4525</v>
      </c>
      <c r="Y516" s="52"/>
      <c r="Z516" s="3" t="s">
        <v>61</v>
      </c>
      <c r="AA516" s="3" t="s">
        <v>1345</v>
      </c>
      <c r="AB516" s="3"/>
      <c r="AC516" s="3"/>
      <c r="AD516" s="3" t="s">
        <v>62</v>
      </c>
      <c r="AE516" s="1" t="s">
        <v>83</v>
      </c>
      <c r="AF516" s="1" t="s">
        <v>1355</v>
      </c>
      <c r="AG516" s="1" t="s">
        <v>1356</v>
      </c>
      <c r="AH516" s="2">
        <v>100</v>
      </c>
      <c r="AI516" s="3"/>
      <c r="AJ516" s="3"/>
      <c r="AK516" s="3"/>
      <c r="AL516" s="3"/>
      <c r="AM516" s="3"/>
      <c r="AN516" s="3"/>
      <c r="AO516" s="3"/>
      <c r="AP516" s="3"/>
      <c r="AQ516" s="3"/>
      <c r="AR516" s="3"/>
      <c r="AS516" s="3"/>
      <c r="AT516" s="3"/>
      <c r="AU516" s="3"/>
      <c r="AV516" s="3"/>
      <c r="AW516" s="3"/>
      <c r="AX516" s="3"/>
      <c r="AY516" s="3"/>
      <c r="AZ516" s="4" t="s">
        <v>1357</v>
      </c>
      <c r="BA516" s="3"/>
      <c r="BB516" s="1"/>
      <c r="BC516" s="1"/>
    </row>
    <row r="517" spans="1:55" s="78" customFormat="1" ht="15" customHeight="1" x14ac:dyDescent="0.25">
      <c r="A517" s="52" t="s">
        <v>4526</v>
      </c>
      <c r="B517" s="34" t="s">
        <v>59</v>
      </c>
      <c r="C517" s="53">
        <v>2026</v>
      </c>
      <c r="D517" s="53">
        <v>2026</v>
      </c>
      <c r="E517" s="54" t="s">
        <v>3264</v>
      </c>
      <c r="F517" s="55" t="s">
        <v>50</v>
      </c>
      <c r="G517" s="55" t="s">
        <v>50</v>
      </c>
      <c r="H517" s="45" t="s">
        <v>2993</v>
      </c>
      <c r="I517" s="56" t="s">
        <v>52</v>
      </c>
      <c r="J517" s="56"/>
      <c r="K517" s="56" t="s">
        <v>140</v>
      </c>
      <c r="L517" s="55" t="s">
        <v>54</v>
      </c>
      <c r="M517" s="55"/>
      <c r="N517" s="55" t="s">
        <v>141</v>
      </c>
      <c r="O517" s="55"/>
      <c r="P517" s="55" t="s">
        <v>142</v>
      </c>
      <c r="Q517" s="55" t="s">
        <v>57</v>
      </c>
      <c r="R517" s="55"/>
      <c r="S517" s="56" t="s">
        <v>81</v>
      </c>
      <c r="T517" s="55" t="s">
        <v>58</v>
      </c>
      <c r="U517" s="57">
        <v>12300</v>
      </c>
      <c r="V517" s="57" t="s">
        <v>101</v>
      </c>
      <c r="W517" s="55" t="s">
        <v>2319</v>
      </c>
      <c r="X517" s="54" t="s">
        <v>4526</v>
      </c>
      <c r="Y517" s="52"/>
      <c r="Z517" s="1" t="s">
        <v>2005</v>
      </c>
      <c r="AA517" s="3" t="s">
        <v>1345</v>
      </c>
      <c r="AB517" s="3"/>
      <c r="AC517" s="3"/>
      <c r="AD517" s="3" t="s">
        <v>62</v>
      </c>
      <c r="AE517" s="1" t="s">
        <v>83</v>
      </c>
      <c r="AF517" s="1" t="s">
        <v>1346</v>
      </c>
      <c r="AG517" s="1" t="s">
        <v>1347</v>
      </c>
      <c r="AH517" s="2">
        <v>100</v>
      </c>
      <c r="AI517" s="3"/>
      <c r="AJ517" s="3"/>
      <c r="AK517" s="3"/>
      <c r="AL517" s="3"/>
      <c r="AM517" s="3"/>
      <c r="AN517" s="3"/>
      <c r="AO517" s="3"/>
      <c r="AP517" s="3"/>
      <c r="AQ517" s="3"/>
      <c r="AR517" s="3"/>
      <c r="AS517" s="3"/>
      <c r="AT517" s="3"/>
      <c r="AU517" s="3"/>
      <c r="AV517" s="3"/>
      <c r="AW517" s="3"/>
      <c r="AX517" s="3"/>
      <c r="AY517" s="3"/>
      <c r="AZ517" s="4" t="s">
        <v>139</v>
      </c>
      <c r="BA517" s="3" t="s">
        <v>3873</v>
      </c>
      <c r="BB517" s="1"/>
      <c r="BC517" s="1"/>
    </row>
    <row r="518" spans="1:55" s="78" customFormat="1" ht="15" customHeight="1" x14ac:dyDescent="0.25">
      <c r="A518" s="52" t="s">
        <v>4527</v>
      </c>
      <c r="B518" s="34" t="s">
        <v>59</v>
      </c>
      <c r="C518" s="53">
        <v>2026</v>
      </c>
      <c r="D518" s="53">
        <v>2026</v>
      </c>
      <c r="E518" s="54" t="s">
        <v>3264</v>
      </c>
      <c r="F518" s="55" t="s">
        <v>50</v>
      </c>
      <c r="G518" s="55" t="s">
        <v>50</v>
      </c>
      <c r="H518" s="45" t="s">
        <v>2993</v>
      </c>
      <c r="I518" s="56" t="s">
        <v>52</v>
      </c>
      <c r="J518" s="56"/>
      <c r="K518" s="56" t="s">
        <v>140</v>
      </c>
      <c r="L518" s="55" t="s">
        <v>54</v>
      </c>
      <c r="M518" s="55"/>
      <c r="N518" s="56" t="s">
        <v>1348</v>
      </c>
      <c r="O518" s="55"/>
      <c r="P518" s="55" t="s">
        <v>142</v>
      </c>
      <c r="Q518" s="55" t="s">
        <v>57</v>
      </c>
      <c r="R518" s="55"/>
      <c r="S518" s="56" t="s">
        <v>81</v>
      </c>
      <c r="T518" s="55" t="s">
        <v>58</v>
      </c>
      <c r="U518" s="57">
        <v>12600</v>
      </c>
      <c r="V518" s="57" t="s">
        <v>101</v>
      </c>
      <c r="W518" s="55" t="s">
        <v>2319</v>
      </c>
      <c r="X518" s="54" t="s">
        <v>4527</v>
      </c>
      <c r="Y518" s="52"/>
      <c r="Z518" s="1" t="s">
        <v>2005</v>
      </c>
      <c r="AA518" s="3" t="s">
        <v>1345</v>
      </c>
      <c r="AB518" s="3"/>
      <c r="AC518" s="3"/>
      <c r="AD518" s="3" t="s">
        <v>62</v>
      </c>
      <c r="AE518" s="1" t="s">
        <v>83</v>
      </c>
      <c r="AF518" s="1" t="s">
        <v>1346</v>
      </c>
      <c r="AG518" s="1" t="s">
        <v>1347</v>
      </c>
      <c r="AH518" s="2">
        <v>100</v>
      </c>
      <c r="AI518" s="3"/>
      <c r="AJ518" s="3"/>
      <c r="AK518" s="3"/>
      <c r="AL518" s="3"/>
      <c r="AM518" s="3"/>
      <c r="AN518" s="3"/>
      <c r="AO518" s="3"/>
      <c r="AP518" s="3"/>
      <c r="AQ518" s="3"/>
      <c r="AR518" s="3"/>
      <c r="AS518" s="3"/>
      <c r="AT518" s="3"/>
      <c r="AU518" s="3"/>
      <c r="AV518" s="3"/>
      <c r="AW518" s="3"/>
      <c r="AX518" s="3"/>
      <c r="AY518" s="3"/>
      <c r="AZ518" s="4" t="s">
        <v>2362</v>
      </c>
      <c r="BA518" s="3" t="s">
        <v>3873</v>
      </c>
      <c r="BB518" s="1"/>
      <c r="BC518" s="1"/>
    </row>
    <row r="519" spans="1:55" s="78" customFormat="1" ht="15" customHeight="1" x14ac:dyDescent="0.25">
      <c r="A519" s="52" t="s">
        <v>4528</v>
      </c>
      <c r="B519" s="34" t="s">
        <v>59</v>
      </c>
      <c r="C519" s="53">
        <v>2026</v>
      </c>
      <c r="D519" s="53">
        <v>2026</v>
      </c>
      <c r="E519" s="54" t="s">
        <v>3265</v>
      </c>
      <c r="F519" s="55" t="s">
        <v>50</v>
      </c>
      <c r="G519" s="55" t="s">
        <v>50</v>
      </c>
      <c r="H519" s="45" t="s">
        <v>1360</v>
      </c>
      <c r="I519" s="56" t="s">
        <v>52</v>
      </c>
      <c r="J519" s="56"/>
      <c r="K519" s="55" t="s">
        <v>135</v>
      </c>
      <c r="L519" s="55" t="s">
        <v>54</v>
      </c>
      <c r="M519" s="55"/>
      <c r="N519" s="55" t="s">
        <v>201</v>
      </c>
      <c r="O519" s="55"/>
      <c r="P519" s="55" t="s">
        <v>136</v>
      </c>
      <c r="Q519" s="55" t="s">
        <v>57</v>
      </c>
      <c r="R519" s="55"/>
      <c r="S519" s="56" t="s">
        <v>81</v>
      </c>
      <c r="T519" s="55" t="s">
        <v>81</v>
      </c>
      <c r="U519" s="57">
        <v>59200</v>
      </c>
      <c r="V519" s="57" t="s">
        <v>101</v>
      </c>
      <c r="W519" s="55"/>
      <c r="X519" s="54" t="s">
        <v>4528</v>
      </c>
      <c r="Y519" s="52"/>
      <c r="Z519" s="3" t="s">
        <v>154</v>
      </c>
      <c r="AA519" s="3" t="s">
        <v>1361</v>
      </c>
      <c r="AB519" s="3"/>
      <c r="AC519" s="3"/>
      <c r="AD519" s="3" t="s">
        <v>62</v>
      </c>
      <c r="AE519" s="1" t="s">
        <v>108</v>
      </c>
      <c r="AF519" s="1"/>
      <c r="AG519" s="1" t="s">
        <v>1362</v>
      </c>
      <c r="AH519" s="2">
        <v>100</v>
      </c>
      <c r="AI519" s="3"/>
      <c r="AJ519" s="3"/>
      <c r="AK519" s="3"/>
      <c r="AL519" s="3"/>
      <c r="AM519" s="3"/>
      <c r="AN519" s="3"/>
      <c r="AO519" s="3"/>
      <c r="AP519" s="3"/>
      <c r="AQ519" s="3"/>
      <c r="AR519" s="3"/>
      <c r="AS519" s="3"/>
      <c r="AT519" s="3"/>
      <c r="AU519" s="3"/>
      <c r="AV519" s="3"/>
      <c r="AW519" s="3"/>
      <c r="AX519" s="3"/>
      <c r="AY519" s="3"/>
      <c r="AZ519" s="4" t="s">
        <v>1359</v>
      </c>
      <c r="BA519" s="3"/>
      <c r="BB519" s="1"/>
      <c r="BC519" s="1"/>
    </row>
    <row r="520" spans="1:55" s="78" customFormat="1" ht="15" customHeight="1" x14ac:dyDescent="0.25">
      <c r="A520" s="52" t="s">
        <v>4529</v>
      </c>
      <c r="B520" s="34" t="s">
        <v>59</v>
      </c>
      <c r="C520" s="53">
        <v>2026</v>
      </c>
      <c r="D520" s="53">
        <v>2026</v>
      </c>
      <c r="E520" s="54" t="s">
        <v>3266</v>
      </c>
      <c r="F520" s="55" t="s">
        <v>50</v>
      </c>
      <c r="G520" s="55" t="s">
        <v>50</v>
      </c>
      <c r="H520" s="45" t="s">
        <v>1363</v>
      </c>
      <c r="I520" s="56" t="s">
        <v>78</v>
      </c>
      <c r="J520" s="56"/>
      <c r="K520" s="55" t="s">
        <v>135</v>
      </c>
      <c r="L520" s="55" t="s">
        <v>88</v>
      </c>
      <c r="M520" s="55"/>
      <c r="N520" s="55" t="s">
        <v>110</v>
      </c>
      <c r="O520" s="55"/>
      <c r="P520" s="55" t="s">
        <v>136</v>
      </c>
      <c r="Q520" s="55" t="s">
        <v>57</v>
      </c>
      <c r="R520" s="55"/>
      <c r="S520" s="56" t="s">
        <v>58</v>
      </c>
      <c r="T520" s="55" t="s">
        <v>81</v>
      </c>
      <c r="U520" s="57">
        <v>59200</v>
      </c>
      <c r="V520" s="57" t="s">
        <v>101</v>
      </c>
      <c r="W520" s="55"/>
      <c r="X520" s="54" t="s">
        <v>4529</v>
      </c>
      <c r="Y520" s="52"/>
      <c r="Z520" s="3" t="s">
        <v>154</v>
      </c>
      <c r="AA520" s="3" t="s">
        <v>1361</v>
      </c>
      <c r="AB520" s="3"/>
      <c r="AC520" s="3"/>
      <c r="AD520" s="3" t="s">
        <v>62</v>
      </c>
      <c r="AE520" s="1" t="s">
        <v>108</v>
      </c>
      <c r="AF520" s="1"/>
      <c r="AG520" s="1" t="s">
        <v>1362</v>
      </c>
      <c r="AH520" s="2">
        <v>100</v>
      </c>
      <c r="AI520" s="3"/>
      <c r="AJ520" s="3"/>
      <c r="AK520" s="3"/>
      <c r="AL520" s="3"/>
      <c r="AM520" s="3"/>
      <c r="AN520" s="3"/>
      <c r="AO520" s="3"/>
      <c r="AP520" s="3"/>
      <c r="AQ520" s="3"/>
      <c r="AR520" s="3"/>
      <c r="AS520" s="3"/>
      <c r="AT520" s="3"/>
      <c r="AU520" s="3"/>
      <c r="AV520" s="3"/>
      <c r="AW520" s="3"/>
      <c r="AX520" s="3"/>
      <c r="AY520" s="3"/>
      <c r="AZ520" s="4" t="s">
        <v>1359</v>
      </c>
      <c r="BA520" s="3"/>
      <c r="BB520" s="1"/>
      <c r="BC520" s="1"/>
    </row>
    <row r="521" spans="1:55" s="78" customFormat="1" ht="15" customHeight="1" x14ac:dyDescent="0.25">
      <c r="A521" s="52" t="s">
        <v>4530</v>
      </c>
      <c r="B521" s="34" t="s">
        <v>59</v>
      </c>
      <c r="C521" s="53">
        <v>2026</v>
      </c>
      <c r="D521" s="53">
        <v>2026</v>
      </c>
      <c r="E521" s="54" t="s">
        <v>3266</v>
      </c>
      <c r="F521" s="55" t="s">
        <v>50</v>
      </c>
      <c r="G521" s="55" t="s">
        <v>50</v>
      </c>
      <c r="H521" s="45" t="s">
        <v>1363</v>
      </c>
      <c r="I521" s="56" t="s">
        <v>78</v>
      </c>
      <c r="J521" s="56"/>
      <c r="K521" s="55" t="s">
        <v>313</v>
      </c>
      <c r="L521" s="55" t="s">
        <v>88</v>
      </c>
      <c r="M521" s="55"/>
      <c r="N521" s="55" t="s">
        <v>110</v>
      </c>
      <c r="O521" s="55"/>
      <c r="P521" s="55" t="s">
        <v>314</v>
      </c>
      <c r="Q521" s="61" t="s">
        <v>57</v>
      </c>
      <c r="R521" s="55"/>
      <c r="S521" s="56" t="s">
        <v>58</v>
      </c>
      <c r="T521" s="55" t="s">
        <v>81</v>
      </c>
      <c r="U521" s="57">
        <v>111000</v>
      </c>
      <c r="V521" s="57" t="s">
        <v>101</v>
      </c>
      <c r="W521" s="55" t="s">
        <v>2319</v>
      </c>
      <c r="X521" s="54" t="s">
        <v>4530</v>
      </c>
      <c r="Y521" s="52"/>
      <c r="Z521" s="3" t="s">
        <v>154</v>
      </c>
      <c r="AA521" s="3" t="s">
        <v>1361</v>
      </c>
      <c r="AB521" s="3"/>
      <c r="AC521" s="3"/>
      <c r="AD521" s="3" t="s">
        <v>62</v>
      </c>
      <c r="AE521" s="1" t="s">
        <v>108</v>
      </c>
      <c r="AF521" s="1"/>
      <c r="AG521" s="1" t="s">
        <v>1362</v>
      </c>
      <c r="AH521" s="2">
        <v>100</v>
      </c>
      <c r="AI521" s="3"/>
      <c r="AJ521" s="3"/>
      <c r="AK521" s="3"/>
      <c r="AL521" s="3"/>
      <c r="AM521" s="3"/>
      <c r="AN521" s="3"/>
      <c r="AO521" s="3"/>
      <c r="AP521" s="3"/>
      <c r="AQ521" s="3"/>
      <c r="AR521" s="3"/>
      <c r="AS521" s="3"/>
      <c r="AT521" s="3"/>
      <c r="AU521" s="3"/>
      <c r="AV521" s="3"/>
      <c r="AW521" s="3"/>
      <c r="AX521" s="3"/>
      <c r="AY521" s="3"/>
      <c r="AZ521" s="4" t="s">
        <v>1364</v>
      </c>
      <c r="BA521" s="3"/>
      <c r="BB521" s="1"/>
      <c r="BC521" s="1"/>
    </row>
    <row r="522" spans="1:55" s="78" customFormat="1" ht="15" customHeight="1" x14ac:dyDescent="0.25">
      <c r="A522" s="52" t="s">
        <v>4531</v>
      </c>
      <c r="B522" s="34" t="s">
        <v>59</v>
      </c>
      <c r="C522" s="53">
        <v>2026</v>
      </c>
      <c r="D522" s="53">
        <v>2026</v>
      </c>
      <c r="E522" s="54" t="s">
        <v>3266</v>
      </c>
      <c r="F522" s="55" t="s">
        <v>50</v>
      </c>
      <c r="G522" s="55" t="s">
        <v>50</v>
      </c>
      <c r="H522" s="45" t="s">
        <v>1363</v>
      </c>
      <c r="I522" s="56" t="s">
        <v>78</v>
      </c>
      <c r="J522" s="56"/>
      <c r="K522" s="55" t="s">
        <v>582</v>
      </c>
      <c r="L522" s="55" t="s">
        <v>88</v>
      </c>
      <c r="M522" s="55"/>
      <c r="N522" s="55" t="s">
        <v>110</v>
      </c>
      <c r="O522" s="55"/>
      <c r="P522" s="61" t="s">
        <v>583</v>
      </c>
      <c r="Q522" s="61" t="s">
        <v>57</v>
      </c>
      <c r="R522" s="55"/>
      <c r="S522" s="56" t="s">
        <v>58</v>
      </c>
      <c r="T522" s="55" t="str">
        <f>IF(ISNUMBER(SEARCH(",",N522)),"Y","N")</f>
        <v>N</v>
      </c>
      <c r="U522" s="57">
        <v>141000</v>
      </c>
      <c r="V522" s="57" t="s">
        <v>101</v>
      </c>
      <c r="W522" s="55" t="s">
        <v>2319</v>
      </c>
      <c r="X522" s="54" t="s">
        <v>4531</v>
      </c>
      <c r="Y522" s="52"/>
      <c r="Z522" s="3" t="s">
        <v>154</v>
      </c>
      <c r="AA522" s="3" t="s">
        <v>1365</v>
      </c>
      <c r="AB522" s="3"/>
      <c r="AC522" s="3"/>
      <c r="AD522" s="3" t="s">
        <v>62</v>
      </c>
      <c r="AE522" s="3" t="s">
        <v>108</v>
      </c>
      <c r="AF522" s="3"/>
      <c r="AG522" s="3" t="s">
        <v>1362</v>
      </c>
      <c r="AH522" s="58">
        <v>100</v>
      </c>
      <c r="AI522" s="3"/>
      <c r="AJ522" s="3"/>
      <c r="AK522" s="3"/>
      <c r="AL522" s="3"/>
      <c r="AM522" s="3"/>
      <c r="AN522" s="3"/>
      <c r="AO522" s="3"/>
      <c r="AP522" s="3"/>
      <c r="AQ522" s="3"/>
      <c r="AR522" s="3"/>
      <c r="AS522" s="3"/>
      <c r="AT522" s="3"/>
      <c r="AU522" s="3"/>
      <c r="AV522" s="3"/>
      <c r="AW522" s="3"/>
      <c r="AX522" s="3"/>
      <c r="AY522" s="3"/>
      <c r="AZ522" s="4" t="s">
        <v>1364</v>
      </c>
      <c r="BA522" s="3"/>
      <c r="BB522" s="1"/>
      <c r="BC522" s="1"/>
    </row>
    <row r="523" spans="1:55" s="78" customFormat="1" ht="15" customHeight="1" x14ac:dyDescent="0.25">
      <c r="A523" s="52" t="s">
        <v>4532</v>
      </c>
      <c r="B523" s="34" t="s">
        <v>59</v>
      </c>
      <c r="C523" s="53">
        <v>2026</v>
      </c>
      <c r="D523" s="53">
        <v>2026</v>
      </c>
      <c r="E523" s="54" t="s">
        <v>3266</v>
      </c>
      <c r="F523" s="55" t="s">
        <v>50</v>
      </c>
      <c r="G523" s="55" t="s">
        <v>50</v>
      </c>
      <c r="H523" s="45" t="s">
        <v>1363</v>
      </c>
      <c r="I523" s="56" t="s">
        <v>78</v>
      </c>
      <c r="J523" s="56"/>
      <c r="K523" s="55" t="s">
        <v>74</v>
      </c>
      <c r="L523" s="55" t="s">
        <v>88</v>
      </c>
      <c r="M523" s="55"/>
      <c r="N523" s="55" t="s">
        <v>110</v>
      </c>
      <c r="O523" s="55"/>
      <c r="P523" s="55" t="s">
        <v>75</v>
      </c>
      <c r="Q523" s="56" t="s">
        <v>57</v>
      </c>
      <c r="R523" s="55"/>
      <c r="S523" s="56" t="s">
        <v>58</v>
      </c>
      <c r="T523" s="55" t="s">
        <v>81</v>
      </c>
      <c r="U523" s="72">
        <v>212.62100000000001</v>
      </c>
      <c r="V523" s="57" t="s">
        <v>101</v>
      </c>
      <c r="W523" s="55" t="s">
        <v>2319</v>
      </c>
      <c r="X523" s="54" t="s">
        <v>4532</v>
      </c>
      <c r="Y523" s="52"/>
      <c r="Z523" s="3" t="s">
        <v>154</v>
      </c>
      <c r="AA523" s="3" t="s">
        <v>1361</v>
      </c>
      <c r="AB523" s="3"/>
      <c r="AC523" s="3"/>
      <c r="AD523" s="3" t="s">
        <v>62</v>
      </c>
      <c r="AE523" s="1" t="s">
        <v>108</v>
      </c>
      <c r="AF523" s="1"/>
      <c r="AG523" s="1" t="s">
        <v>1362</v>
      </c>
      <c r="AH523" s="2">
        <v>100</v>
      </c>
      <c r="AI523" s="3"/>
      <c r="AJ523" s="3"/>
      <c r="AK523" s="3"/>
      <c r="AL523" s="3"/>
      <c r="AM523" s="3"/>
      <c r="AN523" s="3"/>
      <c r="AO523" s="3"/>
      <c r="AP523" s="3"/>
      <c r="AQ523" s="3"/>
      <c r="AR523" s="3"/>
      <c r="AS523" s="3"/>
      <c r="AT523" s="3"/>
      <c r="AU523" s="3"/>
      <c r="AV523" s="3"/>
      <c r="AW523" s="3"/>
      <c r="AX523" s="3"/>
      <c r="AY523" s="3"/>
      <c r="AZ523" s="4" t="s">
        <v>1364</v>
      </c>
      <c r="BA523" s="3"/>
      <c r="BB523" s="1"/>
      <c r="BC523" s="1"/>
    </row>
    <row r="524" spans="1:55" s="78" customFormat="1" ht="15" customHeight="1" x14ac:dyDescent="0.25">
      <c r="A524" s="52" t="s">
        <v>4533</v>
      </c>
      <c r="B524" s="34" t="s">
        <v>59</v>
      </c>
      <c r="C524" s="53">
        <v>2026</v>
      </c>
      <c r="D524" s="53">
        <v>2026</v>
      </c>
      <c r="E524" s="54" t="s">
        <v>3267</v>
      </c>
      <c r="F524" s="55" t="s">
        <v>50</v>
      </c>
      <c r="G524" s="55" t="s">
        <v>50</v>
      </c>
      <c r="H524" s="45" t="s">
        <v>1366</v>
      </c>
      <c r="I524" s="56" t="s">
        <v>78</v>
      </c>
      <c r="J524" s="56" t="s">
        <v>165</v>
      </c>
      <c r="K524" s="55" t="s">
        <v>597</v>
      </c>
      <c r="L524" s="55" t="s">
        <v>88</v>
      </c>
      <c r="M524" s="55"/>
      <c r="N524" s="56" t="s">
        <v>110</v>
      </c>
      <c r="O524" s="56"/>
      <c r="P524" s="56" t="s">
        <v>598</v>
      </c>
      <c r="Q524" s="55" t="s">
        <v>57</v>
      </c>
      <c r="R524" s="55"/>
      <c r="S524" s="56" t="s">
        <v>81</v>
      </c>
      <c r="T524" s="55" t="str">
        <f>IF(ISNUMBER(SEARCH(",",N524)),"Y","N")</f>
        <v>N</v>
      </c>
      <c r="U524" s="57">
        <v>7100000</v>
      </c>
      <c r="V524" s="57" t="s">
        <v>101</v>
      </c>
      <c r="W524" s="55"/>
      <c r="X524" s="54" t="s">
        <v>4533</v>
      </c>
      <c r="Y524" s="52"/>
      <c r="Z524" s="2" t="s">
        <v>61</v>
      </c>
      <c r="AA524" s="1" t="s">
        <v>1367</v>
      </c>
      <c r="AB524" s="1"/>
      <c r="AC524" s="1"/>
      <c r="AD524" s="3" t="s">
        <v>62</v>
      </c>
      <c r="AE524" s="2" t="s">
        <v>1054</v>
      </c>
      <c r="AF524" s="70" t="s">
        <v>1368</v>
      </c>
      <c r="AG524" s="3" t="s">
        <v>635</v>
      </c>
      <c r="AH524" s="53">
        <v>85.3</v>
      </c>
      <c r="AI524" s="1" t="s">
        <v>1369</v>
      </c>
      <c r="AJ524" s="59">
        <v>14.7</v>
      </c>
      <c r="AK524" s="1"/>
      <c r="AL524" s="60"/>
      <c r="AM524" s="1"/>
      <c r="AN524" s="60"/>
      <c r="AO524" s="1"/>
      <c r="AP524" s="60"/>
      <c r="AQ524" s="1"/>
      <c r="AR524" s="60"/>
      <c r="AS524" s="1"/>
      <c r="AT524" s="60"/>
      <c r="AU524" s="1"/>
      <c r="AV524" s="60"/>
      <c r="AW524" s="1"/>
      <c r="AX524" s="60"/>
      <c r="AY524" s="1"/>
      <c r="AZ524" s="4" t="s">
        <v>2597</v>
      </c>
      <c r="BA524" s="1" t="s">
        <v>3875</v>
      </c>
      <c r="BB524" s="1"/>
      <c r="BC524" s="1"/>
    </row>
    <row r="525" spans="1:55" s="78" customFormat="1" ht="15" customHeight="1" x14ac:dyDescent="0.25">
      <c r="A525" s="52" t="s">
        <v>4534</v>
      </c>
      <c r="B525" s="34" t="s">
        <v>59</v>
      </c>
      <c r="C525" s="53">
        <v>2026</v>
      </c>
      <c r="D525" s="53">
        <v>2026</v>
      </c>
      <c r="E525" s="54" t="s">
        <v>3268</v>
      </c>
      <c r="F525" s="55" t="s">
        <v>50</v>
      </c>
      <c r="G525" s="55" t="s">
        <v>50</v>
      </c>
      <c r="H525" s="45" t="s">
        <v>1370</v>
      </c>
      <c r="I525" s="45" t="s">
        <v>52</v>
      </c>
      <c r="J525" s="56" t="s">
        <v>165</v>
      </c>
      <c r="K525" s="55" t="s">
        <v>597</v>
      </c>
      <c r="L525" s="55" t="str">
        <f>IF(K525="Mine or Quarry","Mine","")</f>
        <v/>
      </c>
      <c r="M525" s="55"/>
      <c r="N525" s="56" t="s">
        <v>1371</v>
      </c>
      <c r="O525" s="56"/>
      <c r="P525" s="56" t="s">
        <v>598</v>
      </c>
      <c r="Q525" s="55" t="s">
        <v>57</v>
      </c>
      <c r="R525" s="55"/>
      <c r="S525" s="56" t="s">
        <v>81</v>
      </c>
      <c r="T525" s="55" t="str">
        <f>IF(ISNUMBER(SEARCH(",",N525)),"Y","N")</f>
        <v>N</v>
      </c>
      <c r="U525" s="57">
        <v>7100000</v>
      </c>
      <c r="V525" s="57" t="s">
        <v>101</v>
      </c>
      <c r="W525" s="55"/>
      <c r="X525" s="54" t="s">
        <v>4534</v>
      </c>
      <c r="Y525" s="52"/>
      <c r="Z525" s="2" t="s">
        <v>61</v>
      </c>
      <c r="AA525" s="1" t="s">
        <v>1367</v>
      </c>
      <c r="AB525" s="1"/>
      <c r="AC525" s="1"/>
      <c r="AD525" s="3" t="s">
        <v>62</v>
      </c>
      <c r="AE525" s="2" t="s">
        <v>1054</v>
      </c>
      <c r="AF525" s="70" t="s">
        <v>1368</v>
      </c>
      <c r="AG525" s="3" t="s">
        <v>635</v>
      </c>
      <c r="AH525" s="53">
        <v>85.3</v>
      </c>
      <c r="AI525" s="1" t="s">
        <v>1369</v>
      </c>
      <c r="AJ525" s="59">
        <v>14.7</v>
      </c>
      <c r="AK525" s="1"/>
      <c r="AL525" s="60"/>
      <c r="AM525" s="1"/>
      <c r="AN525" s="60"/>
      <c r="AO525" s="1"/>
      <c r="AP525" s="60"/>
      <c r="AQ525" s="1"/>
      <c r="AR525" s="60"/>
      <c r="AS525" s="1"/>
      <c r="AT525" s="60"/>
      <c r="AU525" s="1"/>
      <c r="AV525" s="60"/>
      <c r="AW525" s="1"/>
      <c r="AX525" s="60"/>
      <c r="AY525" s="1"/>
      <c r="AZ525" s="4" t="s">
        <v>2597</v>
      </c>
      <c r="BA525" s="1" t="s">
        <v>3875</v>
      </c>
      <c r="BB525" s="1"/>
      <c r="BC525" s="1"/>
    </row>
    <row r="526" spans="1:55" s="78" customFormat="1" ht="15" customHeight="1" x14ac:dyDescent="0.25">
      <c r="A526" s="52" t="s">
        <v>4535</v>
      </c>
      <c r="B526" s="34" t="s">
        <v>59</v>
      </c>
      <c r="C526" s="53">
        <v>2026</v>
      </c>
      <c r="D526" s="53">
        <v>2026</v>
      </c>
      <c r="E526" s="54" t="s">
        <v>3269</v>
      </c>
      <c r="F526" s="55" t="s">
        <v>50</v>
      </c>
      <c r="G526" s="55" t="s">
        <v>50</v>
      </c>
      <c r="H526" s="45" t="s">
        <v>1373</v>
      </c>
      <c r="I526" s="56" t="s">
        <v>52</v>
      </c>
      <c r="J526" s="56"/>
      <c r="K526" s="56" t="s">
        <v>346</v>
      </c>
      <c r="L526" s="55" t="str">
        <f>IF(K526="Mine or Quarry","Mine","")</f>
        <v/>
      </c>
      <c r="M526" s="55"/>
      <c r="N526" s="56" t="s">
        <v>788</v>
      </c>
      <c r="O526" s="56" t="s">
        <v>1374</v>
      </c>
      <c r="P526" s="56" t="s">
        <v>89</v>
      </c>
      <c r="Q526" s="56" t="s">
        <v>89</v>
      </c>
      <c r="R526" s="55"/>
      <c r="S526" s="56" t="s">
        <v>81</v>
      </c>
      <c r="T526" s="55" t="str">
        <f>IF(ISNUMBER(SEARCH(",",N526)),"Y","N")</f>
        <v>N</v>
      </c>
      <c r="U526" s="57">
        <v>15000</v>
      </c>
      <c r="V526" s="57" t="s">
        <v>101</v>
      </c>
      <c r="W526" s="55" t="s">
        <v>2319</v>
      </c>
      <c r="X526" s="54" t="s">
        <v>4535</v>
      </c>
      <c r="Y526" s="52"/>
      <c r="Z526" s="2" t="s">
        <v>61</v>
      </c>
      <c r="AA526" s="1" t="s">
        <v>1375</v>
      </c>
      <c r="AB526" s="1"/>
      <c r="AC526" s="1"/>
      <c r="AD526" s="3" t="s">
        <v>62</v>
      </c>
      <c r="AE526" s="2" t="s">
        <v>257</v>
      </c>
      <c r="AF526" s="1" t="s">
        <v>1376</v>
      </c>
      <c r="AG526" s="1" t="s">
        <v>1377</v>
      </c>
      <c r="AH526" s="2">
        <v>100</v>
      </c>
      <c r="AI526" s="1"/>
      <c r="AJ526" s="1"/>
      <c r="AK526" s="1"/>
      <c r="AL526" s="1"/>
      <c r="AM526" s="1"/>
      <c r="AN526" s="1"/>
      <c r="AO526" s="1"/>
      <c r="AP526" s="1"/>
      <c r="AQ526" s="1"/>
      <c r="AR526" s="1"/>
      <c r="AS526" s="1"/>
      <c r="AT526" s="1"/>
      <c r="AU526" s="1"/>
      <c r="AV526" s="1"/>
      <c r="AW526" s="1"/>
      <c r="AX526" s="1"/>
      <c r="AY526" s="1"/>
      <c r="AZ526" s="4" t="s">
        <v>1372</v>
      </c>
      <c r="BA526" s="1"/>
      <c r="BB526" s="1"/>
      <c r="BC526" s="1"/>
    </row>
    <row r="527" spans="1:55" s="78" customFormat="1" ht="15" customHeight="1" x14ac:dyDescent="0.25">
      <c r="A527" s="52" t="s">
        <v>4536</v>
      </c>
      <c r="B527" s="34" t="s">
        <v>59</v>
      </c>
      <c r="C527" s="53">
        <v>2026</v>
      </c>
      <c r="D527" s="53">
        <v>2026</v>
      </c>
      <c r="E527" s="54" t="s">
        <v>3270</v>
      </c>
      <c r="F527" s="55" t="s">
        <v>50</v>
      </c>
      <c r="G527" s="55" t="s">
        <v>50</v>
      </c>
      <c r="H527" s="45" t="s">
        <v>1378</v>
      </c>
      <c r="I527" s="45" t="s">
        <v>52</v>
      </c>
      <c r="J527" s="56" t="s">
        <v>165</v>
      </c>
      <c r="K527" s="56" t="s">
        <v>166</v>
      </c>
      <c r="L527" s="55"/>
      <c r="M527" s="55"/>
      <c r="N527" s="56" t="s">
        <v>280</v>
      </c>
      <c r="O527" s="56"/>
      <c r="P527" s="56" t="s">
        <v>89</v>
      </c>
      <c r="Q527" s="56" t="s">
        <v>89</v>
      </c>
      <c r="R527" s="55"/>
      <c r="S527" s="56" t="s">
        <v>81</v>
      </c>
      <c r="T527" s="55" t="s">
        <v>81</v>
      </c>
      <c r="U527" s="57">
        <v>-999</v>
      </c>
      <c r="V527" s="57" t="s">
        <v>59</v>
      </c>
      <c r="W527" s="55" t="s">
        <v>2319</v>
      </c>
      <c r="X527" s="54" t="s">
        <v>4536</v>
      </c>
      <c r="Y527" s="52"/>
      <c r="Z527" s="1" t="s">
        <v>61</v>
      </c>
      <c r="AA527" s="1" t="s">
        <v>1379</v>
      </c>
      <c r="AB527" s="1"/>
      <c r="AC527" s="1"/>
      <c r="AD527" s="3" t="s">
        <v>62</v>
      </c>
      <c r="AE527" s="3" t="s">
        <v>592</v>
      </c>
      <c r="AF527" s="3" t="s">
        <v>282</v>
      </c>
      <c r="AG527" s="3" t="s">
        <v>283</v>
      </c>
      <c r="AH527" s="58">
        <v>100</v>
      </c>
      <c r="AI527" s="1"/>
      <c r="AJ527" s="1"/>
      <c r="AK527" s="1"/>
      <c r="AL527" s="1"/>
      <c r="AM527" s="1"/>
      <c r="AN527" s="1"/>
      <c r="AO527" s="1"/>
      <c r="AP527" s="1"/>
      <c r="AQ527" s="1"/>
      <c r="AR527" s="1"/>
      <c r="AS527" s="1"/>
      <c r="AT527" s="1"/>
      <c r="AU527" s="1"/>
      <c r="AV527" s="1"/>
      <c r="AW527" s="1"/>
      <c r="AX527" s="1"/>
      <c r="AY527" s="1"/>
      <c r="AZ527" s="4" t="s">
        <v>163</v>
      </c>
      <c r="BA527" s="1"/>
      <c r="BB527" s="1"/>
      <c r="BC527" s="1"/>
    </row>
    <row r="528" spans="1:55" s="78" customFormat="1" ht="15" customHeight="1" x14ac:dyDescent="0.25">
      <c r="A528" s="52" t="s">
        <v>4537</v>
      </c>
      <c r="B528" s="34" t="s">
        <v>59</v>
      </c>
      <c r="C528" s="53">
        <v>2026</v>
      </c>
      <c r="D528" s="53">
        <v>2026</v>
      </c>
      <c r="E528" s="54" t="s">
        <v>3271</v>
      </c>
      <c r="F528" s="55" t="s">
        <v>50</v>
      </c>
      <c r="G528" s="55" t="s">
        <v>50</v>
      </c>
      <c r="H528" s="45" t="s">
        <v>1381</v>
      </c>
      <c r="I528" s="45" t="s">
        <v>52</v>
      </c>
      <c r="J528" s="56"/>
      <c r="K528" s="45" t="s">
        <v>180</v>
      </c>
      <c r="L528" s="55" t="str">
        <f>IF(K528="Mine or Quarry","Mine","")</f>
        <v/>
      </c>
      <c r="M528" s="55"/>
      <c r="N528" s="55" t="s">
        <v>110</v>
      </c>
      <c r="O528" s="55" t="s">
        <v>188</v>
      </c>
      <c r="P528" s="55" t="s">
        <v>182</v>
      </c>
      <c r="Q528" s="55" t="s">
        <v>5353</v>
      </c>
      <c r="R528" s="55"/>
      <c r="S528" s="56" t="s">
        <v>81</v>
      </c>
      <c r="T528" s="55" t="str">
        <f>IF(ISNUMBER(SEARCH(",",N528)),"Y","N")</f>
        <v>N</v>
      </c>
      <c r="U528" s="57">
        <v>1800</v>
      </c>
      <c r="V528" s="57" t="s">
        <v>101</v>
      </c>
      <c r="W528" s="55"/>
      <c r="X528" s="54" t="s">
        <v>4537</v>
      </c>
      <c r="Y528" s="53"/>
      <c r="Z528" s="3" t="s">
        <v>61</v>
      </c>
      <c r="AA528" s="3" t="s">
        <v>1382</v>
      </c>
      <c r="AB528" s="3"/>
      <c r="AC528" s="3"/>
      <c r="AD528" s="3" t="s">
        <v>62</v>
      </c>
      <c r="AE528" s="3" t="s">
        <v>184</v>
      </c>
      <c r="AF528" s="3"/>
      <c r="AG528" s="3" t="s">
        <v>450</v>
      </c>
      <c r="AH528" s="58">
        <v>100</v>
      </c>
      <c r="AI528" s="3"/>
      <c r="AJ528" s="53"/>
      <c r="AK528" s="3"/>
      <c r="AL528" s="3"/>
      <c r="AM528" s="3"/>
      <c r="AN528" s="3"/>
      <c r="AO528" s="3"/>
      <c r="AP528" s="3"/>
      <c r="AQ528" s="3"/>
      <c r="AR528" s="3"/>
      <c r="AS528" s="3"/>
      <c r="AT528" s="3"/>
      <c r="AU528" s="3"/>
      <c r="AV528" s="3"/>
      <c r="AW528" s="3"/>
      <c r="AX528" s="3"/>
      <c r="AY528" s="3"/>
      <c r="AZ528" s="4" t="s">
        <v>1380</v>
      </c>
      <c r="BA528" s="3"/>
      <c r="BB528" s="1"/>
      <c r="BC528" s="1"/>
    </row>
    <row r="529" spans="1:55" s="78" customFormat="1" ht="15" customHeight="1" x14ac:dyDescent="0.25">
      <c r="A529" s="52" t="s">
        <v>4538</v>
      </c>
      <c r="B529" s="34" t="s">
        <v>59</v>
      </c>
      <c r="C529" s="53">
        <v>2026</v>
      </c>
      <c r="D529" s="53">
        <v>2026</v>
      </c>
      <c r="E529" s="54" t="s">
        <v>3272</v>
      </c>
      <c r="F529" s="55" t="s">
        <v>50</v>
      </c>
      <c r="G529" s="55" t="s">
        <v>50</v>
      </c>
      <c r="H529" s="45" t="s">
        <v>1383</v>
      </c>
      <c r="I529" s="56" t="s">
        <v>52</v>
      </c>
      <c r="J529" s="56"/>
      <c r="K529" s="56" t="s">
        <v>1019</v>
      </c>
      <c r="L529" s="55"/>
      <c r="M529" s="55"/>
      <c r="N529" s="56"/>
      <c r="O529" s="56" t="s">
        <v>1020</v>
      </c>
      <c r="P529" s="56" t="s">
        <v>89</v>
      </c>
      <c r="Q529" s="56" t="s">
        <v>89</v>
      </c>
      <c r="R529" s="55"/>
      <c r="S529" s="56" t="s">
        <v>81</v>
      </c>
      <c r="T529" s="55" t="s">
        <v>81</v>
      </c>
      <c r="U529" s="57">
        <v>-999</v>
      </c>
      <c r="V529" s="57" t="s">
        <v>59</v>
      </c>
      <c r="W529" s="55" t="s">
        <v>2319</v>
      </c>
      <c r="X529" s="54" t="s">
        <v>4538</v>
      </c>
      <c r="Y529" s="52"/>
      <c r="Z529" s="1" t="s">
        <v>61</v>
      </c>
      <c r="AA529" s="1" t="s">
        <v>1384</v>
      </c>
      <c r="AB529" s="1"/>
      <c r="AC529" s="1"/>
      <c r="AD529" s="3" t="s">
        <v>62</v>
      </c>
      <c r="AE529" s="1" t="s">
        <v>506</v>
      </c>
      <c r="AF529" s="1" t="s">
        <v>1022</v>
      </c>
      <c r="AG529" s="1" t="s">
        <v>1023</v>
      </c>
      <c r="AH529" s="2">
        <v>100</v>
      </c>
      <c r="AI529" s="1"/>
      <c r="AJ529" s="1"/>
      <c r="AK529" s="1"/>
      <c r="AL529" s="1"/>
      <c r="AM529" s="1"/>
      <c r="AN529" s="1"/>
      <c r="AO529" s="1"/>
      <c r="AP529" s="1"/>
      <c r="AQ529" s="1"/>
      <c r="AR529" s="1"/>
      <c r="AS529" s="1"/>
      <c r="AT529" s="1"/>
      <c r="AU529" s="1"/>
      <c r="AV529" s="1"/>
      <c r="AW529" s="1"/>
      <c r="AX529" s="1"/>
      <c r="AY529" s="1"/>
      <c r="AZ529" s="4" t="s">
        <v>1017</v>
      </c>
      <c r="BA529" s="1"/>
      <c r="BB529" s="1"/>
      <c r="BC529" s="1"/>
    </row>
    <row r="530" spans="1:55" s="78" customFormat="1" ht="15" customHeight="1" x14ac:dyDescent="0.25">
      <c r="A530" s="52" t="s">
        <v>4539</v>
      </c>
      <c r="B530" s="34" t="s">
        <v>59</v>
      </c>
      <c r="C530" s="53">
        <v>2026</v>
      </c>
      <c r="D530" s="53">
        <v>2026</v>
      </c>
      <c r="E530" s="54" t="s">
        <v>3273</v>
      </c>
      <c r="F530" s="55" t="s">
        <v>50</v>
      </c>
      <c r="G530" s="55" t="s">
        <v>50</v>
      </c>
      <c r="H530" s="45" t="s">
        <v>1385</v>
      </c>
      <c r="I530" s="56" t="s">
        <v>78</v>
      </c>
      <c r="J530" s="56"/>
      <c r="K530" s="55" t="s">
        <v>71</v>
      </c>
      <c r="L530" s="55" t="str">
        <f>IF(K530="Mine or Quarry","Mine","")</f>
        <v/>
      </c>
      <c r="M530" s="55"/>
      <c r="N530" s="55" t="s">
        <v>181</v>
      </c>
      <c r="O530" s="55"/>
      <c r="P530" s="55" t="s">
        <v>73</v>
      </c>
      <c r="Q530" s="55" t="s">
        <v>57</v>
      </c>
      <c r="R530" s="55"/>
      <c r="S530" s="56" t="s">
        <v>58</v>
      </c>
      <c r="T530" s="55" t="str">
        <f>IF(ISNUMBER(SEARCH(",",N530)),"Y","N")</f>
        <v>N</v>
      </c>
      <c r="U530" s="57">
        <v>-999</v>
      </c>
      <c r="V530" s="57" t="s">
        <v>59</v>
      </c>
      <c r="W530" s="55" t="s">
        <v>2319</v>
      </c>
      <c r="X530" s="54" t="s">
        <v>4539</v>
      </c>
      <c r="Y530" s="52"/>
      <c r="Z530" s="3" t="s">
        <v>154</v>
      </c>
      <c r="AA530" s="3" t="s">
        <v>452</v>
      </c>
      <c r="AB530" s="3"/>
      <c r="AC530" s="3"/>
      <c r="AD530" s="3" t="s">
        <v>62</v>
      </c>
      <c r="AE530" s="3" t="s">
        <v>83</v>
      </c>
      <c r="AF530" s="1" t="s">
        <v>299</v>
      </c>
      <c r="AG530" s="1" t="s">
        <v>299</v>
      </c>
      <c r="AH530" s="53">
        <v>100</v>
      </c>
      <c r="AI530" s="3"/>
      <c r="AJ530" s="53"/>
      <c r="AK530" s="3"/>
      <c r="AL530" s="53"/>
      <c r="AM530" s="3"/>
      <c r="AN530" s="53"/>
      <c r="AO530" s="3"/>
      <c r="AP530" s="53"/>
      <c r="AQ530" s="3"/>
      <c r="AR530" s="53"/>
      <c r="AS530" s="3"/>
      <c r="AT530" s="53"/>
      <c r="AU530" s="3"/>
      <c r="AV530" s="53"/>
      <c r="AW530" s="3"/>
      <c r="AX530" s="53"/>
      <c r="AY530" s="3"/>
      <c r="AZ530" s="4" t="s">
        <v>295</v>
      </c>
      <c r="BA530" s="32"/>
      <c r="BB530" s="1"/>
      <c r="BC530" s="1"/>
    </row>
    <row r="531" spans="1:55" s="78" customFormat="1" ht="15" customHeight="1" x14ac:dyDescent="0.25">
      <c r="A531" s="52" t="s">
        <v>4540</v>
      </c>
      <c r="B531" s="34" t="s">
        <v>59</v>
      </c>
      <c r="C531" s="53">
        <v>2026</v>
      </c>
      <c r="D531" s="53">
        <v>2026</v>
      </c>
      <c r="E531" s="54" t="s">
        <v>3273</v>
      </c>
      <c r="F531" s="55" t="s">
        <v>50</v>
      </c>
      <c r="G531" s="55" t="s">
        <v>50</v>
      </c>
      <c r="H531" s="45" t="s">
        <v>1385</v>
      </c>
      <c r="I531" s="56" t="s">
        <v>78</v>
      </c>
      <c r="J531" s="56"/>
      <c r="K531" s="55" t="s">
        <v>74</v>
      </c>
      <c r="L531" s="55" t="str">
        <f>IF(K531="Mines and Quarries","Mine","")</f>
        <v/>
      </c>
      <c r="M531" s="55"/>
      <c r="N531" s="55" t="s">
        <v>181</v>
      </c>
      <c r="O531" s="55"/>
      <c r="P531" s="55" t="s">
        <v>75</v>
      </c>
      <c r="Q531" s="56" t="s">
        <v>57</v>
      </c>
      <c r="R531" s="55"/>
      <c r="S531" s="56" t="s">
        <v>58</v>
      </c>
      <c r="T531" s="55" t="str">
        <f>IF(ISNUMBER(SEARCH(",",N531)),"Y","N")</f>
        <v>N</v>
      </c>
      <c r="U531" s="57">
        <v>-999</v>
      </c>
      <c r="V531" s="57" t="s">
        <v>59</v>
      </c>
      <c r="W531" s="55" t="s">
        <v>2319</v>
      </c>
      <c r="X531" s="54" t="s">
        <v>4540</v>
      </c>
      <c r="Y531" s="52"/>
      <c r="Z531" s="3" t="s">
        <v>154</v>
      </c>
      <c r="AA531" s="3" t="s">
        <v>452</v>
      </c>
      <c r="AB531" s="3"/>
      <c r="AC531" s="3"/>
      <c r="AD531" s="3" t="s">
        <v>62</v>
      </c>
      <c r="AE531" s="3" t="s">
        <v>83</v>
      </c>
      <c r="AF531" s="1" t="s">
        <v>299</v>
      </c>
      <c r="AG531" s="1" t="s">
        <v>299</v>
      </c>
      <c r="AH531" s="53">
        <v>100</v>
      </c>
      <c r="AI531" s="3"/>
      <c r="AJ531" s="53"/>
      <c r="AK531" s="3"/>
      <c r="AL531" s="53"/>
      <c r="AM531" s="3"/>
      <c r="AN531" s="53"/>
      <c r="AO531" s="3"/>
      <c r="AP531" s="53"/>
      <c r="AQ531" s="3"/>
      <c r="AR531" s="53"/>
      <c r="AS531" s="3"/>
      <c r="AT531" s="53"/>
      <c r="AU531" s="3"/>
      <c r="AV531" s="53"/>
      <c r="AW531" s="3"/>
      <c r="AX531" s="53"/>
      <c r="AY531" s="3"/>
      <c r="AZ531" s="4" t="s">
        <v>295</v>
      </c>
      <c r="BA531" s="32"/>
      <c r="BB531" s="1"/>
      <c r="BC531" s="1"/>
    </row>
    <row r="532" spans="1:55" s="78" customFormat="1" ht="15" customHeight="1" x14ac:dyDescent="0.25">
      <c r="A532" s="52" t="s">
        <v>4541</v>
      </c>
      <c r="B532" s="34" t="s">
        <v>59</v>
      </c>
      <c r="C532" s="53">
        <v>2026</v>
      </c>
      <c r="D532" s="53">
        <v>2026</v>
      </c>
      <c r="E532" s="54" t="s">
        <v>3274</v>
      </c>
      <c r="F532" s="55" t="s">
        <v>50</v>
      </c>
      <c r="G532" s="55" t="s">
        <v>50</v>
      </c>
      <c r="H532" s="45" t="s">
        <v>1387</v>
      </c>
      <c r="I532" s="56" t="s">
        <v>52</v>
      </c>
      <c r="J532" s="56"/>
      <c r="K532" s="56" t="s">
        <v>346</v>
      </c>
      <c r="L532" s="55" t="str">
        <f>IF(K532="Mine or Quarry","Mine","")</f>
        <v/>
      </c>
      <c r="M532" s="55"/>
      <c r="N532" s="56" t="s">
        <v>789</v>
      </c>
      <c r="O532" s="56" t="s">
        <v>789</v>
      </c>
      <c r="P532" s="56" t="s">
        <v>89</v>
      </c>
      <c r="Q532" s="56" t="s">
        <v>89</v>
      </c>
      <c r="R532" s="55"/>
      <c r="S532" s="56" t="s">
        <v>81</v>
      </c>
      <c r="T532" s="55" t="str">
        <f>IF(ISNUMBER(SEARCH(",",N532)),"Y","N")</f>
        <v>N</v>
      </c>
      <c r="U532" s="57">
        <v>24000</v>
      </c>
      <c r="V532" s="57" t="s">
        <v>101</v>
      </c>
      <c r="W532" s="55" t="s">
        <v>2319</v>
      </c>
      <c r="X532" s="54" t="s">
        <v>4541</v>
      </c>
      <c r="Y532" s="52"/>
      <c r="Z532" s="2" t="s">
        <v>61</v>
      </c>
      <c r="AA532" s="1" t="s">
        <v>256</v>
      </c>
      <c r="AB532" s="1"/>
      <c r="AC532" s="1"/>
      <c r="AD532" s="3" t="s">
        <v>62</v>
      </c>
      <c r="AE532" s="2" t="s">
        <v>257</v>
      </c>
      <c r="AF532" s="2"/>
      <c r="AG532" s="1" t="s">
        <v>792</v>
      </c>
      <c r="AH532" s="2">
        <v>100</v>
      </c>
      <c r="AI532" s="1"/>
      <c r="AJ532" s="1"/>
      <c r="AK532" s="1"/>
      <c r="AL532" s="1"/>
      <c r="AM532" s="1"/>
      <c r="AN532" s="1"/>
      <c r="AO532" s="1"/>
      <c r="AP532" s="1"/>
      <c r="AQ532" s="1"/>
      <c r="AR532" s="1"/>
      <c r="AS532" s="1"/>
      <c r="AT532" s="1"/>
      <c r="AU532" s="1"/>
      <c r="AV532" s="1"/>
      <c r="AW532" s="1"/>
      <c r="AX532" s="1"/>
      <c r="AY532" s="1"/>
      <c r="AZ532" s="4" t="s">
        <v>1386</v>
      </c>
      <c r="BA532" s="1"/>
      <c r="BB532" s="1"/>
      <c r="BC532" s="1"/>
    </row>
    <row r="533" spans="1:55" s="78" customFormat="1" ht="15" customHeight="1" x14ac:dyDescent="0.25">
      <c r="A533" s="52" t="s">
        <v>4542</v>
      </c>
      <c r="B533" s="34" t="s">
        <v>59</v>
      </c>
      <c r="C533" s="53">
        <v>2026</v>
      </c>
      <c r="D533" s="53">
        <v>2026</v>
      </c>
      <c r="E533" s="54" t="s">
        <v>3275</v>
      </c>
      <c r="F533" s="55" t="s">
        <v>50</v>
      </c>
      <c r="G533" s="55" t="s">
        <v>50</v>
      </c>
      <c r="H533" s="45" t="s">
        <v>1389</v>
      </c>
      <c r="I533" s="56" t="s">
        <v>78</v>
      </c>
      <c r="J533" s="56"/>
      <c r="K533" s="56" t="s">
        <v>79</v>
      </c>
      <c r="L533" s="55" t="str">
        <f>IF(K533="Mine or Quarry","Mine","")</f>
        <v/>
      </c>
      <c r="M533" s="55"/>
      <c r="N533" s="56" t="s">
        <v>80</v>
      </c>
      <c r="O533" s="56"/>
      <c r="P533" s="56" t="s">
        <v>89</v>
      </c>
      <c r="Q533" s="56" t="s">
        <v>89</v>
      </c>
      <c r="R533" s="55"/>
      <c r="S533" s="56" t="s">
        <v>81</v>
      </c>
      <c r="T533" s="55" t="str">
        <f>IF(ISNUMBER(SEARCH(",",N533)),"Y","N")</f>
        <v>N</v>
      </c>
      <c r="U533" s="57">
        <v>-999</v>
      </c>
      <c r="V533" s="57" t="s">
        <v>59</v>
      </c>
      <c r="W533" s="55" t="s">
        <v>2319</v>
      </c>
      <c r="X533" s="54" t="s">
        <v>4542</v>
      </c>
      <c r="Y533" s="52"/>
      <c r="Z533" s="1" t="s">
        <v>61</v>
      </c>
      <c r="AA533" s="1" t="s">
        <v>1390</v>
      </c>
      <c r="AB533" s="1"/>
      <c r="AC533" s="1"/>
      <c r="AD533" s="3" t="s">
        <v>62</v>
      </c>
      <c r="AE533" s="1" t="s">
        <v>192</v>
      </c>
      <c r="AF533" s="1" t="s">
        <v>1391</v>
      </c>
      <c r="AG533" s="1" t="s">
        <v>1391</v>
      </c>
      <c r="AH533" s="1"/>
      <c r="AI533" s="1"/>
      <c r="AJ533" s="1"/>
      <c r="AK533" s="1"/>
      <c r="AL533" s="1"/>
      <c r="AM533" s="1"/>
      <c r="AN533" s="1"/>
      <c r="AO533" s="1"/>
      <c r="AP533" s="1"/>
      <c r="AQ533" s="1"/>
      <c r="AR533" s="1"/>
      <c r="AS533" s="1"/>
      <c r="AT533" s="1"/>
      <c r="AU533" s="1"/>
      <c r="AV533" s="1"/>
      <c r="AW533" s="1"/>
      <c r="AX533" s="1"/>
      <c r="AY533" s="1"/>
      <c r="AZ533" s="5" t="s">
        <v>1388</v>
      </c>
      <c r="BA533" s="5"/>
      <c r="BB533" s="1"/>
      <c r="BC533" s="1"/>
    </row>
    <row r="534" spans="1:55" s="78" customFormat="1" ht="15" customHeight="1" x14ac:dyDescent="0.25">
      <c r="A534" s="52" t="s">
        <v>4543</v>
      </c>
      <c r="B534" s="34" t="s">
        <v>59</v>
      </c>
      <c r="C534" s="53">
        <v>2026</v>
      </c>
      <c r="D534" s="53">
        <v>2026</v>
      </c>
      <c r="E534" s="54" t="s">
        <v>3276</v>
      </c>
      <c r="F534" s="55" t="s">
        <v>50</v>
      </c>
      <c r="G534" s="55" t="s">
        <v>50</v>
      </c>
      <c r="H534" s="45" t="s">
        <v>1393</v>
      </c>
      <c r="I534" s="56" t="s">
        <v>52</v>
      </c>
      <c r="J534" s="56"/>
      <c r="K534" s="56" t="s">
        <v>392</v>
      </c>
      <c r="L534" s="55" t="str">
        <f>IF(K534="Mine or Quarry","Mine","")</f>
        <v/>
      </c>
      <c r="M534" s="55" t="s">
        <v>113</v>
      </c>
      <c r="N534" s="56" t="s">
        <v>358</v>
      </c>
      <c r="O534" s="56" t="s">
        <v>1394</v>
      </c>
      <c r="P534" s="55" t="s">
        <v>394</v>
      </c>
      <c r="Q534" s="55" t="s">
        <v>57</v>
      </c>
      <c r="R534" s="55"/>
      <c r="S534" s="56" t="s">
        <v>81</v>
      </c>
      <c r="T534" s="55" t="s">
        <v>58</v>
      </c>
      <c r="U534" s="57">
        <v>5440</v>
      </c>
      <c r="V534" s="57" t="s">
        <v>101</v>
      </c>
      <c r="W534" s="55" t="s">
        <v>2319</v>
      </c>
      <c r="X534" s="54" t="s">
        <v>4543</v>
      </c>
      <c r="Y534" s="52"/>
      <c r="Z534" s="2" t="s">
        <v>61</v>
      </c>
      <c r="AA534" s="1" t="s">
        <v>3970</v>
      </c>
      <c r="AB534" s="1"/>
      <c r="AC534" s="1"/>
      <c r="AD534" s="3" t="s">
        <v>62</v>
      </c>
      <c r="AE534" s="2" t="s">
        <v>366</v>
      </c>
      <c r="AF534" s="2"/>
      <c r="AG534" s="3" t="s">
        <v>1395</v>
      </c>
      <c r="AH534" s="58">
        <v>100</v>
      </c>
      <c r="AI534" s="1"/>
      <c r="AJ534" s="1"/>
      <c r="AK534" s="1"/>
      <c r="AL534" s="1"/>
      <c r="AM534" s="1"/>
      <c r="AN534" s="1"/>
      <c r="AO534" s="1"/>
      <c r="AP534" s="1"/>
      <c r="AQ534" s="1"/>
      <c r="AR534" s="1"/>
      <c r="AS534" s="1"/>
      <c r="AT534" s="1"/>
      <c r="AU534" s="1"/>
      <c r="AV534" s="1"/>
      <c r="AW534" s="1"/>
      <c r="AX534" s="1"/>
      <c r="AY534" s="1"/>
      <c r="AZ534" s="4" t="s">
        <v>1392</v>
      </c>
      <c r="BA534" s="1"/>
      <c r="BB534" s="1"/>
      <c r="BC534" s="1"/>
    </row>
    <row r="535" spans="1:55" s="78" customFormat="1" ht="15" customHeight="1" x14ac:dyDescent="0.25">
      <c r="A535" s="52" t="s">
        <v>4544</v>
      </c>
      <c r="B535" s="34" t="s">
        <v>59</v>
      </c>
      <c r="C535" s="53">
        <v>2026</v>
      </c>
      <c r="D535" s="53">
        <v>2026</v>
      </c>
      <c r="E535" s="54" t="s">
        <v>3277</v>
      </c>
      <c r="F535" s="55" t="s">
        <v>50</v>
      </c>
      <c r="G535" s="55" t="s">
        <v>50</v>
      </c>
      <c r="H535" s="45" t="s">
        <v>2994</v>
      </c>
      <c r="I535" s="56" t="s">
        <v>52</v>
      </c>
      <c r="J535" s="56"/>
      <c r="K535" s="56" t="s">
        <v>204</v>
      </c>
      <c r="L535" s="55"/>
      <c r="M535" s="55"/>
      <c r="N535" s="56"/>
      <c r="O535" s="56"/>
      <c r="P535" s="55" t="s">
        <v>89</v>
      </c>
      <c r="Q535" s="55" t="s">
        <v>89</v>
      </c>
      <c r="R535" s="55"/>
      <c r="S535" s="56" t="s">
        <v>81</v>
      </c>
      <c r="T535" s="55" t="s">
        <v>81</v>
      </c>
      <c r="U535" s="57">
        <v>-999</v>
      </c>
      <c r="V535" s="57" t="s">
        <v>59</v>
      </c>
      <c r="W535" s="55" t="s">
        <v>2319</v>
      </c>
      <c r="X535" s="54" t="s">
        <v>4544</v>
      </c>
      <c r="Y535" s="52"/>
      <c r="Z535" s="2" t="s">
        <v>61</v>
      </c>
      <c r="AA535" s="1" t="s">
        <v>1396</v>
      </c>
      <c r="AB535" s="1"/>
      <c r="AC535" s="1"/>
      <c r="AD535" s="3" t="s">
        <v>62</v>
      </c>
      <c r="AE535" s="2" t="s">
        <v>184</v>
      </c>
      <c r="AF535" s="3" t="s">
        <v>765</v>
      </c>
      <c r="AG535" s="3" t="s">
        <v>766</v>
      </c>
      <c r="AH535" s="58"/>
      <c r="AI535" s="1"/>
      <c r="AJ535" s="1"/>
      <c r="AK535" s="1"/>
      <c r="AL535" s="1"/>
      <c r="AM535" s="1"/>
      <c r="AN535" s="1"/>
      <c r="AO535" s="1"/>
      <c r="AP535" s="1"/>
      <c r="AQ535" s="1"/>
      <c r="AR535" s="1"/>
      <c r="AS535" s="1"/>
      <c r="AT535" s="1"/>
      <c r="AU535" s="1"/>
      <c r="AV535" s="1"/>
      <c r="AW535" s="1"/>
      <c r="AX535" s="1"/>
      <c r="AY535" s="1"/>
      <c r="AZ535" s="4" t="s">
        <v>202</v>
      </c>
      <c r="BA535" s="1"/>
      <c r="BB535" s="1"/>
      <c r="BC535" s="1"/>
    </row>
    <row r="536" spans="1:55" s="78" customFormat="1" ht="15" customHeight="1" x14ac:dyDescent="0.25">
      <c r="A536" s="52" t="s">
        <v>4545</v>
      </c>
      <c r="B536" s="34" t="s">
        <v>59</v>
      </c>
      <c r="C536" s="53">
        <v>2026</v>
      </c>
      <c r="D536" s="53">
        <v>2026</v>
      </c>
      <c r="E536" s="54" t="s">
        <v>3278</v>
      </c>
      <c r="F536" s="55" t="s">
        <v>50</v>
      </c>
      <c r="G536" s="55" t="s">
        <v>50</v>
      </c>
      <c r="H536" s="45" t="s">
        <v>1400</v>
      </c>
      <c r="I536" s="56" t="s">
        <v>52</v>
      </c>
      <c r="J536" s="55" t="s">
        <v>384</v>
      </c>
      <c r="K536" s="55" t="s">
        <v>384</v>
      </c>
      <c r="L536" s="55" t="s">
        <v>54</v>
      </c>
      <c r="M536" s="55" t="s">
        <v>113</v>
      </c>
      <c r="N536" s="56" t="s">
        <v>400</v>
      </c>
      <c r="O536" s="55" t="s">
        <v>579</v>
      </c>
      <c r="P536" s="56" t="s">
        <v>385</v>
      </c>
      <c r="Q536" s="55" t="s">
        <v>5353</v>
      </c>
      <c r="R536" s="55" t="s">
        <v>579</v>
      </c>
      <c r="S536" s="56" t="s">
        <v>81</v>
      </c>
      <c r="T536" s="55" t="s">
        <v>81</v>
      </c>
      <c r="U536" s="57">
        <v>100</v>
      </c>
      <c r="V536" s="57" t="s">
        <v>101</v>
      </c>
      <c r="W536" s="55" t="s">
        <v>2319</v>
      </c>
      <c r="X536" s="54" t="s">
        <v>4545</v>
      </c>
      <c r="Y536" s="52"/>
      <c r="Z536" s="2" t="s">
        <v>154</v>
      </c>
      <c r="AA536" s="1" t="s">
        <v>1401</v>
      </c>
      <c r="AB536" s="1"/>
      <c r="AC536" s="1"/>
      <c r="AD536" s="3" t="s">
        <v>62</v>
      </c>
      <c r="AE536" s="2" t="s">
        <v>184</v>
      </c>
      <c r="AF536" s="2"/>
      <c r="AG536" s="1" t="s">
        <v>1402</v>
      </c>
      <c r="AH536" s="2">
        <v>100</v>
      </c>
      <c r="AI536" s="1"/>
      <c r="AJ536" s="1"/>
      <c r="AK536" s="1"/>
      <c r="AL536" s="1"/>
      <c r="AM536" s="1"/>
      <c r="AN536" s="1"/>
      <c r="AO536" s="1"/>
      <c r="AP536" s="1"/>
      <c r="AQ536" s="1"/>
      <c r="AR536" s="1"/>
      <c r="AS536" s="1"/>
      <c r="AT536" s="1"/>
      <c r="AU536" s="1"/>
      <c r="AV536" s="1"/>
      <c r="AW536" s="1"/>
      <c r="AX536" s="1"/>
      <c r="AY536" s="1"/>
      <c r="AZ536" s="4" t="s">
        <v>1399</v>
      </c>
      <c r="BA536" s="1"/>
      <c r="BB536" s="1"/>
      <c r="BC536" s="1"/>
    </row>
    <row r="537" spans="1:55" s="78" customFormat="1" ht="15" customHeight="1" x14ac:dyDescent="0.25">
      <c r="A537" s="52" t="s">
        <v>4546</v>
      </c>
      <c r="B537" s="34" t="s">
        <v>59</v>
      </c>
      <c r="C537" s="53">
        <v>2026</v>
      </c>
      <c r="D537" s="53">
        <v>2026</v>
      </c>
      <c r="E537" s="54" t="s">
        <v>3279</v>
      </c>
      <c r="F537" s="55" t="s">
        <v>50</v>
      </c>
      <c r="G537" s="55" t="s">
        <v>50</v>
      </c>
      <c r="H537" s="45" t="s">
        <v>1404</v>
      </c>
      <c r="I537" s="56" t="s">
        <v>52</v>
      </c>
      <c r="J537" s="56"/>
      <c r="K537" s="55" t="s">
        <v>313</v>
      </c>
      <c r="L537" s="55"/>
      <c r="M537" s="55" t="s">
        <v>491</v>
      </c>
      <c r="N537" s="56" t="s">
        <v>55</v>
      </c>
      <c r="O537" s="56"/>
      <c r="P537" s="56" t="s">
        <v>314</v>
      </c>
      <c r="Q537" s="61" t="s">
        <v>57</v>
      </c>
      <c r="R537" s="55"/>
      <c r="S537" s="56" t="s">
        <v>81</v>
      </c>
      <c r="T537" s="55" t="s">
        <v>81</v>
      </c>
      <c r="U537" s="57">
        <v>-999</v>
      </c>
      <c r="V537" s="57" t="s">
        <v>59</v>
      </c>
      <c r="W537" s="55" t="s">
        <v>2319</v>
      </c>
      <c r="X537" s="54" t="s">
        <v>4546</v>
      </c>
      <c r="Y537" s="52"/>
      <c r="Z537" s="2" t="s">
        <v>61</v>
      </c>
      <c r="AA537" s="1" t="s">
        <v>1401</v>
      </c>
      <c r="AB537" s="1"/>
      <c r="AC537" s="1"/>
      <c r="AD537" s="3" t="s">
        <v>62</v>
      </c>
      <c r="AE537" s="2" t="s">
        <v>184</v>
      </c>
      <c r="AF537" s="2"/>
      <c r="AG537" s="1" t="s">
        <v>826</v>
      </c>
      <c r="AH537" s="2">
        <v>100</v>
      </c>
      <c r="AI537" s="1"/>
      <c r="AJ537" s="1"/>
      <c r="AK537" s="1"/>
      <c r="AL537" s="1"/>
      <c r="AM537" s="1"/>
      <c r="AN537" s="1"/>
      <c r="AO537" s="1"/>
      <c r="AP537" s="1"/>
      <c r="AQ537" s="1"/>
      <c r="AR537" s="1"/>
      <c r="AS537" s="1"/>
      <c r="AT537" s="1"/>
      <c r="AU537" s="1"/>
      <c r="AV537" s="1"/>
      <c r="AW537" s="1"/>
      <c r="AX537" s="1"/>
      <c r="AY537" s="1"/>
      <c r="AZ537" s="4" t="s">
        <v>1403</v>
      </c>
      <c r="BA537" s="1"/>
      <c r="BB537" s="1"/>
      <c r="BC537" s="1"/>
    </row>
    <row r="538" spans="1:55" s="78" customFormat="1" ht="15" customHeight="1" x14ac:dyDescent="0.25">
      <c r="A538" s="52" t="s">
        <v>4547</v>
      </c>
      <c r="B538" s="34" t="s">
        <v>59</v>
      </c>
      <c r="C538" s="53">
        <v>2026</v>
      </c>
      <c r="D538" s="53">
        <v>2026</v>
      </c>
      <c r="E538" s="54" t="s">
        <v>3280</v>
      </c>
      <c r="F538" s="55" t="s">
        <v>50</v>
      </c>
      <c r="G538" s="55" t="s">
        <v>50</v>
      </c>
      <c r="H538" s="45" t="s">
        <v>2997</v>
      </c>
      <c r="I538" s="45" t="s">
        <v>52</v>
      </c>
      <c r="J538" s="56"/>
      <c r="K538" s="55" t="s">
        <v>210</v>
      </c>
      <c r="L538" s="55" t="s">
        <v>54</v>
      </c>
      <c r="M538" s="55" t="s">
        <v>211</v>
      </c>
      <c r="N538" s="55" t="s">
        <v>212</v>
      </c>
      <c r="O538" s="55"/>
      <c r="P538" s="55" t="s">
        <v>89</v>
      </c>
      <c r="Q538" s="55" t="s">
        <v>89</v>
      </c>
      <c r="R538" s="55"/>
      <c r="S538" s="56" t="s">
        <v>81</v>
      </c>
      <c r="T538" s="55" t="s">
        <v>81</v>
      </c>
      <c r="U538" s="57">
        <v>1073100</v>
      </c>
      <c r="V538" s="57" t="s">
        <v>101</v>
      </c>
      <c r="W538" s="55" t="s">
        <v>2319</v>
      </c>
      <c r="X538" s="54" t="s">
        <v>4547</v>
      </c>
      <c r="Y538" s="52"/>
      <c r="Z538" s="3" t="s">
        <v>61</v>
      </c>
      <c r="AA538" s="1" t="s">
        <v>1401</v>
      </c>
      <c r="AB538" s="1"/>
      <c r="AC538" s="1"/>
      <c r="AD538" s="3" t="s">
        <v>62</v>
      </c>
      <c r="AE538" s="3" t="s">
        <v>184</v>
      </c>
      <c r="AF538" s="3"/>
      <c r="AG538" s="1" t="s">
        <v>374</v>
      </c>
      <c r="AH538" s="2">
        <v>100</v>
      </c>
      <c r="AI538" s="1"/>
      <c r="AJ538" s="2"/>
      <c r="AK538" s="3"/>
      <c r="AL538" s="3"/>
      <c r="AM538" s="3"/>
      <c r="AN538" s="3"/>
      <c r="AO538" s="3"/>
      <c r="AP538" s="3"/>
      <c r="AQ538" s="3"/>
      <c r="AR538" s="3"/>
      <c r="AS538" s="3"/>
      <c r="AT538" s="3"/>
      <c r="AU538" s="3"/>
      <c r="AV538" s="3"/>
      <c r="AW538" s="3"/>
      <c r="AX538" s="3"/>
      <c r="AY538" s="3"/>
      <c r="AZ538" s="4" t="s">
        <v>1408</v>
      </c>
      <c r="BA538" s="3"/>
      <c r="BB538" s="1"/>
      <c r="BC538" s="1"/>
    </row>
    <row r="539" spans="1:55" s="78" customFormat="1" ht="15" customHeight="1" x14ac:dyDescent="0.25">
      <c r="A539" s="52" t="s">
        <v>4548</v>
      </c>
      <c r="B539" s="34" t="s">
        <v>59</v>
      </c>
      <c r="C539" s="53">
        <v>2026</v>
      </c>
      <c r="D539" s="53">
        <v>2026</v>
      </c>
      <c r="E539" s="54" t="s">
        <v>3281</v>
      </c>
      <c r="F539" s="55" t="s">
        <v>50</v>
      </c>
      <c r="G539" s="55" t="s">
        <v>50</v>
      </c>
      <c r="H539" s="45" t="s">
        <v>2996</v>
      </c>
      <c r="I539" s="56" t="s">
        <v>52</v>
      </c>
      <c r="J539" s="56"/>
      <c r="K539" s="56" t="s">
        <v>313</v>
      </c>
      <c r="L539" s="55" t="s">
        <v>317</v>
      </c>
      <c r="M539" s="55" t="s">
        <v>113</v>
      </c>
      <c r="N539" s="56" t="s">
        <v>358</v>
      </c>
      <c r="O539" s="56" t="s">
        <v>1406</v>
      </c>
      <c r="P539" s="56" t="s">
        <v>314</v>
      </c>
      <c r="Q539" s="61" t="s">
        <v>57</v>
      </c>
      <c r="R539" s="55"/>
      <c r="S539" s="56" t="s">
        <v>81</v>
      </c>
      <c r="T539" s="55" t="s">
        <v>58</v>
      </c>
      <c r="U539" s="57">
        <v>-999</v>
      </c>
      <c r="V539" s="57" t="s">
        <v>59</v>
      </c>
      <c r="W539" s="55" t="s">
        <v>2319</v>
      </c>
      <c r="X539" s="54" t="s">
        <v>4548</v>
      </c>
      <c r="Y539" s="52"/>
      <c r="Z539" s="1" t="s">
        <v>61</v>
      </c>
      <c r="AA539" s="1" t="s">
        <v>1401</v>
      </c>
      <c r="AB539" s="1"/>
      <c r="AC539" s="1"/>
      <c r="AD539" s="3" t="s">
        <v>62</v>
      </c>
      <c r="AE539" s="1" t="s">
        <v>184</v>
      </c>
      <c r="AF539" s="1"/>
      <c r="AG539" s="1" t="s">
        <v>1407</v>
      </c>
      <c r="AH539" s="2">
        <v>100</v>
      </c>
      <c r="AI539" s="1"/>
      <c r="AJ539" s="1"/>
      <c r="AK539" s="1"/>
      <c r="AL539" s="1"/>
      <c r="AM539" s="1"/>
      <c r="AN539" s="1"/>
      <c r="AO539" s="1"/>
      <c r="AP539" s="1"/>
      <c r="AQ539" s="1"/>
      <c r="AR539" s="1"/>
      <c r="AS539" s="1"/>
      <c r="AT539" s="1"/>
      <c r="AU539" s="1"/>
      <c r="AV539" s="1"/>
      <c r="AW539" s="1"/>
      <c r="AX539" s="1"/>
      <c r="AY539" s="1"/>
      <c r="AZ539" s="4" t="s">
        <v>1405</v>
      </c>
      <c r="BA539" s="1"/>
      <c r="BB539" s="1"/>
      <c r="BC539" s="1"/>
    </row>
    <row r="540" spans="1:55" s="78" customFormat="1" ht="15" customHeight="1" x14ac:dyDescent="0.25">
      <c r="A540" s="52" t="s">
        <v>4549</v>
      </c>
      <c r="B540" s="34" t="s">
        <v>59</v>
      </c>
      <c r="C540" s="53">
        <v>2026</v>
      </c>
      <c r="D540" s="53">
        <v>2026</v>
      </c>
      <c r="E540" s="54" t="s">
        <v>3282</v>
      </c>
      <c r="F540" s="55" t="s">
        <v>50</v>
      </c>
      <c r="G540" s="55" t="s">
        <v>50</v>
      </c>
      <c r="H540" s="45" t="s">
        <v>2995</v>
      </c>
      <c r="I540" s="56" t="s">
        <v>52</v>
      </c>
      <c r="J540" s="56"/>
      <c r="K540" s="56" t="s">
        <v>140</v>
      </c>
      <c r="L540" s="55" t="s">
        <v>54</v>
      </c>
      <c r="M540" s="55"/>
      <c r="N540" s="55" t="s">
        <v>141</v>
      </c>
      <c r="O540" s="55"/>
      <c r="P540" s="55" t="s">
        <v>142</v>
      </c>
      <c r="Q540" s="55" t="s">
        <v>57</v>
      </c>
      <c r="R540" s="55"/>
      <c r="S540" s="56" t="s">
        <v>81</v>
      </c>
      <c r="T540" s="55" t="s">
        <v>81</v>
      </c>
      <c r="U540" s="57">
        <v>11800</v>
      </c>
      <c r="V540" s="57" t="s">
        <v>101</v>
      </c>
      <c r="W540" s="55" t="s">
        <v>2319</v>
      </c>
      <c r="X540" s="54" t="s">
        <v>4549</v>
      </c>
      <c r="Y540" s="52"/>
      <c r="Z540" s="1" t="s">
        <v>61</v>
      </c>
      <c r="AA540" s="3" t="s">
        <v>1397</v>
      </c>
      <c r="AB540" s="3"/>
      <c r="AC540" s="3"/>
      <c r="AD540" s="3" t="s">
        <v>62</v>
      </c>
      <c r="AE540" s="1" t="s">
        <v>63</v>
      </c>
      <c r="AF540" s="1"/>
      <c r="AG540" s="1" t="s">
        <v>1398</v>
      </c>
      <c r="AH540" s="2">
        <v>100</v>
      </c>
      <c r="AI540" s="3"/>
      <c r="AJ540" s="3"/>
      <c r="AK540" s="3"/>
      <c r="AL540" s="3"/>
      <c r="AM540" s="3"/>
      <c r="AN540" s="3"/>
      <c r="AO540" s="3"/>
      <c r="AP540" s="3"/>
      <c r="AQ540" s="3"/>
      <c r="AR540" s="3"/>
      <c r="AS540" s="3"/>
      <c r="AT540" s="3"/>
      <c r="AU540" s="3"/>
      <c r="AV540" s="3"/>
      <c r="AW540" s="3"/>
      <c r="AX540" s="3"/>
      <c r="AY540" s="3"/>
      <c r="AZ540" s="4" t="s">
        <v>139</v>
      </c>
      <c r="BA540" s="3"/>
      <c r="BB540" s="1"/>
      <c r="BC540" s="1"/>
    </row>
    <row r="541" spans="1:55" s="78" customFormat="1" ht="15" customHeight="1" x14ac:dyDescent="0.25">
      <c r="A541" s="52" t="s">
        <v>4550</v>
      </c>
      <c r="B541" s="34" t="s">
        <v>59</v>
      </c>
      <c r="C541" s="53">
        <v>2026</v>
      </c>
      <c r="D541" s="53">
        <v>2026</v>
      </c>
      <c r="E541" s="54" t="s">
        <v>3283</v>
      </c>
      <c r="F541" s="55" t="s">
        <v>50</v>
      </c>
      <c r="G541" s="55" t="s">
        <v>50</v>
      </c>
      <c r="H541" s="45" t="s">
        <v>3980</v>
      </c>
      <c r="I541" s="56" t="s">
        <v>52</v>
      </c>
      <c r="J541" s="45"/>
      <c r="K541" s="56" t="s">
        <v>53</v>
      </c>
      <c r="L541" s="45"/>
      <c r="M541" s="45"/>
      <c r="N541" s="45" t="s">
        <v>110</v>
      </c>
      <c r="O541" s="45"/>
      <c r="P541" s="55" t="s">
        <v>56</v>
      </c>
      <c r="Q541" s="55" t="s">
        <v>57</v>
      </c>
      <c r="R541" s="45"/>
      <c r="S541" s="56" t="s">
        <v>58</v>
      </c>
      <c r="T541" s="55" t="str">
        <f>IF(ISNUMBER(SEARCH(",",N541)),"Y","N")</f>
        <v>N</v>
      </c>
      <c r="U541" s="57">
        <v>20000</v>
      </c>
      <c r="V541" s="57" t="s">
        <v>101</v>
      </c>
      <c r="W541" s="45"/>
      <c r="X541" s="54" t="s">
        <v>4550</v>
      </c>
      <c r="Y541" s="59"/>
      <c r="Z541" s="3" t="s">
        <v>61</v>
      </c>
      <c r="AA541" s="1" t="s">
        <v>3981</v>
      </c>
      <c r="AB541" s="2"/>
      <c r="AC541" s="2"/>
      <c r="AD541" s="3" t="s">
        <v>62</v>
      </c>
      <c r="AE541" s="3" t="s">
        <v>306</v>
      </c>
      <c r="AF541" s="3"/>
      <c r="AG541" s="1" t="s">
        <v>439</v>
      </c>
      <c r="AH541" s="2">
        <v>100</v>
      </c>
      <c r="AI541" s="2"/>
      <c r="AJ541" s="2"/>
      <c r="AK541" s="2"/>
      <c r="AL541" s="59"/>
      <c r="AM541" s="2"/>
      <c r="AN541" s="59"/>
      <c r="AO541" s="2"/>
      <c r="AP541" s="59"/>
      <c r="AQ541" s="2"/>
      <c r="AR541" s="59"/>
      <c r="AS541" s="2"/>
      <c r="AT541" s="59"/>
      <c r="AU541" s="2"/>
      <c r="AV541" s="59"/>
      <c r="AW541" s="2"/>
      <c r="AX541" s="59"/>
      <c r="AY541" s="2"/>
      <c r="AZ541" s="4" t="s">
        <v>320</v>
      </c>
      <c r="BA541" s="4" t="s">
        <v>3979</v>
      </c>
      <c r="BB541" s="1"/>
      <c r="BC541" s="1"/>
    </row>
    <row r="542" spans="1:55" s="78" customFormat="1" ht="15" customHeight="1" x14ac:dyDescent="0.25">
      <c r="A542" s="52" t="s">
        <v>4551</v>
      </c>
      <c r="B542" s="34" t="s">
        <v>59</v>
      </c>
      <c r="C542" s="53">
        <v>2026</v>
      </c>
      <c r="D542" s="53">
        <v>2026</v>
      </c>
      <c r="E542" s="54" t="s">
        <v>3283</v>
      </c>
      <c r="F542" s="55" t="s">
        <v>50</v>
      </c>
      <c r="G542" s="55" t="s">
        <v>50</v>
      </c>
      <c r="H542" s="45" t="s">
        <v>3980</v>
      </c>
      <c r="I542" s="56" t="s">
        <v>52</v>
      </c>
      <c r="J542" s="45"/>
      <c r="K542" s="56" t="s">
        <v>126</v>
      </c>
      <c r="L542" s="45"/>
      <c r="M542" s="45"/>
      <c r="N542" s="45" t="s">
        <v>110</v>
      </c>
      <c r="O542" s="45"/>
      <c r="P542" s="55" t="s">
        <v>129</v>
      </c>
      <c r="Q542" s="56" t="s">
        <v>57</v>
      </c>
      <c r="R542" s="45"/>
      <c r="S542" s="56" t="s">
        <v>58</v>
      </c>
      <c r="T542" s="55" t="s">
        <v>81</v>
      </c>
      <c r="U542" s="57">
        <v>400</v>
      </c>
      <c r="V542" s="57" t="s">
        <v>101</v>
      </c>
      <c r="W542" s="45"/>
      <c r="X542" s="54" t="s">
        <v>4551</v>
      </c>
      <c r="Y542" s="59"/>
      <c r="Z542" s="3" t="s">
        <v>61</v>
      </c>
      <c r="AA542" s="1" t="s">
        <v>3981</v>
      </c>
      <c r="AB542" s="2"/>
      <c r="AC542" s="2"/>
      <c r="AD542" s="3" t="s">
        <v>62</v>
      </c>
      <c r="AE542" s="3" t="s">
        <v>306</v>
      </c>
      <c r="AF542" s="3"/>
      <c r="AG542" s="1" t="s">
        <v>439</v>
      </c>
      <c r="AH542" s="2">
        <v>100</v>
      </c>
      <c r="AI542" s="2"/>
      <c r="AJ542" s="2"/>
      <c r="AK542" s="2"/>
      <c r="AL542" s="59"/>
      <c r="AM542" s="2"/>
      <c r="AN542" s="59"/>
      <c r="AO542" s="2"/>
      <c r="AP542" s="59"/>
      <c r="AQ542" s="2"/>
      <c r="AR542" s="59"/>
      <c r="AS542" s="2"/>
      <c r="AT542" s="59"/>
      <c r="AU542" s="2"/>
      <c r="AV542" s="59"/>
      <c r="AW542" s="2"/>
      <c r="AX542" s="59"/>
      <c r="AY542" s="2"/>
      <c r="AZ542" s="4" t="s">
        <v>1063</v>
      </c>
      <c r="BA542" s="4" t="s">
        <v>3979</v>
      </c>
      <c r="BB542" s="1"/>
      <c r="BC542" s="1"/>
    </row>
    <row r="543" spans="1:55" s="78" customFormat="1" ht="15" customHeight="1" x14ac:dyDescent="0.25">
      <c r="A543" s="52" t="s">
        <v>4552</v>
      </c>
      <c r="B543" s="34" t="s">
        <v>59</v>
      </c>
      <c r="C543" s="53">
        <v>2026</v>
      </c>
      <c r="D543" s="53">
        <v>2026</v>
      </c>
      <c r="E543" s="54" t="s">
        <v>3283</v>
      </c>
      <c r="F543" s="55" t="s">
        <v>50</v>
      </c>
      <c r="G543" s="55" t="s">
        <v>50</v>
      </c>
      <c r="H543" s="45" t="s">
        <v>3980</v>
      </c>
      <c r="I543" s="56" t="s">
        <v>52</v>
      </c>
      <c r="J543" s="45"/>
      <c r="K543" s="56" t="s">
        <v>71</v>
      </c>
      <c r="L543" s="45"/>
      <c r="M543" s="45"/>
      <c r="N543" s="45" t="s">
        <v>110</v>
      </c>
      <c r="O543" s="45"/>
      <c r="P543" s="55" t="s">
        <v>73</v>
      </c>
      <c r="Q543" s="55" t="s">
        <v>57</v>
      </c>
      <c r="R543" s="45"/>
      <c r="S543" s="56" t="s">
        <v>58</v>
      </c>
      <c r="T543" s="55" t="str">
        <f>IF(ISNUMBER(SEARCH(",",N543)),"Y","N")</f>
        <v>N</v>
      </c>
      <c r="U543" s="57">
        <v>0.10199999999999999</v>
      </c>
      <c r="V543" s="57" t="s">
        <v>101</v>
      </c>
      <c r="W543" s="45"/>
      <c r="X543" s="54" t="s">
        <v>4552</v>
      </c>
      <c r="Y543" s="59"/>
      <c r="Z543" s="3" t="s">
        <v>61</v>
      </c>
      <c r="AA543" s="1" t="s">
        <v>3981</v>
      </c>
      <c r="AB543" s="2"/>
      <c r="AC543" s="2"/>
      <c r="AD543" s="3" t="s">
        <v>62</v>
      </c>
      <c r="AE543" s="3" t="s">
        <v>306</v>
      </c>
      <c r="AF543" s="3"/>
      <c r="AG543" s="1" t="s">
        <v>439</v>
      </c>
      <c r="AH543" s="2">
        <v>100</v>
      </c>
      <c r="AI543" s="2"/>
      <c r="AJ543" s="2"/>
      <c r="AK543" s="2"/>
      <c r="AL543" s="59"/>
      <c r="AM543" s="2"/>
      <c r="AN543" s="59"/>
      <c r="AO543" s="2"/>
      <c r="AP543" s="59"/>
      <c r="AQ543" s="2"/>
      <c r="AR543" s="59"/>
      <c r="AS543" s="2"/>
      <c r="AT543" s="59"/>
      <c r="AU543" s="2"/>
      <c r="AV543" s="59"/>
      <c r="AW543" s="2"/>
      <c r="AX543" s="59"/>
      <c r="AY543" s="2"/>
      <c r="AZ543" s="4" t="s">
        <v>1063</v>
      </c>
      <c r="BA543" s="4" t="s">
        <v>3979</v>
      </c>
      <c r="BB543" s="1"/>
      <c r="BC543" s="1"/>
    </row>
    <row r="544" spans="1:55" s="78" customFormat="1" ht="15" customHeight="1" x14ac:dyDescent="0.25">
      <c r="A544" s="52" t="s">
        <v>4553</v>
      </c>
      <c r="B544" s="34" t="s">
        <v>59</v>
      </c>
      <c r="C544" s="53">
        <v>2026</v>
      </c>
      <c r="D544" s="53">
        <v>2026</v>
      </c>
      <c r="E544" s="54" t="s">
        <v>3283</v>
      </c>
      <c r="F544" s="55" t="s">
        <v>50</v>
      </c>
      <c r="G544" s="55" t="s">
        <v>50</v>
      </c>
      <c r="H544" s="45" t="s">
        <v>3980</v>
      </c>
      <c r="I544" s="56" t="s">
        <v>52</v>
      </c>
      <c r="J544" s="56" t="s">
        <v>65</v>
      </c>
      <c r="K544" s="56" t="s">
        <v>66</v>
      </c>
      <c r="L544" s="45"/>
      <c r="M544" s="45"/>
      <c r="N544" s="45" t="s">
        <v>110</v>
      </c>
      <c r="O544" s="45"/>
      <c r="P544" s="56" t="s">
        <v>67</v>
      </c>
      <c r="Q544" s="55" t="s">
        <v>57</v>
      </c>
      <c r="R544" s="45"/>
      <c r="S544" s="56" t="s">
        <v>58</v>
      </c>
      <c r="T544" s="55" t="s">
        <v>81</v>
      </c>
      <c r="U544" s="57">
        <v>0.17299999999999999</v>
      </c>
      <c r="V544" s="57" t="s">
        <v>101</v>
      </c>
      <c r="W544" s="45"/>
      <c r="X544" s="54" t="s">
        <v>4553</v>
      </c>
      <c r="Y544" s="59"/>
      <c r="Z544" s="3" t="s">
        <v>61</v>
      </c>
      <c r="AA544" s="1" t="s">
        <v>3981</v>
      </c>
      <c r="AB544" s="2"/>
      <c r="AC544" s="2"/>
      <c r="AD544" s="3" t="s">
        <v>62</v>
      </c>
      <c r="AE544" s="3" t="s">
        <v>306</v>
      </c>
      <c r="AF544" s="3"/>
      <c r="AG544" s="1" t="s">
        <v>439</v>
      </c>
      <c r="AH544" s="2">
        <v>100</v>
      </c>
      <c r="AI544" s="2"/>
      <c r="AJ544" s="2"/>
      <c r="AK544" s="2"/>
      <c r="AL544" s="59"/>
      <c r="AM544" s="2"/>
      <c r="AN544" s="59"/>
      <c r="AO544" s="2"/>
      <c r="AP544" s="59"/>
      <c r="AQ544" s="2"/>
      <c r="AR544" s="59"/>
      <c r="AS544" s="2"/>
      <c r="AT544" s="59"/>
      <c r="AU544" s="2"/>
      <c r="AV544" s="59"/>
      <c r="AW544" s="2"/>
      <c r="AX544" s="59"/>
      <c r="AY544" s="2"/>
      <c r="AZ544" s="4" t="s">
        <v>1063</v>
      </c>
      <c r="BA544" s="4" t="s">
        <v>3979</v>
      </c>
      <c r="BB544" s="1"/>
      <c r="BC544" s="1"/>
    </row>
    <row r="545" spans="1:55" s="78" customFormat="1" ht="15" customHeight="1" x14ac:dyDescent="0.25">
      <c r="A545" s="52" t="s">
        <v>4554</v>
      </c>
      <c r="B545" s="34" t="s">
        <v>59</v>
      </c>
      <c r="C545" s="53">
        <v>2026</v>
      </c>
      <c r="D545" s="53">
        <v>2026</v>
      </c>
      <c r="E545" s="54" t="s">
        <v>3283</v>
      </c>
      <c r="F545" s="55" t="s">
        <v>50</v>
      </c>
      <c r="G545" s="55" t="s">
        <v>50</v>
      </c>
      <c r="H545" s="45" t="s">
        <v>3980</v>
      </c>
      <c r="I545" s="56" t="s">
        <v>52</v>
      </c>
      <c r="J545" s="56" t="s">
        <v>65</v>
      </c>
      <c r="K545" s="56" t="s">
        <v>68</v>
      </c>
      <c r="L545" s="45"/>
      <c r="M545" s="45"/>
      <c r="N545" s="45" t="s">
        <v>110</v>
      </c>
      <c r="O545" s="45"/>
      <c r="P545" s="56" t="s">
        <v>69</v>
      </c>
      <c r="Q545" s="55" t="s">
        <v>57</v>
      </c>
      <c r="R545" s="45"/>
      <c r="S545" s="56" t="s">
        <v>58</v>
      </c>
      <c r="T545" s="55" t="s">
        <v>81</v>
      </c>
      <c r="U545" s="57">
        <v>0.252</v>
      </c>
      <c r="V545" s="57" t="s">
        <v>101</v>
      </c>
      <c r="W545" s="45"/>
      <c r="X545" s="54" t="s">
        <v>4554</v>
      </c>
      <c r="Y545" s="59"/>
      <c r="Z545" s="3" t="s">
        <v>61</v>
      </c>
      <c r="AA545" s="1" t="s">
        <v>3981</v>
      </c>
      <c r="AB545" s="2"/>
      <c r="AC545" s="2"/>
      <c r="AD545" s="3" t="s">
        <v>62</v>
      </c>
      <c r="AE545" s="3" t="s">
        <v>306</v>
      </c>
      <c r="AF545" s="3"/>
      <c r="AG545" s="1" t="s">
        <v>439</v>
      </c>
      <c r="AH545" s="2">
        <v>100</v>
      </c>
      <c r="AI545" s="2"/>
      <c r="AJ545" s="2"/>
      <c r="AK545" s="2"/>
      <c r="AL545" s="59"/>
      <c r="AM545" s="2"/>
      <c r="AN545" s="59"/>
      <c r="AO545" s="2"/>
      <c r="AP545" s="59"/>
      <c r="AQ545" s="2"/>
      <c r="AR545" s="59"/>
      <c r="AS545" s="2"/>
      <c r="AT545" s="59"/>
      <c r="AU545" s="2"/>
      <c r="AV545" s="59"/>
      <c r="AW545" s="2"/>
      <c r="AX545" s="59"/>
      <c r="AY545" s="2"/>
      <c r="AZ545" s="4" t="s">
        <v>1063</v>
      </c>
      <c r="BA545" s="4" t="s">
        <v>3979</v>
      </c>
      <c r="BB545" s="1"/>
      <c r="BC545" s="1"/>
    </row>
    <row r="546" spans="1:55" s="78" customFormat="1" ht="15" customHeight="1" x14ac:dyDescent="0.25">
      <c r="A546" s="52" t="s">
        <v>4555</v>
      </c>
      <c r="B546" s="34" t="s">
        <v>59</v>
      </c>
      <c r="C546" s="53">
        <v>2026</v>
      </c>
      <c r="D546" s="53">
        <v>2026</v>
      </c>
      <c r="E546" s="54" t="s">
        <v>3283</v>
      </c>
      <c r="F546" s="55" t="s">
        <v>50</v>
      </c>
      <c r="G546" s="55" t="s">
        <v>50</v>
      </c>
      <c r="H546" s="45" t="s">
        <v>3980</v>
      </c>
      <c r="I546" s="56" t="s">
        <v>52</v>
      </c>
      <c r="J546" s="45"/>
      <c r="K546" s="55" t="s">
        <v>137</v>
      </c>
      <c r="L546" s="45"/>
      <c r="M546" s="45"/>
      <c r="N546" s="45" t="s">
        <v>110</v>
      </c>
      <c r="O546" s="45"/>
      <c r="P546" s="56" t="s">
        <v>138</v>
      </c>
      <c r="Q546" s="55" t="s">
        <v>57</v>
      </c>
      <c r="R546" s="45"/>
      <c r="S546" s="56" t="s">
        <v>58</v>
      </c>
      <c r="T546" s="55" t="str">
        <f>IF(ISNUMBER(SEARCH(",",N546)),"Y","N")</f>
        <v>N</v>
      </c>
      <c r="U546" s="57">
        <v>17000</v>
      </c>
      <c r="V546" s="57" t="s">
        <v>101</v>
      </c>
      <c r="W546" s="45"/>
      <c r="X546" s="54" t="s">
        <v>4555</v>
      </c>
      <c r="Y546" s="59"/>
      <c r="Z546" s="3" t="s">
        <v>61</v>
      </c>
      <c r="AA546" s="1" t="s">
        <v>3981</v>
      </c>
      <c r="AB546" s="2"/>
      <c r="AC546" s="2"/>
      <c r="AD546" s="3" t="s">
        <v>62</v>
      </c>
      <c r="AE546" s="3" t="s">
        <v>306</v>
      </c>
      <c r="AF546" s="3"/>
      <c r="AG546" s="1" t="s">
        <v>439</v>
      </c>
      <c r="AH546" s="2">
        <v>100</v>
      </c>
      <c r="AI546" s="2"/>
      <c r="AJ546" s="2"/>
      <c r="AK546" s="2"/>
      <c r="AL546" s="59"/>
      <c r="AM546" s="2"/>
      <c r="AN546" s="59"/>
      <c r="AO546" s="2"/>
      <c r="AP546" s="59"/>
      <c r="AQ546" s="2"/>
      <c r="AR546" s="59"/>
      <c r="AS546" s="2"/>
      <c r="AT546" s="59"/>
      <c r="AU546" s="2"/>
      <c r="AV546" s="59"/>
      <c r="AW546" s="2"/>
      <c r="AX546" s="59"/>
      <c r="AY546" s="2"/>
      <c r="AZ546" s="4" t="s">
        <v>1063</v>
      </c>
      <c r="BA546" s="3" t="s">
        <v>3857</v>
      </c>
      <c r="BB546" s="4" t="s">
        <v>3979</v>
      </c>
      <c r="BC546" s="1"/>
    </row>
    <row r="547" spans="1:55" s="78" customFormat="1" ht="15" customHeight="1" x14ac:dyDescent="0.25">
      <c r="A547" s="52" t="s">
        <v>4556</v>
      </c>
      <c r="B547" s="34" t="s">
        <v>59</v>
      </c>
      <c r="C547" s="53">
        <v>2026</v>
      </c>
      <c r="D547" s="53">
        <v>2026</v>
      </c>
      <c r="E547" s="54" t="s">
        <v>3284</v>
      </c>
      <c r="F547" s="55" t="s">
        <v>50</v>
      </c>
      <c r="G547" s="55" t="s">
        <v>50</v>
      </c>
      <c r="H547" s="45" t="s">
        <v>1410</v>
      </c>
      <c r="I547" s="45" t="s">
        <v>52</v>
      </c>
      <c r="J547" s="56"/>
      <c r="K547" s="45" t="s">
        <v>859</v>
      </c>
      <c r="L547" s="55"/>
      <c r="M547" s="55" t="s">
        <v>113</v>
      </c>
      <c r="N547" s="55" t="s">
        <v>55</v>
      </c>
      <c r="O547" s="55" t="s">
        <v>1411</v>
      </c>
      <c r="P547" s="55" t="s">
        <v>861</v>
      </c>
      <c r="Q547" s="56" t="s">
        <v>57</v>
      </c>
      <c r="R547" s="55"/>
      <c r="S547" s="56" t="s">
        <v>81</v>
      </c>
      <c r="T547" s="55" t="s">
        <v>58</v>
      </c>
      <c r="U547" s="57">
        <v>-999</v>
      </c>
      <c r="V547" s="57" t="s">
        <v>59</v>
      </c>
      <c r="W547" s="55" t="s">
        <v>2319</v>
      </c>
      <c r="X547" s="54" t="s">
        <v>4556</v>
      </c>
      <c r="Y547" s="52"/>
      <c r="Z547" s="3" t="s">
        <v>61</v>
      </c>
      <c r="AA547" s="3" t="s">
        <v>1412</v>
      </c>
      <c r="AB547" s="3"/>
      <c r="AC547" s="3"/>
      <c r="AD547" s="3" t="s">
        <v>62</v>
      </c>
      <c r="AE547" s="3" t="s">
        <v>131</v>
      </c>
      <c r="AF547" s="3"/>
      <c r="AG547" s="3" t="s">
        <v>1141</v>
      </c>
      <c r="AH547" s="58">
        <v>100</v>
      </c>
      <c r="AI547" s="3"/>
      <c r="AJ547" s="3"/>
      <c r="AK547" s="3"/>
      <c r="AL547" s="3"/>
      <c r="AM547" s="3"/>
      <c r="AN547" s="3"/>
      <c r="AO547" s="3"/>
      <c r="AP547" s="3"/>
      <c r="AQ547" s="3"/>
      <c r="AR547" s="3"/>
      <c r="AS547" s="3"/>
      <c r="AT547" s="3"/>
      <c r="AU547" s="3"/>
      <c r="AV547" s="3"/>
      <c r="AW547" s="3"/>
      <c r="AX547" s="3"/>
      <c r="AY547" s="3"/>
      <c r="AZ547" s="4" t="s">
        <v>1409</v>
      </c>
      <c r="BA547" s="32"/>
      <c r="BB547" s="1"/>
      <c r="BC547" s="1"/>
    </row>
    <row r="548" spans="1:55" s="78" customFormat="1" ht="15" customHeight="1" x14ac:dyDescent="0.25">
      <c r="A548" s="52" t="s">
        <v>4557</v>
      </c>
      <c r="B548" s="34" t="s">
        <v>59</v>
      </c>
      <c r="C548" s="53">
        <v>2026</v>
      </c>
      <c r="D548" s="53">
        <v>2026</v>
      </c>
      <c r="E548" s="54" t="s">
        <v>3285</v>
      </c>
      <c r="F548" s="55" t="s">
        <v>50</v>
      </c>
      <c r="G548" s="55" t="s">
        <v>50</v>
      </c>
      <c r="H548" s="45" t="s">
        <v>1414</v>
      </c>
      <c r="I548" s="56" t="s">
        <v>78</v>
      </c>
      <c r="J548" s="56"/>
      <c r="K548" s="55" t="s">
        <v>71</v>
      </c>
      <c r="L548" s="55"/>
      <c r="M548" s="55"/>
      <c r="N548" s="55" t="s">
        <v>181</v>
      </c>
      <c r="O548" s="55"/>
      <c r="P548" s="55" t="s">
        <v>73</v>
      </c>
      <c r="Q548" s="55" t="s">
        <v>57</v>
      </c>
      <c r="R548" s="55"/>
      <c r="S548" s="56" t="s">
        <v>58</v>
      </c>
      <c r="T548" s="55" t="str">
        <f>IF(ISNUMBER(SEARCH(",",N548)),"Y","N")</f>
        <v>N</v>
      </c>
      <c r="U548" s="57">
        <v>-999</v>
      </c>
      <c r="V548" s="57" t="s">
        <v>59</v>
      </c>
      <c r="W548" s="55" t="s">
        <v>2797</v>
      </c>
      <c r="X548" s="54" t="s">
        <v>4557</v>
      </c>
      <c r="Y548" s="52"/>
      <c r="Z548" s="3" t="s">
        <v>61</v>
      </c>
      <c r="AA548" s="3" t="s">
        <v>1415</v>
      </c>
      <c r="AB548" s="3"/>
      <c r="AC548" s="3"/>
      <c r="AD548" s="3" t="s">
        <v>62</v>
      </c>
      <c r="AE548" s="3" t="s">
        <v>83</v>
      </c>
      <c r="AF548" s="3" t="s">
        <v>1416</v>
      </c>
      <c r="AG548" s="3" t="s">
        <v>1416</v>
      </c>
      <c r="AH548" s="58"/>
      <c r="AI548" s="3"/>
      <c r="AJ548" s="3"/>
      <c r="AK548" s="3"/>
      <c r="AL548" s="3"/>
      <c r="AM548" s="3"/>
      <c r="AN548" s="3"/>
      <c r="AO548" s="3"/>
      <c r="AP548" s="3"/>
      <c r="AQ548" s="3"/>
      <c r="AR548" s="3"/>
      <c r="AS548" s="3"/>
      <c r="AT548" s="3"/>
      <c r="AU548" s="3"/>
      <c r="AV548" s="3"/>
      <c r="AW548" s="3"/>
      <c r="AX548" s="3"/>
      <c r="AY548" s="3"/>
      <c r="AZ548" s="4" t="s">
        <v>1413</v>
      </c>
      <c r="BA548" s="32"/>
      <c r="BB548" s="1"/>
      <c r="BC548" s="1"/>
    </row>
    <row r="549" spans="1:55" s="78" customFormat="1" ht="15" customHeight="1" x14ac:dyDescent="0.25">
      <c r="A549" s="52" t="s">
        <v>4558</v>
      </c>
      <c r="B549" s="34" t="s">
        <v>59</v>
      </c>
      <c r="C549" s="53">
        <v>2026</v>
      </c>
      <c r="D549" s="53">
        <v>2026</v>
      </c>
      <c r="E549" s="54" t="s">
        <v>3285</v>
      </c>
      <c r="F549" s="55" t="s">
        <v>50</v>
      </c>
      <c r="G549" s="55" t="s">
        <v>50</v>
      </c>
      <c r="H549" s="45" t="s">
        <v>1414</v>
      </c>
      <c r="I549" s="56" t="s">
        <v>78</v>
      </c>
      <c r="J549" s="56"/>
      <c r="K549" s="55" t="s">
        <v>74</v>
      </c>
      <c r="L549" s="55" t="str">
        <f>IF(K549="Mines and Quarries","Mine","")</f>
        <v/>
      </c>
      <c r="M549" s="55"/>
      <c r="N549" s="55" t="s">
        <v>181</v>
      </c>
      <c r="O549" s="55"/>
      <c r="P549" s="55" t="s">
        <v>75</v>
      </c>
      <c r="Q549" s="56" t="s">
        <v>57</v>
      </c>
      <c r="R549" s="55"/>
      <c r="S549" s="56" t="s">
        <v>58</v>
      </c>
      <c r="T549" s="55" t="str">
        <f>IF(ISNUMBER(SEARCH(",",N549)),"Y","N")</f>
        <v>N</v>
      </c>
      <c r="U549" s="57">
        <v>-999</v>
      </c>
      <c r="V549" s="57" t="s">
        <v>59</v>
      </c>
      <c r="W549" s="55" t="s">
        <v>2797</v>
      </c>
      <c r="X549" s="54" t="s">
        <v>4558</v>
      </c>
      <c r="Y549" s="52"/>
      <c r="Z549" s="3" t="s">
        <v>61</v>
      </c>
      <c r="AA549" s="3" t="s">
        <v>1417</v>
      </c>
      <c r="AB549" s="3"/>
      <c r="AC549" s="3"/>
      <c r="AD549" s="3" t="s">
        <v>62</v>
      </c>
      <c r="AE549" s="3" t="s">
        <v>83</v>
      </c>
      <c r="AF549" s="3" t="s">
        <v>1416</v>
      </c>
      <c r="AG549" s="3" t="s">
        <v>1416</v>
      </c>
      <c r="AH549" s="58"/>
      <c r="AI549" s="3"/>
      <c r="AJ549" s="3"/>
      <c r="AK549" s="3"/>
      <c r="AL549" s="3"/>
      <c r="AM549" s="3"/>
      <c r="AN549" s="3"/>
      <c r="AO549" s="3"/>
      <c r="AP549" s="3"/>
      <c r="AQ549" s="3"/>
      <c r="AR549" s="3"/>
      <c r="AS549" s="3"/>
      <c r="AT549" s="3"/>
      <c r="AU549" s="3"/>
      <c r="AV549" s="3"/>
      <c r="AW549" s="3"/>
      <c r="AX549" s="3"/>
      <c r="AY549" s="3"/>
      <c r="AZ549" s="4" t="s">
        <v>1413</v>
      </c>
      <c r="BA549" s="32"/>
      <c r="BB549" s="1"/>
      <c r="BC549" s="1"/>
    </row>
    <row r="550" spans="1:55" s="78" customFormat="1" ht="15" customHeight="1" x14ac:dyDescent="0.25">
      <c r="A550" s="52" t="s">
        <v>4559</v>
      </c>
      <c r="B550" s="34" t="s">
        <v>59</v>
      </c>
      <c r="C550" s="53">
        <v>2026</v>
      </c>
      <c r="D550" s="53">
        <v>2026</v>
      </c>
      <c r="E550" s="54" t="s">
        <v>3286</v>
      </c>
      <c r="F550" s="55" t="s">
        <v>50</v>
      </c>
      <c r="G550" s="55" t="s">
        <v>50</v>
      </c>
      <c r="H550" s="45" t="s">
        <v>1418</v>
      </c>
      <c r="I550" s="56" t="s">
        <v>52</v>
      </c>
      <c r="J550" s="56"/>
      <c r="K550" s="55" t="s">
        <v>74</v>
      </c>
      <c r="L550" s="55" t="str">
        <f>IF(K550="Mines and Quarries","Mine","")</f>
        <v/>
      </c>
      <c r="M550" s="55"/>
      <c r="N550" s="55" t="s">
        <v>110</v>
      </c>
      <c r="O550" s="56" t="s">
        <v>296</v>
      </c>
      <c r="P550" s="55" t="s">
        <v>75</v>
      </c>
      <c r="Q550" s="56" t="s">
        <v>57</v>
      </c>
      <c r="R550" s="55"/>
      <c r="S550" s="56" t="s">
        <v>58</v>
      </c>
      <c r="T550" s="55" t="str">
        <f>IF(ISNUMBER(SEARCH(",",N550)),"Y","N")</f>
        <v>N</v>
      </c>
      <c r="U550" s="57">
        <v>287</v>
      </c>
      <c r="V550" s="57" t="s">
        <v>101</v>
      </c>
      <c r="W550" s="55"/>
      <c r="X550" s="54" t="s">
        <v>4559</v>
      </c>
      <c r="Y550" s="52"/>
      <c r="Z550" s="3" t="s">
        <v>61</v>
      </c>
      <c r="AA550" s="3" t="s">
        <v>1417</v>
      </c>
      <c r="AB550" s="3"/>
      <c r="AC550" s="3"/>
      <c r="AD550" s="3" t="s">
        <v>62</v>
      </c>
      <c r="AE550" s="3" t="s">
        <v>83</v>
      </c>
      <c r="AF550" s="3" t="s">
        <v>1416</v>
      </c>
      <c r="AG550" s="3" t="s">
        <v>1416</v>
      </c>
      <c r="AH550" s="58"/>
      <c r="AI550" s="3"/>
      <c r="AJ550" s="3"/>
      <c r="AK550" s="3"/>
      <c r="AL550" s="3"/>
      <c r="AM550" s="3"/>
      <c r="AN550" s="3"/>
      <c r="AO550" s="3"/>
      <c r="AP550" s="3"/>
      <c r="AQ550" s="3"/>
      <c r="AR550" s="3"/>
      <c r="AS550" s="3"/>
      <c r="AT550" s="3"/>
      <c r="AU550" s="3"/>
      <c r="AV550" s="3"/>
      <c r="AW550" s="3"/>
      <c r="AX550" s="3"/>
      <c r="AY550" s="3"/>
      <c r="AZ550" s="4" t="s">
        <v>1413</v>
      </c>
      <c r="BA550" s="32"/>
      <c r="BB550" s="1"/>
      <c r="BC550" s="1"/>
    </row>
    <row r="551" spans="1:55" s="78" customFormat="1" ht="15" customHeight="1" x14ac:dyDescent="0.25">
      <c r="A551" s="52" t="s">
        <v>4560</v>
      </c>
      <c r="B551" s="34" t="s">
        <v>59</v>
      </c>
      <c r="C551" s="53">
        <v>2026</v>
      </c>
      <c r="D551" s="53">
        <v>2026</v>
      </c>
      <c r="E551" s="54" t="s">
        <v>3286</v>
      </c>
      <c r="F551" s="55" t="s">
        <v>50</v>
      </c>
      <c r="G551" s="55" t="s">
        <v>50</v>
      </c>
      <c r="H551" s="45" t="s">
        <v>1418</v>
      </c>
      <c r="I551" s="56" t="s">
        <v>52</v>
      </c>
      <c r="J551" s="56"/>
      <c r="K551" s="55" t="s">
        <v>71</v>
      </c>
      <c r="L551" s="55" t="str">
        <f>IF(K551="Mine or Quarry","Mine","")</f>
        <v/>
      </c>
      <c r="M551" s="55"/>
      <c r="N551" s="55" t="s">
        <v>110</v>
      </c>
      <c r="O551" s="45" t="s">
        <v>296</v>
      </c>
      <c r="P551" s="55" t="s">
        <v>73</v>
      </c>
      <c r="Q551" s="55" t="s">
        <v>57</v>
      </c>
      <c r="R551" s="55"/>
      <c r="S551" s="56" t="s">
        <v>58</v>
      </c>
      <c r="T551" s="55" t="str">
        <f>IF(ISNUMBER(SEARCH(",",N551)),"Y","N")</f>
        <v>N</v>
      </c>
      <c r="U551" s="57">
        <v>6.492</v>
      </c>
      <c r="V551" s="57" t="s">
        <v>101</v>
      </c>
      <c r="W551" s="55"/>
      <c r="X551" s="54" t="s">
        <v>4560</v>
      </c>
      <c r="Y551" s="52"/>
      <c r="Z551" s="3" t="s">
        <v>61</v>
      </c>
      <c r="AA551" s="3" t="s">
        <v>1415</v>
      </c>
      <c r="AB551" s="3"/>
      <c r="AC551" s="3"/>
      <c r="AD551" s="3" t="s">
        <v>62</v>
      </c>
      <c r="AE551" s="3" t="s">
        <v>83</v>
      </c>
      <c r="AF551" s="3" t="s">
        <v>1416</v>
      </c>
      <c r="AG551" s="3" t="s">
        <v>1416</v>
      </c>
      <c r="AH551" s="58"/>
      <c r="AI551" s="3"/>
      <c r="AJ551" s="3"/>
      <c r="AK551" s="3"/>
      <c r="AL551" s="3"/>
      <c r="AM551" s="3"/>
      <c r="AN551" s="3"/>
      <c r="AO551" s="3"/>
      <c r="AP551" s="3"/>
      <c r="AQ551" s="3"/>
      <c r="AR551" s="3"/>
      <c r="AS551" s="3"/>
      <c r="AT551" s="3"/>
      <c r="AU551" s="3"/>
      <c r="AV551" s="3"/>
      <c r="AW551" s="3"/>
      <c r="AX551" s="3"/>
      <c r="AY551" s="3"/>
      <c r="AZ551" s="4" t="s">
        <v>1413</v>
      </c>
      <c r="BA551" s="32"/>
      <c r="BB551" s="1"/>
      <c r="BC551" s="1"/>
    </row>
    <row r="552" spans="1:55" s="78" customFormat="1" ht="15" customHeight="1" x14ac:dyDescent="0.25">
      <c r="A552" s="52" t="s">
        <v>4561</v>
      </c>
      <c r="B552" s="34" t="s">
        <v>59</v>
      </c>
      <c r="C552" s="53">
        <v>2026</v>
      </c>
      <c r="D552" s="53">
        <v>2026</v>
      </c>
      <c r="E552" s="54" t="s">
        <v>3287</v>
      </c>
      <c r="F552" s="55" t="s">
        <v>50</v>
      </c>
      <c r="G552" s="55" t="s">
        <v>50</v>
      </c>
      <c r="H552" s="45" t="s">
        <v>1419</v>
      </c>
      <c r="I552" s="56" t="s">
        <v>52</v>
      </c>
      <c r="J552" s="56"/>
      <c r="K552" s="56" t="s">
        <v>1019</v>
      </c>
      <c r="L552" s="55"/>
      <c r="M552" s="55"/>
      <c r="N552" s="56"/>
      <c r="O552" s="56" t="s">
        <v>1020</v>
      </c>
      <c r="P552" s="56" t="s">
        <v>89</v>
      </c>
      <c r="Q552" s="56" t="s">
        <v>89</v>
      </c>
      <c r="R552" s="55"/>
      <c r="S552" s="56" t="s">
        <v>81</v>
      </c>
      <c r="T552" s="55" t="s">
        <v>81</v>
      </c>
      <c r="U552" s="57">
        <v>-999</v>
      </c>
      <c r="V552" s="57" t="s">
        <v>59</v>
      </c>
      <c r="W552" s="55" t="s">
        <v>2319</v>
      </c>
      <c r="X552" s="54" t="s">
        <v>4561</v>
      </c>
      <c r="Y552" s="52"/>
      <c r="Z552" s="1" t="s">
        <v>61</v>
      </c>
      <c r="AA552" s="1" t="s">
        <v>1420</v>
      </c>
      <c r="AB552" s="1"/>
      <c r="AC552" s="1"/>
      <c r="AD552" s="3" t="s">
        <v>62</v>
      </c>
      <c r="AE552" s="1" t="s">
        <v>506</v>
      </c>
      <c r="AF552" s="1" t="s">
        <v>1022</v>
      </c>
      <c r="AG552" s="1" t="s">
        <v>1023</v>
      </c>
      <c r="AH552" s="2">
        <v>100</v>
      </c>
      <c r="AI552" s="1"/>
      <c r="AJ552" s="1"/>
      <c r="AK552" s="1"/>
      <c r="AL552" s="1"/>
      <c r="AM552" s="1"/>
      <c r="AN552" s="1"/>
      <c r="AO552" s="1"/>
      <c r="AP552" s="1"/>
      <c r="AQ552" s="1"/>
      <c r="AR552" s="1"/>
      <c r="AS552" s="1"/>
      <c r="AT552" s="1"/>
      <c r="AU552" s="1"/>
      <c r="AV552" s="1"/>
      <c r="AW552" s="1"/>
      <c r="AX552" s="1"/>
      <c r="AY552" s="1"/>
      <c r="AZ552" s="4" t="s">
        <v>1017</v>
      </c>
      <c r="BA552" s="1"/>
      <c r="BB552" s="1"/>
      <c r="BC552" s="1"/>
    </row>
    <row r="553" spans="1:55" s="78" customFormat="1" ht="15" customHeight="1" x14ac:dyDescent="0.25">
      <c r="A553" s="52" t="s">
        <v>4562</v>
      </c>
      <c r="B553" s="34" t="s">
        <v>59</v>
      </c>
      <c r="C553" s="53">
        <v>2026</v>
      </c>
      <c r="D553" s="53">
        <v>2026</v>
      </c>
      <c r="E553" s="54" t="s">
        <v>3288</v>
      </c>
      <c r="F553" s="55" t="s">
        <v>50</v>
      </c>
      <c r="G553" s="55" t="s">
        <v>50</v>
      </c>
      <c r="H553" s="45" t="s">
        <v>3342</v>
      </c>
      <c r="I553" s="56" t="s">
        <v>52</v>
      </c>
      <c r="J553" s="56" t="s">
        <v>291</v>
      </c>
      <c r="K553" s="55" t="s">
        <v>291</v>
      </c>
      <c r="L553" s="55"/>
      <c r="M553" s="55"/>
      <c r="N553" s="56" t="s">
        <v>300</v>
      </c>
      <c r="O553" s="55"/>
      <c r="P553" s="56" t="s">
        <v>89</v>
      </c>
      <c r="Q553" s="56" t="s">
        <v>89</v>
      </c>
      <c r="R553" s="55"/>
      <c r="S553" s="56" t="s">
        <v>81</v>
      </c>
      <c r="T553" s="55" t="s">
        <v>58</v>
      </c>
      <c r="U553" s="57">
        <v>-999</v>
      </c>
      <c r="V553" s="57" t="s">
        <v>59</v>
      </c>
      <c r="W553" s="55" t="s">
        <v>2319</v>
      </c>
      <c r="X553" s="54" t="s">
        <v>4562</v>
      </c>
      <c r="Y553" s="52"/>
      <c r="Z553" s="3" t="s">
        <v>61</v>
      </c>
      <c r="AA553" s="3" t="s">
        <v>1576</v>
      </c>
      <c r="AB553" s="3"/>
      <c r="AC553" s="3"/>
      <c r="AD553" s="3" t="s">
        <v>62</v>
      </c>
      <c r="AE553" s="3" t="s">
        <v>506</v>
      </c>
      <c r="AF553" s="3"/>
      <c r="AG553" s="3" t="s">
        <v>728</v>
      </c>
      <c r="AH553" s="58">
        <v>100</v>
      </c>
      <c r="AI553" s="3"/>
      <c r="AJ553" s="3"/>
      <c r="AK553" s="3"/>
      <c r="AL553" s="3"/>
      <c r="AM553" s="3"/>
      <c r="AN553" s="3"/>
      <c r="AO553" s="3"/>
      <c r="AP553" s="3"/>
      <c r="AQ553" s="3"/>
      <c r="AR553" s="3"/>
      <c r="AS553" s="3"/>
      <c r="AT553" s="3"/>
      <c r="AU553" s="3"/>
      <c r="AV553" s="3"/>
      <c r="AW553" s="3"/>
      <c r="AX553" s="3"/>
      <c r="AY553" s="3"/>
      <c r="AZ553" s="4" t="s">
        <v>725</v>
      </c>
      <c r="BA553" s="3"/>
      <c r="BB553" s="1"/>
      <c r="BC553" s="1"/>
    </row>
    <row r="554" spans="1:55" s="78" customFormat="1" ht="15" customHeight="1" x14ac:dyDescent="0.25">
      <c r="A554" s="52" t="s">
        <v>4563</v>
      </c>
      <c r="B554" s="34" t="s">
        <v>59</v>
      </c>
      <c r="C554" s="53">
        <v>2026</v>
      </c>
      <c r="D554" s="53">
        <v>2026</v>
      </c>
      <c r="E554" s="54" t="s">
        <v>3289</v>
      </c>
      <c r="F554" s="55" t="s">
        <v>50</v>
      </c>
      <c r="G554" s="55" t="s">
        <v>50</v>
      </c>
      <c r="H554" s="45" t="s">
        <v>1422</v>
      </c>
      <c r="I554" s="56" t="s">
        <v>78</v>
      </c>
      <c r="J554" s="56"/>
      <c r="K554" s="55" t="s">
        <v>71</v>
      </c>
      <c r="L554" s="55" t="s">
        <v>88</v>
      </c>
      <c r="M554" s="55"/>
      <c r="N554" s="55" t="s">
        <v>110</v>
      </c>
      <c r="O554" s="55"/>
      <c r="P554" s="55" t="s">
        <v>73</v>
      </c>
      <c r="Q554" s="55" t="s">
        <v>57</v>
      </c>
      <c r="R554" s="55"/>
      <c r="S554" s="56" t="s">
        <v>81</v>
      </c>
      <c r="T554" s="55" t="str">
        <f>IF(ISNUMBER(SEARCH(",",N554)),"Y","N")</f>
        <v>N</v>
      </c>
      <c r="U554" s="73">
        <v>0.28000000000000003</v>
      </c>
      <c r="V554" s="57" t="s">
        <v>101</v>
      </c>
      <c r="W554" s="55" t="s">
        <v>2319</v>
      </c>
      <c r="X554" s="54" t="s">
        <v>4563</v>
      </c>
      <c r="Y554" s="52"/>
      <c r="Z554" s="3" t="s">
        <v>61</v>
      </c>
      <c r="AA554" s="3" t="s">
        <v>1424</v>
      </c>
      <c r="AB554" s="3"/>
      <c r="AC554" s="3"/>
      <c r="AD554" s="3" t="s">
        <v>62</v>
      </c>
      <c r="AE554" s="3" t="s">
        <v>336</v>
      </c>
      <c r="AF554" s="3"/>
      <c r="AG554" s="3" t="s">
        <v>156</v>
      </c>
      <c r="AH554" s="58">
        <v>100</v>
      </c>
      <c r="AI554" s="3"/>
      <c r="AJ554" s="3"/>
      <c r="AK554" s="3"/>
      <c r="AL554" s="3"/>
      <c r="AM554" s="3"/>
      <c r="AN554" s="3"/>
      <c r="AO554" s="3"/>
      <c r="AP554" s="3"/>
      <c r="AQ554" s="3"/>
      <c r="AR554" s="3"/>
      <c r="AS554" s="3"/>
      <c r="AT554" s="3"/>
      <c r="AU554" s="3"/>
      <c r="AV554" s="3"/>
      <c r="AW554" s="3"/>
      <c r="AX554" s="3"/>
      <c r="AY554" s="3"/>
      <c r="AZ554" s="4" t="s">
        <v>1421</v>
      </c>
      <c r="BA554" s="3"/>
      <c r="BB554" s="1"/>
      <c r="BC554" s="1"/>
    </row>
    <row r="555" spans="1:55" s="78" customFormat="1" ht="15" customHeight="1" x14ac:dyDescent="0.25">
      <c r="A555" s="52" t="s">
        <v>4564</v>
      </c>
      <c r="B555" s="34" t="s">
        <v>59</v>
      </c>
      <c r="C555" s="53">
        <v>2026</v>
      </c>
      <c r="D555" s="53">
        <v>2026</v>
      </c>
      <c r="E555" s="54" t="s">
        <v>3291</v>
      </c>
      <c r="F555" s="55" t="s">
        <v>50</v>
      </c>
      <c r="G555" s="55" t="s">
        <v>50</v>
      </c>
      <c r="H555" s="45" t="s">
        <v>1428</v>
      </c>
      <c r="I555" s="56" t="s">
        <v>78</v>
      </c>
      <c r="J555" s="56"/>
      <c r="K555" s="56" t="s">
        <v>126</v>
      </c>
      <c r="L555" s="55" t="s">
        <v>88</v>
      </c>
      <c r="M555" s="55"/>
      <c r="N555" s="55" t="s">
        <v>110</v>
      </c>
      <c r="O555" s="55"/>
      <c r="P555" s="55" t="s">
        <v>129</v>
      </c>
      <c r="Q555" s="56" t="s">
        <v>57</v>
      </c>
      <c r="R555" s="55"/>
      <c r="S555" s="56" t="s">
        <v>58</v>
      </c>
      <c r="T555" s="55" t="str">
        <f>IF(ISNUMBER(SEARCH(",",N555)),"Y","N")</f>
        <v>N</v>
      </c>
      <c r="U555" s="57">
        <v>1915</v>
      </c>
      <c r="V555" s="57" t="s">
        <v>101</v>
      </c>
      <c r="W555" s="55" t="s">
        <v>2319</v>
      </c>
      <c r="X555" s="54" t="s">
        <v>4564</v>
      </c>
      <c r="Y555" s="52"/>
      <c r="Z555" s="1" t="s">
        <v>154</v>
      </c>
      <c r="AA555" s="3" t="s">
        <v>1426</v>
      </c>
      <c r="AB555" s="3"/>
      <c r="AC555" s="3"/>
      <c r="AD555" s="3" t="s">
        <v>62</v>
      </c>
      <c r="AE555" s="1" t="s">
        <v>336</v>
      </c>
      <c r="AF555" s="1"/>
      <c r="AG555" s="3" t="s">
        <v>1427</v>
      </c>
      <c r="AH555" s="58">
        <v>100</v>
      </c>
      <c r="AI555" s="3"/>
      <c r="AJ555" s="3"/>
      <c r="AK555" s="3"/>
      <c r="AL555" s="3"/>
      <c r="AM555" s="3"/>
      <c r="AN555" s="3"/>
      <c r="AO555" s="3"/>
      <c r="AP555" s="3"/>
      <c r="AQ555" s="3"/>
      <c r="AR555" s="3"/>
      <c r="AS555" s="3"/>
      <c r="AT555" s="3"/>
      <c r="AU555" s="3"/>
      <c r="AV555" s="3"/>
      <c r="AW555" s="3"/>
      <c r="AX555" s="3"/>
      <c r="AY555" s="3"/>
      <c r="AZ555" s="2" t="s">
        <v>1425</v>
      </c>
      <c r="BA555" s="3"/>
      <c r="BB555" s="1"/>
      <c r="BC555" s="1"/>
    </row>
    <row r="556" spans="1:55" s="78" customFormat="1" ht="15" customHeight="1" x14ac:dyDescent="0.25">
      <c r="A556" s="52" t="s">
        <v>4565</v>
      </c>
      <c r="B556" s="34" t="s">
        <v>59</v>
      </c>
      <c r="C556" s="53">
        <v>2026</v>
      </c>
      <c r="D556" s="53">
        <v>2026</v>
      </c>
      <c r="E556" s="54" t="s">
        <v>3292</v>
      </c>
      <c r="F556" s="55" t="s">
        <v>50</v>
      </c>
      <c r="G556" s="55" t="s">
        <v>50</v>
      </c>
      <c r="H556" s="45" t="s">
        <v>1430</v>
      </c>
      <c r="I556" s="56" t="s">
        <v>78</v>
      </c>
      <c r="J556" s="56"/>
      <c r="K556" s="56" t="s">
        <v>313</v>
      </c>
      <c r="L556" s="56" t="s">
        <v>88</v>
      </c>
      <c r="M556" s="56"/>
      <c r="N556" s="55" t="s">
        <v>110</v>
      </c>
      <c r="O556" s="56"/>
      <c r="P556" s="56" t="s">
        <v>314</v>
      </c>
      <c r="Q556" s="61" t="s">
        <v>57</v>
      </c>
      <c r="R556" s="56"/>
      <c r="S556" s="56" t="s">
        <v>58</v>
      </c>
      <c r="T556" s="56" t="s">
        <v>81</v>
      </c>
      <c r="U556" s="57">
        <v>1</v>
      </c>
      <c r="V556" s="57" t="s">
        <v>101</v>
      </c>
      <c r="W556" s="55" t="s">
        <v>2319</v>
      </c>
      <c r="X556" s="54" t="s">
        <v>4565</v>
      </c>
      <c r="Y556" s="52"/>
      <c r="Z556" s="3" t="s">
        <v>154</v>
      </c>
      <c r="AA556" s="3" t="s">
        <v>852</v>
      </c>
      <c r="AB556" s="3"/>
      <c r="AC556" s="3"/>
      <c r="AD556" s="3" t="s">
        <v>62</v>
      </c>
      <c r="AE556" s="3" t="s">
        <v>336</v>
      </c>
      <c r="AF556" s="1" t="s">
        <v>1431</v>
      </c>
      <c r="AG556" s="1" t="s">
        <v>1431</v>
      </c>
      <c r="AH556" s="2">
        <v>100</v>
      </c>
      <c r="AI556" s="1"/>
      <c r="AJ556" s="60"/>
      <c r="AK556" s="1"/>
      <c r="AL556" s="1"/>
      <c r="AM556" s="1"/>
      <c r="AN556" s="1"/>
      <c r="AO556" s="1"/>
      <c r="AP556" s="1"/>
      <c r="AQ556" s="1"/>
      <c r="AR556" s="1"/>
      <c r="AS556" s="1"/>
      <c r="AT556" s="1"/>
      <c r="AU556" s="1"/>
      <c r="AV556" s="1"/>
      <c r="AW556" s="1"/>
      <c r="AX556" s="1"/>
      <c r="AY556" s="1"/>
      <c r="AZ556" s="5" t="s">
        <v>1429</v>
      </c>
      <c r="BA556" s="5"/>
      <c r="BB556" s="1"/>
      <c r="BC556" s="1"/>
    </row>
    <row r="557" spans="1:55" s="78" customFormat="1" ht="15" customHeight="1" x14ac:dyDescent="0.25">
      <c r="A557" s="52" t="s">
        <v>4566</v>
      </c>
      <c r="B557" s="34" t="s">
        <v>59</v>
      </c>
      <c r="C557" s="53">
        <v>2026</v>
      </c>
      <c r="D557" s="53">
        <v>2026</v>
      </c>
      <c r="E557" s="54" t="s">
        <v>3292</v>
      </c>
      <c r="F557" s="55" t="s">
        <v>50</v>
      </c>
      <c r="G557" s="55" t="s">
        <v>50</v>
      </c>
      <c r="H557" s="45" t="s">
        <v>1430</v>
      </c>
      <c r="I557" s="56" t="s">
        <v>78</v>
      </c>
      <c r="J557" s="56"/>
      <c r="K557" s="56" t="s">
        <v>74</v>
      </c>
      <c r="L557" s="56" t="s">
        <v>88</v>
      </c>
      <c r="M557" s="56"/>
      <c r="N557" s="55" t="s">
        <v>110</v>
      </c>
      <c r="O557" s="56"/>
      <c r="P557" s="56" t="s">
        <v>75</v>
      </c>
      <c r="Q557" s="56" t="s">
        <v>57</v>
      </c>
      <c r="R557" s="56"/>
      <c r="S557" s="56" t="s">
        <v>58</v>
      </c>
      <c r="T557" s="56" t="s">
        <v>81</v>
      </c>
      <c r="U557" s="57">
        <v>1E-3</v>
      </c>
      <c r="V557" s="57" t="s">
        <v>101</v>
      </c>
      <c r="W557" s="55" t="s">
        <v>2319</v>
      </c>
      <c r="X557" s="54" t="s">
        <v>4566</v>
      </c>
      <c r="Y557" s="52"/>
      <c r="Z557" s="3" t="s">
        <v>154</v>
      </c>
      <c r="AA557" s="3" t="s">
        <v>852</v>
      </c>
      <c r="AB557" s="3"/>
      <c r="AC557" s="3"/>
      <c r="AD557" s="3" t="s">
        <v>62</v>
      </c>
      <c r="AE557" s="3" t="s">
        <v>336</v>
      </c>
      <c r="AF557" s="1" t="s">
        <v>1431</v>
      </c>
      <c r="AG557" s="1" t="s">
        <v>1431</v>
      </c>
      <c r="AH557" s="2">
        <v>100</v>
      </c>
      <c r="AI557" s="1"/>
      <c r="AJ557" s="60"/>
      <c r="AK557" s="1"/>
      <c r="AL557" s="1"/>
      <c r="AM557" s="1"/>
      <c r="AN557" s="1"/>
      <c r="AO557" s="1"/>
      <c r="AP557" s="1"/>
      <c r="AQ557" s="1"/>
      <c r="AR557" s="1"/>
      <c r="AS557" s="1"/>
      <c r="AT557" s="1"/>
      <c r="AU557" s="1"/>
      <c r="AV557" s="1"/>
      <c r="AW557" s="1"/>
      <c r="AX557" s="1"/>
      <c r="AY557" s="1"/>
      <c r="AZ557" s="5" t="s">
        <v>1429</v>
      </c>
      <c r="BA557" s="5"/>
      <c r="BB557" s="1"/>
      <c r="BC557" s="1"/>
    </row>
    <row r="558" spans="1:55" s="78" customFormat="1" ht="15" customHeight="1" x14ac:dyDescent="0.25">
      <c r="A558" s="52" t="s">
        <v>4567</v>
      </c>
      <c r="B558" s="34" t="s">
        <v>59</v>
      </c>
      <c r="C558" s="53">
        <v>2026</v>
      </c>
      <c r="D558" s="53">
        <v>2026</v>
      </c>
      <c r="E558" s="54" t="s">
        <v>3292</v>
      </c>
      <c r="F558" s="55" t="s">
        <v>50</v>
      </c>
      <c r="G558" s="55" t="s">
        <v>50</v>
      </c>
      <c r="H558" s="45" t="s">
        <v>1430</v>
      </c>
      <c r="I558" s="56" t="s">
        <v>78</v>
      </c>
      <c r="J558" s="56"/>
      <c r="K558" s="56" t="s">
        <v>582</v>
      </c>
      <c r="L558" s="56" t="s">
        <v>88</v>
      </c>
      <c r="M558" s="56"/>
      <c r="N558" s="55" t="s">
        <v>110</v>
      </c>
      <c r="O558" s="56"/>
      <c r="P558" s="56" t="s">
        <v>583</v>
      </c>
      <c r="Q558" s="61" t="s">
        <v>57</v>
      </c>
      <c r="R558" s="56"/>
      <c r="S558" s="56" t="s">
        <v>58</v>
      </c>
      <c r="T558" s="56" t="s">
        <v>81</v>
      </c>
      <c r="U558" s="57">
        <v>28</v>
      </c>
      <c r="V558" s="57" t="s">
        <v>101</v>
      </c>
      <c r="W558" s="55" t="s">
        <v>2319</v>
      </c>
      <c r="X558" s="54" t="s">
        <v>4567</v>
      </c>
      <c r="Y558" s="52"/>
      <c r="Z558" s="3" t="s">
        <v>154</v>
      </c>
      <c r="AA558" s="3" t="s">
        <v>852</v>
      </c>
      <c r="AB558" s="3"/>
      <c r="AC558" s="3"/>
      <c r="AD558" s="3" t="s">
        <v>62</v>
      </c>
      <c r="AE558" s="3" t="s">
        <v>336</v>
      </c>
      <c r="AF558" s="1" t="s">
        <v>1431</v>
      </c>
      <c r="AG558" s="1" t="s">
        <v>1431</v>
      </c>
      <c r="AH558" s="2">
        <v>100</v>
      </c>
      <c r="AI558" s="1"/>
      <c r="AJ558" s="60"/>
      <c r="AK558" s="1"/>
      <c r="AL558" s="1"/>
      <c r="AM558" s="1"/>
      <c r="AN558" s="1"/>
      <c r="AO558" s="1"/>
      <c r="AP558" s="1"/>
      <c r="AQ558" s="1"/>
      <c r="AR558" s="1"/>
      <c r="AS558" s="1"/>
      <c r="AT558" s="1"/>
      <c r="AU558" s="1"/>
      <c r="AV558" s="1"/>
      <c r="AW558" s="1"/>
      <c r="AX558" s="1"/>
      <c r="AY558" s="1"/>
      <c r="AZ558" s="5" t="s">
        <v>1429</v>
      </c>
      <c r="BA558" s="5"/>
      <c r="BB558" s="1"/>
      <c r="BC558" s="1"/>
    </row>
    <row r="559" spans="1:55" s="78" customFormat="1" ht="15" customHeight="1" x14ac:dyDescent="0.25">
      <c r="A559" s="52" t="s">
        <v>4568</v>
      </c>
      <c r="B559" s="34" t="s">
        <v>59</v>
      </c>
      <c r="C559" s="53">
        <v>2026</v>
      </c>
      <c r="D559" s="53">
        <v>2026</v>
      </c>
      <c r="E559" s="54" t="s">
        <v>3293</v>
      </c>
      <c r="F559" s="55" t="s">
        <v>50</v>
      </c>
      <c r="G559" s="55" t="s">
        <v>50</v>
      </c>
      <c r="H559" s="45" t="s">
        <v>1433</v>
      </c>
      <c r="I559" s="56" t="s">
        <v>78</v>
      </c>
      <c r="J559" s="56"/>
      <c r="K559" s="55" t="s">
        <v>71</v>
      </c>
      <c r="L559" s="55" t="str">
        <f>IF(K559="Mine or Quarry","Mine","")</f>
        <v/>
      </c>
      <c r="M559" s="55"/>
      <c r="N559" s="55" t="s">
        <v>110</v>
      </c>
      <c r="O559" s="55"/>
      <c r="P559" s="55" t="s">
        <v>73</v>
      </c>
      <c r="Q559" s="55" t="s">
        <v>57</v>
      </c>
      <c r="R559" s="55"/>
      <c r="S559" s="56" t="s">
        <v>58</v>
      </c>
      <c r="T559" s="55" t="str">
        <f>IF(ISNUMBER(SEARCH(",",N559)),"Y","N")</f>
        <v>N</v>
      </c>
      <c r="U559" s="57">
        <v>-999</v>
      </c>
      <c r="V559" s="57" t="s">
        <v>59</v>
      </c>
      <c r="W559" s="55" t="s">
        <v>2319</v>
      </c>
      <c r="X559" s="54" t="s">
        <v>4568</v>
      </c>
      <c r="Y559" s="52"/>
      <c r="Z559" s="3" t="s">
        <v>2005</v>
      </c>
      <c r="AA559" s="1" t="s">
        <v>798</v>
      </c>
      <c r="AB559" s="1"/>
      <c r="AC559" s="1"/>
      <c r="AD559" s="3" t="s">
        <v>62</v>
      </c>
      <c r="AE559" s="3" t="s">
        <v>718</v>
      </c>
      <c r="AF559" s="3" t="s">
        <v>1434</v>
      </c>
      <c r="AG559" s="3" t="s">
        <v>1434</v>
      </c>
      <c r="AH559" s="58"/>
      <c r="AI559" s="3"/>
      <c r="AJ559" s="3"/>
      <c r="AK559" s="3"/>
      <c r="AL559" s="3"/>
      <c r="AM559" s="3"/>
      <c r="AN559" s="3"/>
      <c r="AO559" s="3"/>
      <c r="AP559" s="3"/>
      <c r="AQ559" s="3"/>
      <c r="AR559" s="3"/>
      <c r="AS559" s="3"/>
      <c r="AT559" s="3"/>
      <c r="AU559" s="3"/>
      <c r="AV559" s="3"/>
      <c r="AW559" s="3"/>
      <c r="AX559" s="3"/>
      <c r="AY559" s="3"/>
      <c r="AZ559" s="4" t="s">
        <v>1432</v>
      </c>
      <c r="BA559" s="32"/>
      <c r="BB559" s="1"/>
      <c r="BC559" s="1"/>
    </row>
    <row r="560" spans="1:55" s="78" customFormat="1" ht="15" customHeight="1" x14ac:dyDescent="0.25">
      <c r="A560" s="52" t="s">
        <v>4569</v>
      </c>
      <c r="B560" s="34" t="s">
        <v>59</v>
      </c>
      <c r="C560" s="53">
        <v>2026</v>
      </c>
      <c r="D560" s="53">
        <v>2026</v>
      </c>
      <c r="E560" s="54" t="s">
        <v>3293</v>
      </c>
      <c r="F560" s="55" t="s">
        <v>50</v>
      </c>
      <c r="G560" s="55" t="s">
        <v>50</v>
      </c>
      <c r="H560" s="45" t="s">
        <v>1433</v>
      </c>
      <c r="I560" s="56" t="s">
        <v>78</v>
      </c>
      <c r="J560" s="56"/>
      <c r="K560" s="55" t="s">
        <v>74</v>
      </c>
      <c r="L560" s="55" t="str">
        <f>IF(K560="Mines and Quarries","Mine","")</f>
        <v/>
      </c>
      <c r="M560" s="55"/>
      <c r="N560" s="55" t="s">
        <v>110</v>
      </c>
      <c r="O560" s="55"/>
      <c r="P560" s="55" t="s">
        <v>75</v>
      </c>
      <c r="Q560" s="56" t="s">
        <v>57</v>
      </c>
      <c r="R560" s="55"/>
      <c r="S560" s="56" t="s">
        <v>58</v>
      </c>
      <c r="T560" s="55" t="str">
        <f>IF(ISNUMBER(SEARCH(",",N560)),"Y","N")</f>
        <v>N</v>
      </c>
      <c r="U560" s="57">
        <v>-999</v>
      </c>
      <c r="V560" s="57" t="s">
        <v>59</v>
      </c>
      <c r="W560" s="55" t="s">
        <v>2319</v>
      </c>
      <c r="X560" s="54" t="s">
        <v>4569</v>
      </c>
      <c r="Y560" s="52"/>
      <c r="Z560" s="3" t="s">
        <v>2005</v>
      </c>
      <c r="AA560" s="1" t="s">
        <v>798</v>
      </c>
      <c r="AB560" s="1"/>
      <c r="AC560" s="1"/>
      <c r="AD560" s="3" t="s">
        <v>62</v>
      </c>
      <c r="AE560" s="3" t="s">
        <v>718</v>
      </c>
      <c r="AF560" s="3" t="s">
        <v>1434</v>
      </c>
      <c r="AG560" s="3" t="s">
        <v>1434</v>
      </c>
      <c r="AH560" s="58"/>
      <c r="AI560" s="3"/>
      <c r="AJ560" s="3"/>
      <c r="AK560" s="3"/>
      <c r="AL560" s="3"/>
      <c r="AM560" s="3"/>
      <c r="AN560" s="3"/>
      <c r="AO560" s="3"/>
      <c r="AP560" s="3"/>
      <c r="AQ560" s="3"/>
      <c r="AR560" s="3"/>
      <c r="AS560" s="3"/>
      <c r="AT560" s="3"/>
      <c r="AU560" s="3"/>
      <c r="AV560" s="3"/>
      <c r="AW560" s="3"/>
      <c r="AX560" s="3"/>
      <c r="AY560" s="3"/>
      <c r="AZ560" s="4" t="s">
        <v>1432</v>
      </c>
      <c r="BA560" s="32"/>
      <c r="BB560" s="1"/>
      <c r="BC560" s="1"/>
    </row>
    <row r="561" spans="1:55" s="78" customFormat="1" ht="15" customHeight="1" x14ac:dyDescent="0.25">
      <c r="A561" s="52" t="s">
        <v>4570</v>
      </c>
      <c r="B561" s="34" t="s">
        <v>59</v>
      </c>
      <c r="C561" s="53">
        <v>2026</v>
      </c>
      <c r="D561" s="53">
        <v>2026</v>
      </c>
      <c r="E561" s="54" t="s">
        <v>3294</v>
      </c>
      <c r="F561" s="55" t="s">
        <v>50</v>
      </c>
      <c r="G561" s="55" t="s">
        <v>50</v>
      </c>
      <c r="H561" s="45" t="s">
        <v>1436</v>
      </c>
      <c r="I561" s="56" t="s">
        <v>52</v>
      </c>
      <c r="J561" s="55" t="s">
        <v>384</v>
      </c>
      <c r="K561" s="55" t="s">
        <v>384</v>
      </c>
      <c r="L561" s="55" t="s">
        <v>54</v>
      </c>
      <c r="M561" s="55" t="s">
        <v>491</v>
      </c>
      <c r="N561" s="56" t="s">
        <v>55</v>
      </c>
      <c r="O561" s="56"/>
      <c r="P561" s="56" t="s">
        <v>89</v>
      </c>
      <c r="Q561" s="55" t="s">
        <v>89</v>
      </c>
      <c r="R561" s="55"/>
      <c r="S561" s="56" t="s">
        <v>81</v>
      </c>
      <c r="T561" s="55" t="s">
        <v>58</v>
      </c>
      <c r="U561" s="57">
        <v>-999</v>
      </c>
      <c r="V561" s="57" t="s">
        <v>59</v>
      </c>
      <c r="W561" s="55" t="s">
        <v>2319</v>
      </c>
      <c r="X561" s="54" t="s">
        <v>4570</v>
      </c>
      <c r="Y561" s="52"/>
      <c r="Z561" s="2" t="s">
        <v>61</v>
      </c>
      <c r="AA561" s="1" t="s">
        <v>1437</v>
      </c>
      <c r="AB561" s="1"/>
      <c r="AC561" s="1"/>
      <c r="AD561" s="3" t="s">
        <v>62</v>
      </c>
      <c r="AE561" s="2" t="s">
        <v>184</v>
      </c>
      <c r="AF561" s="2"/>
      <c r="AG561" s="3" t="s">
        <v>1438</v>
      </c>
      <c r="AH561" s="58">
        <v>100</v>
      </c>
      <c r="AI561" s="1"/>
      <c r="AJ561" s="1"/>
      <c r="AK561" s="1"/>
      <c r="AL561" s="1"/>
      <c r="AM561" s="1"/>
      <c r="AN561" s="1"/>
      <c r="AO561" s="1"/>
      <c r="AP561" s="1"/>
      <c r="AQ561" s="1"/>
      <c r="AR561" s="1"/>
      <c r="AS561" s="1"/>
      <c r="AT561" s="1"/>
      <c r="AU561" s="1"/>
      <c r="AV561" s="1"/>
      <c r="AW561" s="1"/>
      <c r="AX561" s="1"/>
      <c r="AY561" s="1"/>
      <c r="AZ561" s="4" t="s">
        <v>1435</v>
      </c>
      <c r="BA561" s="1"/>
      <c r="BB561" s="1"/>
      <c r="BC561" s="1"/>
    </row>
    <row r="562" spans="1:55" s="78" customFormat="1" ht="15" customHeight="1" x14ac:dyDescent="0.25">
      <c r="A562" s="52" t="s">
        <v>4571</v>
      </c>
      <c r="B562" s="34" t="s">
        <v>59</v>
      </c>
      <c r="C562" s="53">
        <v>2026</v>
      </c>
      <c r="D562" s="53">
        <v>2026</v>
      </c>
      <c r="E562" s="54" t="s">
        <v>3294</v>
      </c>
      <c r="F562" s="55" t="s">
        <v>50</v>
      </c>
      <c r="G562" s="55" t="s">
        <v>50</v>
      </c>
      <c r="H562" s="45" t="s">
        <v>1436</v>
      </c>
      <c r="I562" s="56" t="s">
        <v>52</v>
      </c>
      <c r="J562" s="55" t="s">
        <v>384</v>
      </c>
      <c r="K562" s="55" t="s">
        <v>384</v>
      </c>
      <c r="L562" s="55"/>
      <c r="M562" s="55" t="s">
        <v>491</v>
      </c>
      <c r="N562" s="56" t="s">
        <v>55</v>
      </c>
      <c r="O562" s="56" t="s">
        <v>1439</v>
      </c>
      <c r="P562" s="56" t="s">
        <v>89</v>
      </c>
      <c r="Q562" s="55" t="s">
        <v>89</v>
      </c>
      <c r="R562" s="56" t="s">
        <v>1439</v>
      </c>
      <c r="S562" s="56" t="s">
        <v>81</v>
      </c>
      <c r="T562" s="55" t="s">
        <v>58</v>
      </c>
      <c r="U562" s="57">
        <v>1000</v>
      </c>
      <c r="V562" s="57" t="s">
        <v>101</v>
      </c>
      <c r="W562" s="55" t="s">
        <v>2319</v>
      </c>
      <c r="X562" s="54" t="s">
        <v>4571</v>
      </c>
      <c r="Y562" s="52"/>
      <c r="Z562" s="2" t="s">
        <v>61</v>
      </c>
      <c r="AA562" s="1" t="s">
        <v>1437</v>
      </c>
      <c r="AB562" s="1"/>
      <c r="AC562" s="1"/>
      <c r="AD562" s="3" t="s">
        <v>62</v>
      </c>
      <c r="AE562" s="2" t="s">
        <v>184</v>
      </c>
      <c r="AF562" s="2"/>
      <c r="AG562" s="3" t="s">
        <v>1438</v>
      </c>
      <c r="AH562" s="58">
        <v>100</v>
      </c>
      <c r="AI562" s="1"/>
      <c r="AJ562" s="1"/>
      <c r="AK562" s="1"/>
      <c r="AL562" s="1"/>
      <c r="AM562" s="1"/>
      <c r="AN562" s="1"/>
      <c r="AO562" s="1"/>
      <c r="AP562" s="1"/>
      <c r="AQ562" s="1"/>
      <c r="AR562" s="1"/>
      <c r="AS562" s="1"/>
      <c r="AT562" s="1"/>
      <c r="AU562" s="1"/>
      <c r="AV562" s="1"/>
      <c r="AW562" s="1"/>
      <c r="AX562" s="1"/>
      <c r="AY562" s="1"/>
      <c r="AZ562" s="4" t="s">
        <v>1435</v>
      </c>
      <c r="BA562" s="1"/>
      <c r="BB562" s="1"/>
      <c r="BC562" s="1"/>
    </row>
    <row r="563" spans="1:55" s="78" customFormat="1" ht="15" customHeight="1" x14ac:dyDescent="0.25">
      <c r="A563" s="52" t="s">
        <v>4572</v>
      </c>
      <c r="B563" s="34" t="s">
        <v>59</v>
      </c>
      <c r="C563" s="53">
        <v>2026</v>
      </c>
      <c r="D563" s="53">
        <v>2026</v>
      </c>
      <c r="E563" s="54" t="s">
        <v>3295</v>
      </c>
      <c r="F563" s="55" t="s">
        <v>50</v>
      </c>
      <c r="G563" s="55" t="s">
        <v>50</v>
      </c>
      <c r="H563" s="45" t="s">
        <v>1441</v>
      </c>
      <c r="I563" s="56" t="s">
        <v>52</v>
      </c>
      <c r="J563" s="56"/>
      <c r="K563" s="56" t="s">
        <v>87</v>
      </c>
      <c r="L563" s="55" t="str">
        <f>IF(K563="Mine or Quarry","Mine","")</f>
        <v/>
      </c>
      <c r="M563" s="55"/>
      <c r="N563" s="56"/>
      <c r="O563" s="56" t="s">
        <v>2893</v>
      </c>
      <c r="P563" s="56" t="s">
        <v>89</v>
      </c>
      <c r="Q563" s="56" t="s">
        <v>89</v>
      </c>
      <c r="R563" s="55"/>
      <c r="S563" s="56" t="s">
        <v>81</v>
      </c>
      <c r="T563" s="55" t="str">
        <f>IF(ISNUMBER(SEARCH(",",N563)),"Y","N")</f>
        <v>N</v>
      </c>
      <c r="U563" s="57">
        <v>-999</v>
      </c>
      <c r="V563" s="57" t="s">
        <v>59</v>
      </c>
      <c r="W563" s="55" t="s">
        <v>2319</v>
      </c>
      <c r="X563" s="54" t="s">
        <v>4572</v>
      </c>
      <c r="Y563" s="52"/>
      <c r="Z563" s="1" t="s">
        <v>61</v>
      </c>
      <c r="AA563" s="1" t="s">
        <v>1014</v>
      </c>
      <c r="AB563" s="1"/>
      <c r="AC563" s="1"/>
      <c r="AD563" s="3" t="s">
        <v>62</v>
      </c>
      <c r="AE563" s="1" t="s">
        <v>155</v>
      </c>
      <c r="AF563" s="1" t="s">
        <v>947</v>
      </c>
      <c r="AG563" s="1" t="s">
        <v>947</v>
      </c>
      <c r="AH563" s="1"/>
      <c r="AI563" s="1"/>
      <c r="AJ563" s="1"/>
      <c r="AK563" s="1"/>
      <c r="AL563" s="1"/>
      <c r="AM563" s="1"/>
      <c r="AN563" s="1"/>
      <c r="AO563" s="1"/>
      <c r="AP563" s="1"/>
      <c r="AQ563" s="1"/>
      <c r="AR563" s="1"/>
      <c r="AS563" s="1"/>
      <c r="AT563" s="1"/>
      <c r="AU563" s="1"/>
      <c r="AV563" s="1"/>
      <c r="AW563" s="1"/>
      <c r="AX563" s="1"/>
      <c r="AY563" s="1"/>
      <c r="AZ563" s="5" t="s">
        <v>1440</v>
      </c>
      <c r="BA563" s="5"/>
      <c r="BB563" s="1"/>
      <c r="BC563" s="1"/>
    </row>
    <row r="564" spans="1:55" s="78" customFormat="1" ht="15" customHeight="1" x14ac:dyDescent="0.25">
      <c r="A564" s="52" t="s">
        <v>4573</v>
      </c>
      <c r="B564" s="34" t="s">
        <v>59</v>
      </c>
      <c r="C564" s="53">
        <v>2026</v>
      </c>
      <c r="D564" s="53">
        <v>2026</v>
      </c>
      <c r="E564" s="54" t="s">
        <v>3296</v>
      </c>
      <c r="F564" s="55" t="s">
        <v>50</v>
      </c>
      <c r="G564" s="55" t="s">
        <v>50</v>
      </c>
      <c r="H564" s="45" t="s">
        <v>1442</v>
      </c>
      <c r="I564" s="56" t="s">
        <v>52</v>
      </c>
      <c r="J564" s="55"/>
      <c r="K564" s="55" t="s">
        <v>87</v>
      </c>
      <c r="L564" s="55"/>
      <c r="M564" s="55"/>
      <c r="N564" s="56"/>
      <c r="O564" s="56" t="s">
        <v>2893</v>
      </c>
      <c r="P564" s="56" t="s">
        <v>89</v>
      </c>
      <c r="Q564" s="55" t="s">
        <v>89</v>
      </c>
      <c r="R564" s="56"/>
      <c r="S564" s="56" t="s">
        <v>81</v>
      </c>
      <c r="T564" s="55" t="s">
        <v>81</v>
      </c>
      <c r="U564" s="57">
        <v>-999</v>
      </c>
      <c r="V564" s="57" t="s">
        <v>59</v>
      </c>
      <c r="W564" s="55" t="s">
        <v>2319</v>
      </c>
      <c r="X564" s="54" t="s">
        <v>4573</v>
      </c>
      <c r="Y564" s="52"/>
      <c r="Z564" s="2" t="s">
        <v>61</v>
      </c>
      <c r="AA564" s="1" t="s">
        <v>2874</v>
      </c>
      <c r="AB564" s="1"/>
      <c r="AC564" s="1"/>
      <c r="AD564" s="3" t="s">
        <v>62</v>
      </c>
      <c r="AE564" s="2" t="s">
        <v>221</v>
      </c>
      <c r="AF564" s="2" t="s">
        <v>2875</v>
      </c>
      <c r="AG564" s="3" t="s">
        <v>635</v>
      </c>
      <c r="AH564" s="58">
        <v>100</v>
      </c>
      <c r="AI564" s="1"/>
      <c r="AJ564" s="1"/>
      <c r="AK564" s="1"/>
      <c r="AL564" s="1"/>
      <c r="AM564" s="1"/>
      <c r="AN564" s="1"/>
      <c r="AO564" s="1"/>
      <c r="AP564" s="1"/>
      <c r="AQ564" s="1"/>
      <c r="AR564" s="1"/>
      <c r="AS564" s="1"/>
      <c r="AT564" s="1"/>
      <c r="AU564" s="1"/>
      <c r="AV564" s="1"/>
      <c r="AW564" s="1"/>
      <c r="AX564" s="1"/>
      <c r="AY564" s="1"/>
      <c r="AZ564" s="4" t="s">
        <v>2876</v>
      </c>
      <c r="BA564" s="1"/>
      <c r="BB564" s="1"/>
      <c r="BC564" s="1"/>
    </row>
    <row r="565" spans="1:55" s="78" customFormat="1" ht="15" customHeight="1" x14ac:dyDescent="0.25">
      <c r="A565" s="52" t="s">
        <v>4574</v>
      </c>
      <c r="B565" s="34" t="s">
        <v>59</v>
      </c>
      <c r="C565" s="53">
        <v>2026</v>
      </c>
      <c r="D565" s="53">
        <v>2026</v>
      </c>
      <c r="E565" s="54" t="s">
        <v>3297</v>
      </c>
      <c r="F565" s="55" t="s">
        <v>50</v>
      </c>
      <c r="G565" s="55" t="s">
        <v>50</v>
      </c>
      <c r="H565" s="45" t="s">
        <v>3290</v>
      </c>
      <c r="I565" s="56" t="s">
        <v>52</v>
      </c>
      <c r="J565" s="56"/>
      <c r="K565" s="55" t="s">
        <v>633</v>
      </c>
      <c r="L565" s="55"/>
      <c r="M565" s="55"/>
      <c r="N565" s="56" t="s">
        <v>418</v>
      </c>
      <c r="O565" s="56"/>
      <c r="P565" s="56" t="s">
        <v>89</v>
      </c>
      <c r="Q565" s="61" t="s">
        <v>89</v>
      </c>
      <c r="R565" s="55"/>
      <c r="S565" s="56" t="s">
        <v>81</v>
      </c>
      <c r="T565" s="55" t="s">
        <v>81</v>
      </c>
      <c r="U565" s="57">
        <v>1220000</v>
      </c>
      <c r="V565" s="57" t="s">
        <v>101</v>
      </c>
      <c r="W565" s="55" t="s">
        <v>2319</v>
      </c>
      <c r="X565" s="54" t="s">
        <v>4574</v>
      </c>
      <c r="Y565" s="52"/>
      <c r="Z565" s="2" t="s">
        <v>61</v>
      </c>
      <c r="AA565" s="1" t="s">
        <v>1443</v>
      </c>
      <c r="AB565" s="1"/>
      <c r="AC565" s="1"/>
      <c r="AD565" s="3" t="s">
        <v>62</v>
      </c>
      <c r="AE565" s="2" t="s">
        <v>221</v>
      </c>
      <c r="AF565" s="2"/>
      <c r="AG565" s="1" t="s">
        <v>1276</v>
      </c>
      <c r="AH565" s="2">
        <v>100</v>
      </c>
      <c r="AI565" s="1"/>
      <c r="AJ565" s="1"/>
      <c r="AK565" s="1"/>
      <c r="AL565" s="1"/>
      <c r="AM565" s="1"/>
      <c r="AN565" s="1"/>
      <c r="AO565" s="1"/>
      <c r="AP565" s="1"/>
      <c r="AQ565" s="1"/>
      <c r="AR565" s="1"/>
      <c r="AS565" s="1"/>
      <c r="AT565" s="1"/>
      <c r="AU565" s="1"/>
      <c r="AV565" s="1"/>
      <c r="AW565" s="1"/>
      <c r="AX565" s="1"/>
      <c r="AY565" s="1"/>
      <c r="AZ565" s="4" t="s">
        <v>1273</v>
      </c>
      <c r="BA565" s="1"/>
      <c r="BB565" s="1"/>
      <c r="BC565" s="1"/>
    </row>
    <row r="566" spans="1:55" s="78" customFormat="1" ht="15" customHeight="1" x14ac:dyDescent="0.25">
      <c r="A566" s="52" t="s">
        <v>4575</v>
      </c>
      <c r="B566" s="34" t="s">
        <v>59</v>
      </c>
      <c r="C566" s="53">
        <v>2026</v>
      </c>
      <c r="D566" s="53">
        <v>2026</v>
      </c>
      <c r="E566" s="54" t="s">
        <v>3298</v>
      </c>
      <c r="F566" s="55" t="s">
        <v>50</v>
      </c>
      <c r="G566" s="55" t="s">
        <v>50</v>
      </c>
      <c r="H566" s="45" t="s">
        <v>1445</v>
      </c>
      <c r="I566" s="45" t="s">
        <v>52</v>
      </c>
      <c r="J566" s="56"/>
      <c r="K566" s="55" t="s">
        <v>582</v>
      </c>
      <c r="L566" s="55" t="s">
        <v>54</v>
      </c>
      <c r="M566" s="55" t="s">
        <v>113</v>
      </c>
      <c r="N566" s="56" t="s">
        <v>141</v>
      </c>
      <c r="O566" s="56"/>
      <c r="P566" s="61" t="s">
        <v>583</v>
      </c>
      <c r="Q566" s="61" t="s">
        <v>57</v>
      </c>
      <c r="R566" s="55"/>
      <c r="S566" s="56" t="s">
        <v>81</v>
      </c>
      <c r="T566" s="55" t="str">
        <f>IF(ISNUMBER(SEARCH(",",N566)),"Y","N")</f>
        <v>N</v>
      </c>
      <c r="U566" s="57">
        <v>-999</v>
      </c>
      <c r="V566" s="57" t="s">
        <v>59</v>
      </c>
      <c r="W566" s="55"/>
      <c r="X566" s="54" t="s">
        <v>4575</v>
      </c>
      <c r="Y566" s="52"/>
      <c r="Z566" s="3" t="s">
        <v>61</v>
      </c>
      <c r="AA566" s="1" t="s">
        <v>1446</v>
      </c>
      <c r="AB566" s="1"/>
      <c r="AC566" s="1"/>
      <c r="AD566" s="3" t="s">
        <v>62</v>
      </c>
      <c r="AE566" s="3" t="s">
        <v>221</v>
      </c>
      <c r="AF566" s="3"/>
      <c r="AG566" s="3" t="s">
        <v>735</v>
      </c>
      <c r="AH566" s="58">
        <v>100</v>
      </c>
      <c r="AI566" s="1"/>
      <c r="AJ566" s="1"/>
      <c r="AK566" s="1"/>
      <c r="AL566" s="1"/>
      <c r="AM566" s="1"/>
      <c r="AN566" s="1"/>
      <c r="AO566" s="1"/>
      <c r="AP566" s="1"/>
      <c r="AQ566" s="1"/>
      <c r="AR566" s="1"/>
      <c r="AS566" s="1"/>
      <c r="AT566" s="1"/>
      <c r="AU566" s="1"/>
      <c r="AV566" s="1"/>
      <c r="AW566" s="1"/>
      <c r="AX566" s="1"/>
      <c r="AY566" s="1"/>
      <c r="AZ566" s="4" t="s">
        <v>1444</v>
      </c>
      <c r="BA566" s="1"/>
      <c r="BB566" s="1"/>
      <c r="BC566" s="1"/>
    </row>
    <row r="567" spans="1:55" s="78" customFormat="1" ht="15" customHeight="1" x14ac:dyDescent="0.25">
      <c r="A567" s="52" t="s">
        <v>4576</v>
      </c>
      <c r="B567" s="34" t="s">
        <v>59</v>
      </c>
      <c r="C567" s="53">
        <v>2026</v>
      </c>
      <c r="D567" s="53">
        <v>2026</v>
      </c>
      <c r="E567" s="54" t="s">
        <v>3299</v>
      </c>
      <c r="F567" s="55" t="s">
        <v>50</v>
      </c>
      <c r="G567" s="55" t="s">
        <v>50</v>
      </c>
      <c r="H567" s="45" t="s">
        <v>1447</v>
      </c>
      <c r="I567" s="45" t="s">
        <v>52</v>
      </c>
      <c r="J567" s="56"/>
      <c r="K567" s="55" t="s">
        <v>582</v>
      </c>
      <c r="L567" s="55" t="s">
        <v>317</v>
      </c>
      <c r="M567" s="55" t="s">
        <v>113</v>
      </c>
      <c r="N567" s="55" t="s">
        <v>141</v>
      </c>
      <c r="O567" s="55"/>
      <c r="P567" s="61" t="s">
        <v>583</v>
      </c>
      <c r="Q567" s="61" t="s">
        <v>57</v>
      </c>
      <c r="R567" s="55"/>
      <c r="S567" s="56" t="s">
        <v>81</v>
      </c>
      <c r="T567" s="55" t="str">
        <f>IF(ISNUMBER(SEARCH(",",N567)),"Y","N")</f>
        <v>N</v>
      </c>
      <c r="U567" s="57">
        <v>-999</v>
      </c>
      <c r="V567" s="57" t="s">
        <v>59</v>
      </c>
      <c r="W567" s="55"/>
      <c r="X567" s="54" t="s">
        <v>4576</v>
      </c>
      <c r="Y567" s="52"/>
      <c r="Z567" s="3" t="s">
        <v>61</v>
      </c>
      <c r="AA567" s="1" t="s">
        <v>1446</v>
      </c>
      <c r="AB567" s="1"/>
      <c r="AC567" s="1"/>
      <c r="AD567" s="3" t="s">
        <v>62</v>
      </c>
      <c r="AE567" s="3" t="s">
        <v>221</v>
      </c>
      <c r="AF567" s="3"/>
      <c r="AG567" s="3" t="s">
        <v>735</v>
      </c>
      <c r="AH567" s="58">
        <v>100</v>
      </c>
      <c r="AI567" s="3"/>
      <c r="AJ567" s="3"/>
      <c r="AK567" s="3"/>
      <c r="AL567" s="3"/>
      <c r="AM567" s="3"/>
      <c r="AN567" s="3"/>
      <c r="AO567" s="3"/>
      <c r="AP567" s="3"/>
      <c r="AQ567" s="3"/>
      <c r="AR567" s="3"/>
      <c r="AS567" s="3"/>
      <c r="AT567" s="3"/>
      <c r="AU567" s="3"/>
      <c r="AV567" s="3"/>
      <c r="AW567" s="3"/>
      <c r="AX567" s="3"/>
      <c r="AY567" s="3"/>
      <c r="AZ567" s="4" t="s">
        <v>1444</v>
      </c>
      <c r="BA567" s="3"/>
      <c r="BB567" s="1"/>
      <c r="BC567" s="1"/>
    </row>
    <row r="568" spans="1:55" s="78" customFormat="1" ht="15" customHeight="1" x14ac:dyDescent="0.25">
      <c r="A568" s="52" t="s">
        <v>4577</v>
      </c>
      <c r="B568" s="34" t="s">
        <v>59</v>
      </c>
      <c r="C568" s="53">
        <v>2026</v>
      </c>
      <c r="D568" s="53">
        <v>2026</v>
      </c>
      <c r="E568" s="54" t="s">
        <v>3300</v>
      </c>
      <c r="F568" s="55" t="s">
        <v>50</v>
      </c>
      <c r="G568" s="55" t="s">
        <v>50</v>
      </c>
      <c r="H568" s="45" t="s">
        <v>1450</v>
      </c>
      <c r="I568" s="56" t="s">
        <v>78</v>
      </c>
      <c r="J568" s="56"/>
      <c r="K568" s="55" t="s">
        <v>148</v>
      </c>
      <c r="L568" s="55"/>
      <c r="M568" s="55"/>
      <c r="N568" s="55" t="s">
        <v>110</v>
      </c>
      <c r="O568" s="55" t="s">
        <v>5357</v>
      </c>
      <c r="P568" s="55" t="s">
        <v>150</v>
      </c>
      <c r="Q568" s="61" t="s">
        <v>57</v>
      </c>
      <c r="R568" s="55"/>
      <c r="S568" s="56" t="s">
        <v>58</v>
      </c>
      <c r="T568" s="55" t="s">
        <v>81</v>
      </c>
      <c r="U568" s="57">
        <v>-999</v>
      </c>
      <c r="V568" s="57" t="s">
        <v>59</v>
      </c>
      <c r="W568" s="55"/>
      <c r="X568" s="54" t="s">
        <v>4577</v>
      </c>
      <c r="Y568" s="52"/>
      <c r="Z568" s="3" t="s">
        <v>61</v>
      </c>
      <c r="AA568" s="3" t="s">
        <v>1451</v>
      </c>
      <c r="AB568" s="3"/>
      <c r="AC568" s="3"/>
      <c r="AD568" s="3" t="s">
        <v>62</v>
      </c>
      <c r="AE568" s="3" t="s">
        <v>464</v>
      </c>
      <c r="AF568" s="3"/>
      <c r="AG568" s="3" t="s">
        <v>1452</v>
      </c>
      <c r="AH568" s="58">
        <v>100</v>
      </c>
      <c r="AI568" s="3"/>
      <c r="AJ568" s="3"/>
      <c r="AK568" s="3"/>
      <c r="AL568" s="3"/>
      <c r="AM568" s="3"/>
      <c r="AN568" s="3"/>
      <c r="AO568" s="3"/>
      <c r="AP568" s="3"/>
      <c r="AQ568" s="3"/>
      <c r="AR568" s="3"/>
      <c r="AS568" s="3"/>
      <c r="AT568" s="3"/>
      <c r="AU568" s="3"/>
      <c r="AV568" s="3"/>
      <c r="AW568" s="3"/>
      <c r="AX568" s="3"/>
      <c r="AY568" s="3"/>
      <c r="AZ568" s="4" t="s">
        <v>1449</v>
      </c>
      <c r="BA568" s="3"/>
      <c r="BB568" s="1"/>
      <c r="BC568" s="1"/>
    </row>
    <row r="569" spans="1:55" s="78" customFormat="1" ht="15" customHeight="1" x14ac:dyDescent="0.25">
      <c r="A569" s="52" t="s">
        <v>4578</v>
      </c>
      <c r="B569" s="34" t="s">
        <v>59</v>
      </c>
      <c r="C569" s="53">
        <v>2026</v>
      </c>
      <c r="D569" s="53">
        <v>2026</v>
      </c>
      <c r="E569" s="54" t="s">
        <v>3300</v>
      </c>
      <c r="F569" s="55" t="s">
        <v>50</v>
      </c>
      <c r="G569" s="55" t="s">
        <v>50</v>
      </c>
      <c r="H569" s="45" t="s">
        <v>1450</v>
      </c>
      <c r="I569" s="56" t="s">
        <v>78</v>
      </c>
      <c r="J569" s="56"/>
      <c r="K569" s="55" t="s">
        <v>140</v>
      </c>
      <c r="L569" s="55" t="s">
        <v>88</v>
      </c>
      <c r="M569" s="55"/>
      <c r="N569" s="55" t="s">
        <v>110</v>
      </c>
      <c r="O569" s="56" t="s">
        <v>5357</v>
      </c>
      <c r="P569" s="55" t="s">
        <v>142</v>
      </c>
      <c r="Q569" s="55" t="s">
        <v>57</v>
      </c>
      <c r="R569" s="55"/>
      <c r="S569" s="56" t="s">
        <v>58</v>
      </c>
      <c r="T569" s="55" t="s">
        <v>81</v>
      </c>
      <c r="U569" s="57">
        <v>-999</v>
      </c>
      <c r="V569" s="57" t="s">
        <v>59</v>
      </c>
      <c r="W569" s="55"/>
      <c r="X569" s="54" t="s">
        <v>4578</v>
      </c>
      <c r="Y569" s="52"/>
      <c r="Z569" s="3" t="s">
        <v>61</v>
      </c>
      <c r="AA569" s="3" t="s">
        <v>1451</v>
      </c>
      <c r="AB569" s="3"/>
      <c r="AC569" s="3"/>
      <c r="AD569" s="3" t="s">
        <v>62</v>
      </c>
      <c r="AE569" s="3" t="s">
        <v>464</v>
      </c>
      <c r="AF569" s="3"/>
      <c r="AG569" s="3" t="s">
        <v>1452</v>
      </c>
      <c r="AH569" s="58">
        <v>100</v>
      </c>
      <c r="AI569" s="3"/>
      <c r="AJ569" s="3"/>
      <c r="AK569" s="3"/>
      <c r="AL569" s="3"/>
      <c r="AM569" s="3"/>
      <c r="AN569" s="3"/>
      <c r="AO569" s="3"/>
      <c r="AP569" s="3"/>
      <c r="AQ569" s="3"/>
      <c r="AR569" s="3"/>
      <c r="AS569" s="3"/>
      <c r="AT569" s="3"/>
      <c r="AU569" s="3"/>
      <c r="AV569" s="3"/>
      <c r="AW569" s="3"/>
      <c r="AX569" s="3"/>
      <c r="AY569" s="3"/>
      <c r="AZ569" s="4" t="s">
        <v>1449</v>
      </c>
      <c r="BA569" s="3"/>
      <c r="BB569" s="1"/>
      <c r="BC569" s="1"/>
    </row>
    <row r="570" spans="1:55" s="78" customFormat="1" ht="15" customHeight="1" x14ac:dyDescent="0.25">
      <c r="A570" s="52" t="s">
        <v>4579</v>
      </c>
      <c r="B570" s="34" t="s">
        <v>59</v>
      </c>
      <c r="C570" s="53">
        <v>2026</v>
      </c>
      <c r="D570" s="53">
        <v>2026</v>
      </c>
      <c r="E570" s="54" t="s">
        <v>3301</v>
      </c>
      <c r="F570" s="55" t="s">
        <v>50</v>
      </c>
      <c r="G570" s="55" t="s">
        <v>50</v>
      </c>
      <c r="H570" s="45" t="s">
        <v>3015</v>
      </c>
      <c r="I570" s="56" t="s">
        <v>52</v>
      </c>
      <c r="J570" s="56"/>
      <c r="K570" s="55" t="s">
        <v>140</v>
      </c>
      <c r="L570" s="55" t="s">
        <v>54</v>
      </c>
      <c r="M570" s="55"/>
      <c r="N570" s="56" t="s">
        <v>2615</v>
      </c>
      <c r="O570" s="56"/>
      <c r="P570" s="55" t="s">
        <v>142</v>
      </c>
      <c r="Q570" s="56" t="s">
        <v>57</v>
      </c>
      <c r="R570" s="55"/>
      <c r="S570" s="56" t="s">
        <v>81</v>
      </c>
      <c r="T570" s="55" t="s">
        <v>81</v>
      </c>
      <c r="U570" s="57">
        <v>1400</v>
      </c>
      <c r="V570" s="57" t="s">
        <v>101</v>
      </c>
      <c r="W570" s="55"/>
      <c r="X570" s="54" t="s">
        <v>4579</v>
      </c>
      <c r="Y570" s="52"/>
      <c r="Z570" s="2" t="s">
        <v>154</v>
      </c>
      <c r="AA570" s="1" t="s">
        <v>2616</v>
      </c>
      <c r="AB570" s="1"/>
      <c r="AC570" s="1"/>
      <c r="AD570" s="3" t="s">
        <v>62</v>
      </c>
      <c r="AE570" s="2" t="s">
        <v>592</v>
      </c>
      <c r="AF570" s="2"/>
      <c r="AG570" s="1" t="s">
        <v>2613</v>
      </c>
      <c r="AH570" s="2">
        <v>100</v>
      </c>
      <c r="AI570" s="1"/>
      <c r="AJ570" s="1"/>
      <c r="AK570" s="1"/>
      <c r="AL570" s="1"/>
      <c r="AM570" s="1"/>
      <c r="AN570" s="1"/>
      <c r="AO570" s="1"/>
      <c r="AP570" s="1"/>
      <c r="AQ570" s="1"/>
      <c r="AR570" s="1"/>
      <c r="AS570" s="1"/>
      <c r="AT570" s="1"/>
      <c r="AU570" s="1"/>
      <c r="AV570" s="1"/>
      <c r="AW570" s="1"/>
      <c r="AX570" s="1"/>
      <c r="AY570" s="1"/>
      <c r="AZ570" s="4" t="s">
        <v>2614</v>
      </c>
      <c r="BA570" s="1"/>
      <c r="BB570" s="1"/>
      <c r="BC570" s="1"/>
    </row>
    <row r="571" spans="1:55" s="78" customFormat="1" ht="15" customHeight="1" x14ac:dyDescent="0.25">
      <c r="A571" s="52" t="s">
        <v>4580</v>
      </c>
      <c r="B571" s="34" t="s">
        <v>59</v>
      </c>
      <c r="C571" s="53">
        <v>2026</v>
      </c>
      <c r="D571" s="53">
        <v>2026</v>
      </c>
      <c r="E571" s="54" t="s">
        <v>3302</v>
      </c>
      <c r="F571" s="55" t="s">
        <v>50</v>
      </c>
      <c r="G571" s="55" t="s">
        <v>50</v>
      </c>
      <c r="H571" s="45" t="s">
        <v>1454</v>
      </c>
      <c r="I571" s="61" t="s">
        <v>52</v>
      </c>
      <c r="J571" s="56"/>
      <c r="K571" s="45" t="s">
        <v>180</v>
      </c>
      <c r="L571" s="55"/>
      <c r="M571" s="55"/>
      <c r="N571" s="55" t="s">
        <v>110</v>
      </c>
      <c r="O571" s="55" t="s">
        <v>188</v>
      </c>
      <c r="P571" s="55" t="s">
        <v>182</v>
      </c>
      <c r="Q571" s="55" t="s">
        <v>5353</v>
      </c>
      <c r="R571" s="55"/>
      <c r="S571" s="56" t="s">
        <v>81</v>
      </c>
      <c r="T571" s="55" t="str">
        <f>IF(ISNUMBER(SEARCH(",",N571)),"Y","N")</f>
        <v>N</v>
      </c>
      <c r="U571" s="57">
        <v>1800</v>
      </c>
      <c r="V571" s="57" t="s">
        <v>101</v>
      </c>
      <c r="W571" s="55"/>
      <c r="X571" s="54" t="s">
        <v>4580</v>
      </c>
      <c r="Y571" s="52"/>
      <c r="Z571" s="3" t="s">
        <v>61</v>
      </c>
      <c r="AA571" s="3" t="s">
        <v>1455</v>
      </c>
      <c r="AB571" s="3"/>
      <c r="AC571" s="3"/>
      <c r="AD571" s="3" t="s">
        <v>62</v>
      </c>
      <c r="AE571" s="3" t="s">
        <v>387</v>
      </c>
      <c r="AF571" s="3"/>
      <c r="AG571" s="3" t="s">
        <v>450</v>
      </c>
      <c r="AH571" s="58">
        <v>100</v>
      </c>
      <c r="AI571" s="3"/>
      <c r="AJ571" s="53"/>
      <c r="AK571" s="3"/>
      <c r="AL571" s="3"/>
      <c r="AM571" s="3"/>
      <c r="AN571" s="3"/>
      <c r="AO571" s="3"/>
      <c r="AP571" s="3"/>
      <c r="AQ571" s="3"/>
      <c r="AR571" s="3"/>
      <c r="AS571" s="3"/>
      <c r="AT571" s="3"/>
      <c r="AU571" s="3"/>
      <c r="AV571" s="3"/>
      <c r="AW571" s="3"/>
      <c r="AX571" s="3"/>
      <c r="AY571" s="3"/>
      <c r="AZ571" s="4" t="s">
        <v>1453</v>
      </c>
      <c r="BA571" s="3"/>
      <c r="BB571" s="1"/>
      <c r="BC571" s="1"/>
    </row>
    <row r="572" spans="1:55" s="78" customFormat="1" ht="15" customHeight="1" x14ac:dyDescent="0.25">
      <c r="A572" s="52" t="s">
        <v>4581</v>
      </c>
      <c r="B572" s="34" t="s">
        <v>59</v>
      </c>
      <c r="C572" s="53">
        <v>2026</v>
      </c>
      <c r="D572" s="53">
        <v>2026</v>
      </c>
      <c r="E572" s="54" t="s">
        <v>3303</v>
      </c>
      <c r="F572" s="55" t="s">
        <v>50</v>
      </c>
      <c r="G572" s="55" t="s">
        <v>50</v>
      </c>
      <c r="H572" s="45" t="s">
        <v>1457</v>
      </c>
      <c r="I572" s="56" t="s">
        <v>78</v>
      </c>
      <c r="J572" s="56"/>
      <c r="K572" s="56" t="s">
        <v>126</v>
      </c>
      <c r="L572" s="56" t="s">
        <v>88</v>
      </c>
      <c r="M572" s="56"/>
      <c r="N572" s="55" t="s">
        <v>110</v>
      </c>
      <c r="O572" s="56"/>
      <c r="P572" s="55" t="s">
        <v>129</v>
      </c>
      <c r="Q572" s="56" t="s">
        <v>57</v>
      </c>
      <c r="R572" s="56"/>
      <c r="S572" s="56" t="s">
        <v>58</v>
      </c>
      <c r="T572" s="56" t="s">
        <v>81</v>
      </c>
      <c r="U572" s="57">
        <v>-999</v>
      </c>
      <c r="V572" s="57" t="s">
        <v>59</v>
      </c>
      <c r="W572" s="55" t="s">
        <v>2319</v>
      </c>
      <c r="X572" s="54" t="s">
        <v>4581</v>
      </c>
      <c r="Y572" s="52"/>
      <c r="Z572" s="1" t="s">
        <v>154</v>
      </c>
      <c r="AA572" s="3" t="s">
        <v>3797</v>
      </c>
      <c r="AB572" s="3"/>
      <c r="AC572" s="3"/>
      <c r="AD572" s="3" t="s">
        <v>62</v>
      </c>
      <c r="AE572" s="3" t="s">
        <v>336</v>
      </c>
      <c r="AF572" s="1" t="s">
        <v>1458</v>
      </c>
      <c r="AG572" s="1" t="s">
        <v>1458</v>
      </c>
      <c r="AH572" s="58">
        <v>100</v>
      </c>
      <c r="AI572" s="1"/>
      <c r="AJ572" s="60"/>
      <c r="AK572" s="1"/>
      <c r="AL572" s="1"/>
      <c r="AM572" s="1"/>
      <c r="AN572" s="1"/>
      <c r="AO572" s="1"/>
      <c r="AP572" s="1"/>
      <c r="AQ572" s="1"/>
      <c r="AR572" s="1"/>
      <c r="AS572" s="1"/>
      <c r="AT572" s="1"/>
      <c r="AU572" s="1"/>
      <c r="AV572" s="1"/>
      <c r="AW572" s="1"/>
      <c r="AX572" s="1"/>
      <c r="AY572" s="1"/>
      <c r="AZ572" s="5" t="s">
        <v>1456</v>
      </c>
      <c r="BA572" s="5"/>
      <c r="BB572" s="1"/>
      <c r="BC572" s="1"/>
    </row>
    <row r="573" spans="1:55" s="78" customFormat="1" ht="15" customHeight="1" x14ac:dyDescent="0.25">
      <c r="A573" s="52" t="s">
        <v>4582</v>
      </c>
      <c r="B573" s="34" t="s">
        <v>59</v>
      </c>
      <c r="C573" s="53">
        <v>2026</v>
      </c>
      <c r="D573" s="53">
        <v>2026</v>
      </c>
      <c r="E573" s="54" t="s">
        <v>3304</v>
      </c>
      <c r="F573" s="55" t="s">
        <v>50</v>
      </c>
      <c r="G573" s="55" t="s">
        <v>50</v>
      </c>
      <c r="H573" s="45" t="s">
        <v>1460</v>
      </c>
      <c r="I573" s="56" t="s">
        <v>78</v>
      </c>
      <c r="J573" s="56" t="s">
        <v>165</v>
      </c>
      <c r="K573" s="55" t="s">
        <v>597</v>
      </c>
      <c r="L573" s="55" t="s">
        <v>88</v>
      </c>
      <c r="M573" s="55"/>
      <c r="N573" s="55" t="s">
        <v>110</v>
      </c>
      <c r="O573" s="55"/>
      <c r="P573" s="56" t="s">
        <v>89</v>
      </c>
      <c r="Q573" s="56" t="s">
        <v>89</v>
      </c>
      <c r="R573" s="55"/>
      <c r="S573" s="56" t="s">
        <v>81</v>
      </c>
      <c r="T573" s="55" t="str">
        <f>IF(ISNUMBER(SEARCH(",",N573)),"Y","N")</f>
        <v>N</v>
      </c>
      <c r="U573" s="57">
        <v>7000000</v>
      </c>
      <c r="V573" s="57" t="s">
        <v>101</v>
      </c>
      <c r="W573" s="55"/>
      <c r="X573" s="54" t="s">
        <v>4582</v>
      </c>
      <c r="Y573" s="52"/>
      <c r="Z573" s="3" t="s">
        <v>154</v>
      </c>
      <c r="AA573" s="3" t="s">
        <v>1461</v>
      </c>
      <c r="AB573" s="3"/>
      <c r="AC573" s="3"/>
      <c r="AD573" s="3" t="s">
        <v>62</v>
      </c>
      <c r="AE573" s="3" t="s">
        <v>1054</v>
      </c>
      <c r="AF573" s="3"/>
      <c r="AG573" s="3" t="s">
        <v>1462</v>
      </c>
      <c r="AH573" s="58">
        <v>100</v>
      </c>
      <c r="AI573" s="3"/>
      <c r="AJ573" s="3"/>
      <c r="AK573" s="3"/>
      <c r="AL573" s="3"/>
      <c r="AM573" s="3"/>
      <c r="AN573" s="3"/>
      <c r="AO573" s="3"/>
      <c r="AP573" s="3"/>
      <c r="AQ573" s="3"/>
      <c r="AR573" s="3"/>
      <c r="AS573" s="3"/>
      <c r="AT573" s="3"/>
      <c r="AU573" s="3"/>
      <c r="AV573" s="3"/>
      <c r="AW573" s="3"/>
      <c r="AX573" s="3"/>
      <c r="AY573" s="3"/>
      <c r="AZ573" s="4" t="s">
        <v>1459</v>
      </c>
      <c r="BA573" s="3"/>
      <c r="BB573" s="1"/>
      <c r="BC573" s="1"/>
    </row>
    <row r="574" spans="1:55" s="78" customFormat="1" ht="15" customHeight="1" x14ac:dyDescent="0.25">
      <c r="A574" s="52" t="s">
        <v>4583</v>
      </c>
      <c r="B574" s="34" t="s">
        <v>59</v>
      </c>
      <c r="C574" s="53">
        <v>2026</v>
      </c>
      <c r="D574" s="53">
        <v>2026</v>
      </c>
      <c r="E574" s="54" t="s">
        <v>3305</v>
      </c>
      <c r="F574" s="55" t="s">
        <v>50</v>
      </c>
      <c r="G574" s="55" t="s">
        <v>50</v>
      </c>
      <c r="H574" s="45" t="s">
        <v>1463</v>
      </c>
      <c r="I574" s="56" t="s">
        <v>52</v>
      </c>
      <c r="J574" s="56" t="s">
        <v>165</v>
      </c>
      <c r="K574" s="55" t="s">
        <v>597</v>
      </c>
      <c r="L574" s="55" t="str">
        <f>IF(K574="Mine or Quarry","Mine","")</f>
        <v/>
      </c>
      <c r="M574" s="55"/>
      <c r="N574" s="55" t="s">
        <v>1371</v>
      </c>
      <c r="O574" s="55"/>
      <c r="P574" s="56" t="s">
        <v>89</v>
      </c>
      <c r="Q574" s="56" t="s">
        <v>89</v>
      </c>
      <c r="R574" s="55"/>
      <c r="S574" s="56" t="s">
        <v>81</v>
      </c>
      <c r="T574" s="55" t="str">
        <f>IF(ISNUMBER(SEARCH(",",N574)),"Y","N")</f>
        <v>N</v>
      </c>
      <c r="U574" s="57">
        <v>7000000</v>
      </c>
      <c r="V574" s="57" t="s">
        <v>101</v>
      </c>
      <c r="W574" s="55"/>
      <c r="X574" s="54" t="s">
        <v>4583</v>
      </c>
      <c r="Y574" s="52"/>
      <c r="Z574" s="3" t="s">
        <v>154</v>
      </c>
      <c r="AA574" s="3" t="s">
        <v>1461</v>
      </c>
      <c r="AB574" s="3"/>
      <c r="AC574" s="3"/>
      <c r="AD574" s="3" t="s">
        <v>62</v>
      </c>
      <c r="AE574" s="3" t="s">
        <v>1054</v>
      </c>
      <c r="AF574" s="3"/>
      <c r="AG574" s="3" t="s">
        <v>1462</v>
      </c>
      <c r="AH574" s="58">
        <v>100</v>
      </c>
      <c r="AI574" s="3"/>
      <c r="AJ574" s="3"/>
      <c r="AK574" s="3"/>
      <c r="AL574" s="3"/>
      <c r="AM574" s="3"/>
      <c r="AN574" s="3"/>
      <c r="AO574" s="3"/>
      <c r="AP574" s="3"/>
      <c r="AQ574" s="3"/>
      <c r="AR574" s="3"/>
      <c r="AS574" s="3"/>
      <c r="AT574" s="3"/>
      <c r="AU574" s="3"/>
      <c r="AV574" s="3"/>
      <c r="AW574" s="3"/>
      <c r="AX574" s="3"/>
      <c r="AY574" s="3"/>
      <c r="AZ574" s="4" t="s">
        <v>1459</v>
      </c>
      <c r="BA574" s="3"/>
      <c r="BB574" s="1"/>
      <c r="BC574" s="1"/>
    </row>
    <row r="575" spans="1:55" s="78" customFormat="1" ht="15" customHeight="1" x14ac:dyDescent="0.25">
      <c r="A575" s="52" t="s">
        <v>4584</v>
      </c>
      <c r="B575" s="34" t="s">
        <v>59</v>
      </c>
      <c r="C575" s="53">
        <v>2026</v>
      </c>
      <c r="D575" s="53">
        <v>2026</v>
      </c>
      <c r="E575" s="54" t="s">
        <v>3306</v>
      </c>
      <c r="F575" s="55" t="s">
        <v>50</v>
      </c>
      <c r="G575" s="55" t="s">
        <v>50</v>
      </c>
      <c r="H575" s="45" t="s">
        <v>1465</v>
      </c>
      <c r="I575" s="56" t="s">
        <v>78</v>
      </c>
      <c r="J575" s="56"/>
      <c r="K575" s="55" t="s">
        <v>71</v>
      </c>
      <c r="L575" s="55" t="s">
        <v>88</v>
      </c>
      <c r="M575" s="55"/>
      <c r="N575" s="55" t="s">
        <v>181</v>
      </c>
      <c r="O575" s="55"/>
      <c r="P575" s="55" t="s">
        <v>73</v>
      </c>
      <c r="Q575" s="55" t="s">
        <v>57</v>
      </c>
      <c r="R575" s="55"/>
      <c r="S575" s="56" t="s">
        <v>58</v>
      </c>
      <c r="T575" s="55" t="str">
        <f>IF(ISNUMBER(SEARCH(",",N575)),"Y","N")</f>
        <v>N</v>
      </c>
      <c r="U575" s="57">
        <v>1.1339999999999999</v>
      </c>
      <c r="V575" s="57" t="s">
        <v>101</v>
      </c>
      <c r="W575" s="55"/>
      <c r="X575" s="54" t="s">
        <v>4584</v>
      </c>
      <c r="Y575" s="52"/>
      <c r="Z575" s="3" t="s">
        <v>61</v>
      </c>
      <c r="AA575" s="3" t="s">
        <v>534</v>
      </c>
      <c r="AB575" s="3"/>
      <c r="AC575" s="3"/>
      <c r="AD575" s="3" t="s">
        <v>62</v>
      </c>
      <c r="AE575" s="3" t="s">
        <v>83</v>
      </c>
      <c r="AF575" s="3"/>
      <c r="AG575" s="3" t="s">
        <v>1466</v>
      </c>
      <c r="AH575" s="58">
        <v>100</v>
      </c>
      <c r="AI575" s="3"/>
      <c r="AJ575" s="3"/>
      <c r="AK575" s="3"/>
      <c r="AL575" s="3"/>
      <c r="AM575" s="3"/>
      <c r="AN575" s="3"/>
      <c r="AO575" s="3"/>
      <c r="AP575" s="3"/>
      <c r="AQ575" s="3"/>
      <c r="AR575" s="3"/>
      <c r="AS575" s="3"/>
      <c r="AT575" s="3"/>
      <c r="AU575" s="3"/>
      <c r="AV575" s="3"/>
      <c r="AW575" s="3"/>
      <c r="AX575" s="3"/>
      <c r="AY575" s="3"/>
      <c r="AZ575" s="4" t="s">
        <v>1464</v>
      </c>
      <c r="BA575" s="32"/>
      <c r="BB575" s="1"/>
      <c r="BC575" s="1"/>
    </row>
    <row r="576" spans="1:55" s="78" customFormat="1" ht="15" customHeight="1" x14ac:dyDescent="0.25">
      <c r="A576" s="52" t="s">
        <v>4585</v>
      </c>
      <c r="B576" s="34" t="s">
        <v>59</v>
      </c>
      <c r="C576" s="53">
        <v>2026</v>
      </c>
      <c r="D576" s="53">
        <v>2026</v>
      </c>
      <c r="E576" s="54" t="s">
        <v>3306</v>
      </c>
      <c r="F576" s="55" t="s">
        <v>50</v>
      </c>
      <c r="G576" s="55" t="s">
        <v>50</v>
      </c>
      <c r="H576" s="45" t="s">
        <v>1465</v>
      </c>
      <c r="I576" s="56" t="s">
        <v>78</v>
      </c>
      <c r="J576" s="56"/>
      <c r="K576" s="55" t="s">
        <v>74</v>
      </c>
      <c r="L576" s="55" t="s">
        <v>88</v>
      </c>
      <c r="M576" s="55"/>
      <c r="N576" s="55" t="s">
        <v>181</v>
      </c>
      <c r="O576" s="55"/>
      <c r="P576" s="55" t="s">
        <v>75</v>
      </c>
      <c r="Q576" s="56" t="s">
        <v>57</v>
      </c>
      <c r="R576" s="55"/>
      <c r="S576" s="56" t="s">
        <v>58</v>
      </c>
      <c r="T576" s="55" t="s">
        <v>81</v>
      </c>
      <c r="U576" s="57">
        <v>0.90700000000000003</v>
      </c>
      <c r="V576" s="57" t="s">
        <v>101</v>
      </c>
      <c r="W576" s="55"/>
      <c r="X576" s="54" t="s">
        <v>4585</v>
      </c>
      <c r="Y576" s="52"/>
      <c r="Z576" s="3" t="s">
        <v>61</v>
      </c>
      <c r="AA576" s="3" t="s">
        <v>534</v>
      </c>
      <c r="AB576" s="3"/>
      <c r="AC576" s="3"/>
      <c r="AD576" s="3" t="s">
        <v>62</v>
      </c>
      <c r="AE576" s="3" t="s">
        <v>83</v>
      </c>
      <c r="AF576" s="3"/>
      <c r="AG576" s="3" t="s">
        <v>1466</v>
      </c>
      <c r="AH576" s="58">
        <v>100</v>
      </c>
      <c r="AI576" s="3"/>
      <c r="AJ576" s="3"/>
      <c r="AK576" s="3"/>
      <c r="AL576" s="3"/>
      <c r="AM576" s="3"/>
      <c r="AN576" s="3"/>
      <c r="AO576" s="3"/>
      <c r="AP576" s="3"/>
      <c r="AQ576" s="3"/>
      <c r="AR576" s="3"/>
      <c r="AS576" s="3"/>
      <c r="AT576" s="3"/>
      <c r="AU576" s="3"/>
      <c r="AV576" s="3"/>
      <c r="AW576" s="3"/>
      <c r="AX576" s="3"/>
      <c r="AY576" s="3"/>
      <c r="AZ576" s="4" t="s">
        <v>1464</v>
      </c>
      <c r="BA576" s="32"/>
      <c r="BB576" s="1"/>
      <c r="BC576" s="1"/>
    </row>
    <row r="577" spans="1:55" s="78" customFormat="1" ht="15" customHeight="1" x14ac:dyDescent="0.25">
      <c r="A577" s="52" t="s">
        <v>4586</v>
      </c>
      <c r="B577" s="34" t="s">
        <v>59</v>
      </c>
      <c r="C577" s="53">
        <v>2026</v>
      </c>
      <c r="D577" s="53">
        <v>2026</v>
      </c>
      <c r="E577" s="54" t="s">
        <v>3307</v>
      </c>
      <c r="F577" s="55" t="s">
        <v>50</v>
      </c>
      <c r="G577" s="55" t="s">
        <v>50</v>
      </c>
      <c r="H577" s="45" t="s">
        <v>1467</v>
      </c>
      <c r="I577" s="61" t="s">
        <v>52</v>
      </c>
      <c r="J577" s="56"/>
      <c r="K577" s="55" t="s">
        <v>74</v>
      </c>
      <c r="L577" s="55" t="str">
        <f>IF(K577="Mines and Quarries","Mine","")</f>
        <v/>
      </c>
      <c r="M577" s="55"/>
      <c r="N577" s="55" t="s">
        <v>110</v>
      </c>
      <c r="O577" s="56" t="s">
        <v>296</v>
      </c>
      <c r="P577" s="55" t="s">
        <v>75</v>
      </c>
      <c r="Q577" s="56" t="s">
        <v>57</v>
      </c>
      <c r="R577" s="55"/>
      <c r="S577" s="56" t="s">
        <v>58</v>
      </c>
      <c r="T577" s="55" t="str">
        <f>IF(ISNUMBER(SEARCH(",",N577)),"Y","N")</f>
        <v>N</v>
      </c>
      <c r="U577" s="57">
        <v>0.90700000000000003</v>
      </c>
      <c r="V577" s="57" t="s">
        <v>101</v>
      </c>
      <c r="W577" s="55"/>
      <c r="X577" s="54" t="s">
        <v>4586</v>
      </c>
      <c r="Y577" s="52"/>
      <c r="Z577" s="3" t="s">
        <v>61</v>
      </c>
      <c r="AA577" s="3" t="s">
        <v>534</v>
      </c>
      <c r="AB577" s="3"/>
      <c r="AC577" s="3"/>
      <c r="AD577" s="3" t="s">
        <v>62</v>
      </c>
      <c r="AE577" s="3" t="s">
        <v>83</v>
      </c>
      <c r="AF577" s="3"/>
      <c r="AG577" s="3" t="s">
        <v>1466</v>
      </c>
      <c r="AH577" s="58">
        <v>100</v>
      </c>
      <c r="AI577" s="3"/>
      <c r="AJ577" s="3"/>
      <c r="AK577" s="3"/>
      <c r="AL577" s="3"/>
      <c r="AM577" s="3"/>
      <c r="AN577" s="3"/>
      <c r="AO577" s="3"/>
      <c r="AP577" s="3"/>
      <c r="AQ577" s="3"/>
      <c r="AR577" s="3"/>
      <c r="AS577" s="3"/>
      <c r="AT577" s="3"/>
      <c r="AU577" s="3"/>
      <c r="AV577" s="3"/>
      <c r="AW577" s="3"/>
      <c r="AX577" s="3"/>
      <c r="AY577" s="3"/>
      <c r="AZ577" s="4" t="s">
        <v>1464</v>
      </c>
      <c r="BA577" s="32"/>
      <c r="BB577" s="1"/>
      <c r="BC577" s="1"/>
    </row>
    <row r="578" spans="1:55" s="78" customFormat="1" ht="15" customHeight="1" x14ac:dyDescent="0.25">
      <c r="A578" s="52" t="s">
        <v>4587</v>
      </c>
      <c r="B578" s="34" t="s">
        <v>59</v>
      </c>
      <c r="C578" s="53">
        <v>2026</v>
      </c>
      <c r="D578" s="53">
        <v>2026</v>
      </c>
      <c r="E578" s="54" t="s">
        <v>3307</v>
      </c>
      <c r="F578" s="55" t="s">
        <v>50</v>
      </c>
      <c r="G578" s="55" t="s">
        <v>50</v>
      </c>
      <c r="H578" s="45" t="s">
        <v>1467</v>
      </c>
      <c r="I578" s="61" t="s">
        <v>52</v>
      </c>
      <c r="J578" s="56"/>
      <c r="K578" s="55" t="s">
        <v>71</v>
      </c>
      <c r="L578" s="55"/>
      <c r="M578" s="55"/>
      <c r="N578" s="55" t="s">
        <v>110</v>
      </c>
      <c r="O578" s="45" t="s">
        <v>296</v>
      </c>
      <c r="P578" s="55" t="s">
        <v>73</v>
      </c>
      <c r="Q578" s="55" t="s">
        <v>57</v>
      </c>
      <c r="R578" s="55"/>
      <c r="S578" s="56" t="s">
        <v>58</v>
      </c>
      <c r="T578" s="55" t="str">
        <f>IF(ISNUMBER(SEARCH(",",N578)),"Y","N")</f>
        <v>N</v>
      </c>
      <c r="U578" s="57">
        <v>1.1339999999999999</v>
      </c>
      <c r="V578" s="57" t="s">
        <v>101</v>
      </c>
      <c r="W578" s="55"/>
      <c r="X578" s="54" t="s">
        <v>4587</v>
      </c>
      <c r="Y578" s="52"/>
      <c r="Z578" s="3" t="s">
        <v>61</v>
      </c>
      <c r="AA578" s="3" t="s">
        <v>534</v>
      </c>
      <c r="AB578" s="3"/>
      <c r="AC578" s="3"/>
      <c r="AD578" s="3" t="s">
        <v>62</v>
      </c>
      <c r="AE578" s="3" t="s">
        <v>83</v>
      </c>
      <c r="AF578" s="3"/>
      <c r="AG578" s="3" t="s">
        <v>1466</v>
      </c>
      <c r="AH578" s="58">
        <v>100</v>
      </c>
      <c r="AI578" s="3"/>
      <c r="AJ578" s="3"/>
      <c r="AK578" s="3"/>
      <c r="AL578" s="3"/>
      <c r="AM578" s="3"/>
      <c r="AN578" s="3"/>
      <c r="AO578" s="3"/>
      <c r="AP578" s="3"/>
      <c r="AQ578" s="3"/>
      <c r="AR578" s="3"/>
      <c r="AS578" s="3"/>
      <c r="AT578" s="3"/>
      <c r="AU578" s="3"/>
      <c r="AV578" s="3"/>
      <c r="AW578" s="3"/>
      <c r="AX578" s="3"/>
      <c r="AY578" s="3"/>
      <c r="AZ578" s="4" t="s">
        <v>1464</v>
      </c>
      <c r="BA578" s="32"/>
      <c r="BB578" s="1"/>
      <c r="BC578" s="1"/>
    </row>
    <row r="579" spans="1:55" s="78" customFormat="1" ht="15" customHeight="1" x14ac:dyDescent="0.25">
      <c r="A579" s="52" t="s">
        <v>4588</v>
      </c>
      <c r="B579" s="34" t="s">
        <v>59</v>
      </c>
      <c r="C579" s="53">
        <v>2026</v>
      </c>
      <c r="D579" s="53">
        <v>2026</v>
      </c>
      <c r="E579" s="54" t="s">
        <v>3308</v>
      </c>
      <c r="F579" s="55" t="s">
        <v>50</v>
      </c>
      <c r="G579" s="55" t="s">
        <v>50</v>
      </c>
      <c r="H579" s="45" t="s">
        <v>1468</v>
      </c>
      <c r="I579" s="61" t="s">
        <v>78</v>
      </c>
      <c r="J579" s="56"/>
      <c r="K579" s="45" t="s">
        <v>180</v>
      </c>
      <c r="L579" s="55"/>
      <c r="M579" s="55"/>
      <c r="N579" s="55" t="s">
        <v>181</v>
      </c>
      <c r="O579" s="55"/>
      <c r="P579" s="55" t="s">
        <v>182</v>
      </c>
      <c r="Q579" s="55" t="s">
        <v>5353</v>
      </c>
      <c r="R579" s="55"/>
      <c r="S579" s="56" t="s">
        <v>81</v>
      </c>
      <c r="T579" s="55" t="str">
        <f>IF(ISNUMBER(SEARCH(",",N579)),"Y","N")</f>
        <v>N</v>
      </c>
      <c r="U579" s="57">
        <v>-999</v>
      </c>
      <c r="V579" s="57" t="s">
        <v>59</v>
      </c>
      <c r="W579" s="55"/>
      <c r="X579" s="54" t="s">
        <v>4588</v>
      </c>
      <c r="Y579" s="53"/>
      <c r="Z579" s="3" t="s">
        <v>154</v>
      </c>
      <c r="AA579" s="3" t="s">
        <v>449</v>
      </c>
      <c r="AB579" s="3"/>
      <c r="AC579" s="3"/>
      <c r="AD579" s="3" t="s">
        <v>62</v>
      </c>
      <c r="AE579" s="3" t="s">
        <v>387</v>
      </c>
      <c r="AF579" s="3"/>
      <c r="AG579" s="3" t="s">
        <v>450</v>
      </c>
      <c r="AH579" s="58">
        <v>100</v>
      </c>
      <c r="AI579" s="3"/>
      <c r="AJ579" s="53"/>
      <c r="AK579" s="3"/>
      <c r="AL579" s="3"/>
      <c r="AM579" s="3"/>
      <c r="AN579" s="3"/>
      <c r="AO579" s="3"/>
      <c r="AP579" s="3"/>
      <c r="AQ579" s="3"/>
      <c r="AR579" s="3"/>
      <c r="AS579" s="3"/>
      <c r="AT579" s="3"/>
      <c r="AU579" s="3"/>
      <c r="AV579" s="3"/>
      <c r="AW579" s="3"/>
      <c r="AX579" s="3"/>
      <c r="AY579" s="3"/>
      <c r="AZ579" s="4" t="s">
        <v>447</v>
      </c>
      <c r="BA579" s="3"/>
      <c r="BB579" s="1"/>
      <c r="BC579" s="1"/>
    </row>
    <row r="580" spans="1:55" s="78" customFormat="1" ht="15" customHeight="1" x14ac:dyDescent="0.25">
      <c r="A580" s="52" t="s">
        <v>4589</v>
      </c>
      <c r="B580" s="34" t="s">
        <v>59</v>
      </c>
      <c r="C580" s="53">
        <v>2026</v>
      </c>
      <c r="D580" s="53">
        <v>2026</v>
      </c>
      <c r="E580" s="54" t="s">
        <v>3309</v>
      </c>
      <c r="F580" s="55" t="s">
        <v>50</v>
      </c>
      <c r="G580" s="55" t="s">
        <v>50</v>
      </c>
      <c r="H580" s="45" t="s">
        <v>1469</v>
      </c>
      <c r="I580" s="56" t="s">
        <v>52</v>
      </c>
      <c r="J580" s="56"/>
      <c r="K580" s="56" t="s">
        <v>1019</v>
      </c>
      <c r="L580" s="55"/>
      <c r="M580" s="55"/>
      <c r="N580" s="56"/>
      <c r="O580" s="56" t="s">
        <v>1470</v>
      </c>
      <c r="P580" s="56" t="s">
        <v>89</v>
      </c>
      <c r="Q580" s="56" t="s">
        <v>89</v>
      </c>
      <c r="R580" s="55"/>
      <c r="S580" s="56" t="s">
        <v>81</v>
      </c>
      <c r="T580" s="55" t="s">
        <v>81</v>
      </c>
      <c r="U580" s="57">
        <v>-999</v>
      </c>
      <c r="V580" s="57" t="s">
        <v>59</v>
      </c>
      <c r="W580" s="55" t="s">
        <v>2319</v>
      </c>
      <c r="X580" s="54" t="s">
        <v>4589</v>
      </c>
      <c r="Y580" s="52"/>
      <c r="Z580" s="1" t="s">
        <v>61</v>
      </c>
      <c r="AA580" s="1" t="s">
        <v>1471</v>
      </c>
      <c r="AB580" s="1"/>
      <c r="AC580" s="1"/>
      <c r="AD580" s="3" t="s">
        <v>62</v>
      </c>
      <c r="AE580" s="1" t="s">
        <v>506</v>
      </c>
      <c r="AF580" s="1"/>
      <c r="AG580" s="1" t="s">
        <v>1472</v>
      </c>
      <c r="AH580" s="2">
        <v>100</v>
      </c>
      <c r="AI580" s="1"/>
      <c r="AJ580" s="1"/>
      <c r="AK580" s="1"/>
      <c r="AL580" s="1"/>
      <c r="AM580" s="1"/>
      <c r="AN580" s="1"/>
      <c r="AO580" s="1"/>
      <c r="AP580" s="1"/>
      <c r="AQ580" s="1"/>
      <c r="AR580" s="1"/>
      <c r="AS580" s="1"/>
      <c r="AT580" s="1"/>
      <c r="AU580" s="1"/>
      <c r="AV580" s="1"/>
      <c r="AW580" s="1"/>
      <c r="AX580" s="1"/>
      <c r="AY580" s="1"/>
      <c r="AZ580" s="4" t="s">
        <v>1017</v>
      </c>
      <c r="BA580" s="1"/>
      <c r="BB580" s="1"/>
      <c r="BC580" s="1"/>
    </row>
    <row r="581" spans="1:55" s="78" customFormat="1" ht="15" customHeight="1" x14ac:dyDescent="0.25">
      <c r="A581" s="52" t="s">
        <v>4590</v>
      </c>
      <c r="B581" s="34" t="s">
        <v>59</v>
      </c>
      <c r="C581" s="53">
        <v>2026</v>
      </c>
      <c r="D581" s="53">
        <v>2026</v>
      </c>
      <c r="E581" s="54" t="s">
        <v>3310</v>
      </c>
      <c r="F581" s="55" t="s">
        <v>50</v>
      </c>
      <c r="G581" s="55" t="s">
        <v>50</v>
      </c>
      <c r="H581" s="45" t="s">
        <v>1473</v>
      </c>
      <c r="I581" s="56" t="s">
        <v>78</v>
      </c>
      <c r="J581" s="56"/>
      <c r="K581" s="55" t="s">
        <v>71</v>
      </c>
      <c r="L581" s="55" t="s">
        <v>88</v>
      </c>
      <c r="M581" s="55"/>
      <c r="N581" s="55" t="s">
        <v>181</v>
      </c>
      <c r="O581" s="55"/>
      <c r="P581" s="55" t="s">
        <v>73</v>
      </c>
      <c r="Q581" s="55" t="s">
        <v>57</v>
      </c>
      <c r="R581" s="55"/>
      <c r="S581" s="56" t="s">
        <v>58</v>
      </c>
      <c r="T581" s="55" t="str">
        <f>IF(ISNUMBER(SEARCH(",",N581)),"Y","N")</f>
        <v>N</v>
      </c>
      <c r="U581" s="57">
        <v>3.4020000000000001</v>
      </c>
      <c r="V581" s="57" t="s">
        <v>101</v>
      </c>
      <c r="W581" s="55"/>
      <c r="X581" s="54" t="s">
        <v>4590</v>
      </c>
      <c r="Y581" s="52"/>
      <c r="Z581" s="3" t="s">
        <v>61</v>
      </c>
      <c r="AA581" s="3" t="s">
        <v>452</v>
      </c>
      <c r="AB581" s="3"/>
      <c r="AC581" s="3"/>
      <c r="AD581" s="3" t="s">
        <v>62</v>
      </c>
      <c r="AE581" s="3" t="s">
        <v>83</v>
      </c>
      <c r="AF581" s="3" t="s">
        <v>1474</v>
      </c>
      <c r="AG581" s="3" t="s">
        <v>1474</v>
      </c>
      <c r="AH581" s="58">
        <v>100</v>
      </c>
      <c r="AI581" s="3"/>
      <c r="AJ581" s="3"/>
      <c r="AK581" s="3"/>
      <c r="AL581" s="3"/>
      <c r="AM581" s="3"/>
      <c r="AN581" s="3"/>
      <c r="AO581" s="3"/>
      <c r="AP581" s="3"/>
      <c r="AQ581" s="3"/>
      <c r="AR581" s="3"/>
      <c r="AS581" s="3"/>
      <c r="AT581" s="3"/>
      <c r="AU581" s="3"/>
      <c r="AV581" s="3"/>
      <c r="AW581" s="3"/>
      <c r="AX581" s="3"/>
      <c r="AY581" s="3"/>
      <c r="AZ581" s="2" t="s">
        <v>3877</v>
      </c>
      <c r="BA581" s="5" t="s">
        <v>3878</v>
      </c>
      <c r="BB581" s="1"/>
      <c r="BC581" s="1"/>
    </row>
    <row r="582" spans="1:55" s="78" customFormat="1" ht="15" customHeight="1" x14ac:dyDescent="0.25">
      <c r="A582" s="52" t="s">
        <v>4591</v>
      </c>
      <c r="B582" s="34" t="s">
        <v>59</v>
      </c>
      <c r="C582" s="53">
        <v>2026</v>
      </c>
      <c r="D582" s="53">
        <v>2026</v>
      </c>
      <c r="E582" s="54" t="s">
        <v>3311</v>
      </c>
      <c r="F582" s="55" t="s">
        <v>50</v>
      </c>
      <c r="G582" s="55" t="s">
        <v>50</v>
      </c>
      <c r="H582" s="45" t="s">
        <v>1475</v>
      </c>
      <c r="I582" s="56" t="s">
        <v>52</v>
      </c>
      <c r="J582" s="56"/>
      <c r="K582" s="56" t="s">
        <v>71</v>
      </c>
      <c r="L582" s="55"/>
      <c r="M582" s="55"/>
      <c r="N582" s="55" t="s">
        <v>110</v>
      </c>
      <c r="O582" s="45" t="s">
        <v>296</v>
      </c>
      <c r="P582" s="55" t="s">
        <v>73</v>
      </c>
      <c r="Q582" s="55" t="s">
        <v>57</v>
      </c>
      <c r="R582" s="55"/>
      <c r="S582" s="56" t="s">
        <v>58</v>
      </c>
      <c r="T582" s="55" t="str">
        <f>IF(ISNUMBER(SEARCH(",",N582)),"Y","N")</f>
        <v>N</v>
      </c>
      <c r="U582" s="57">
        <v>3.4020000000000001</v>
      </c>
      <c r="V582" s="57" t="s">
        <v>101</v>
      </c>
      <c r="W582" s="55"/>
      <c r="X582" s="54" t="s">
        <v>4591</v>
      </c>
      <c r="Y582" s="52"/>
      <c r="Z582" s="2" t="s">
        <v>61</v>
      </c>
      <c r="AA582" s="1" t="s">
        <v>452</v>
      </c>
      <c r="AB582" s="1"/>
      <c r="AC582" s="1"/>
      <c r="AD582" s="3" t="s">
        <v>62</v>
      </c>
      <c r="AE582" s="2" t="s">
        <v>83</v>
      </c>
      <c r="AF582" s="3" t="s">
        <v>1474</v>
      </c>
      <c r="AG582" s="3" t="s">
        <v>1474</v>
      </c>
      <c r="AH582" s="58">
        <v>100</v>
      </c>
      <c r="AI582" s="1"/>
      <c r="AJ582" s="1"/>
      <c r="AK582" s="1"/>
      <c r="AL582" s="1"/>
      <c r="AM582" s="1"/>
      <c r="AN582" s="1"/>
      <c r="AO582" s="1"/>
      <c r="AP582" s="1"/>
      <c r="AQ582" s="1"/>
      <c r="AR582" s="1"/>
      <c r="AS582" s="1"/>
      <c r="AT582" s="1"/>
      <c r="AU582" s="1"/>
      <c r="AV582" s="1"/>
      <c r="AW582" s="1"/>
      <c r="AX582" s="1"/>
      <c r="AY582" s="1"/>
      <c r="AZ582" s="2" t="s">
        <v>3877</v>
      </c>
      <c r="BA582" s="5" t="s">
        <v>3878</v>
      </c>
      <c r="BB582" s="1"/>
      <c r="BC582" s="1"/>
    </row>
    <row r="583" spans="1:55" s="78" customFormat="1" ht="15" customHeight="1" x14ac:dyDescent="0.25">
      <c r="A583" s="52" t="s">
        <v>4592</v>
      </c>
      <c r="B583" s="34" t="s">
        <v>59</v>
      </c>
      <c r="C583" s="53">
        <v>2026</v>
      </c>
      <c r="D583" s="53">
        <v>2026</v>
      </c>
      <c r="E583" s="54" t="s">
        <v>3312</v>
      </c>
      <c r="F583" s="55" t="s">
        <v>50</v>
      </c>
      <c r="G583" s="55" t="s">
        <v>50</v>
      </c>
      <c r="H583" s="45" t="s">
        <v>1476</v>
      </c>
      <c r="I583" s="56" t="s">
        <v>52</v>
      </c>
      <c r="J583" s="56"/>
      <c r="K583" s="55" t="s">
        <v>633</v>
      </c>
      <c r="L583" s="55"/>
      <c r="M583" s="55"/>
      <c r="N583" s="56" t="s">
        <v>418</v>
      </c>
      <c r="O583" s="56"/>
      <c r="P583" s="56" t="s">
        <v>89</v>
      </c>
      <c r="Q583" s="61" t="s">
        <v>89</v>
      </c>
      <c r="R583" s="55"/>
      <c r="S583" s="56" t="s">
        <v>81</v>
      </c>
      <c r="T583" s="55" t="s">
        <v>81</v>
      </c>
      <c r="U583" s="57">
        <v>720000</v>
      </c>
      <c r="V583" s="57" t="s">
        <v>101</v>
      </c>
      <c r="W583" s="55" t="s">
        <v>2319</v>
      </c>
      <c r="X583" s="54" t="s">
        <v>4592</v>
      </c>
      <c r="Y583" s="52"/>
      <c r="Z583" s="2" t="s">
        <v>61</v>
      </c>
      <c r="AA583" s="1" t="s">
        <v>1477</v>
      </c>
      <c r="AB583" s="1"/>
      <c r="AC583" s="1"/>
      <c r="AD583" s="3" t="s">
        <v>62</v>
      </c>
      <c r="AE583" s="2" t="s">
        <v>592</v>
      </c>
      <c r="AF583" s="2"/>
      <c r="AG583" s="1" t="s">
        <v>1276</v>
      </c>
      <c r="AH583" s="2">
        <v>100</v>
      </c>
      <c r="AI583" s="1"/>
      <c r="AJ583" s="1"/>
      <c r="AK583" s="1"/>
      <c r="AL583" s="1"/>
      <c r="AM583" s="1"/>
      <c r="AN583" s="1"/>
      <c r="AO583" s="1"/>
      <c r="AP583" s="1"/>
      <c r="AQ583" s="1"/>
      <c r="AR583" s="1"/>
      <c r="AS583" s="1"/>
      <c r="AT583" s="1"/>
      <c r="AU583" s="1"/>
      <c r="AV583" s="1"/>
      <c r="AW583" s="1"/>
      <c r="AX583" s="1"/>
      <c r="AY583" s="1"/>
      <c r="AZ583" s="4" t="s">
        <v>1273</v>
      </c>
      <c r="BA583" s="1"/>
      <c r="BB583" s="1"/>
      <c r="BC583" s="1"/>
    </row>
    <row r="584" spans="1:55" s="78" customFormat="1" ht="15" customHeight="1" x14ac:dyDescent="0.25">
      <c r="A584" s="52" t="s">
        <v>4593</v>
      </c>
      <c r="B584" s="34" t="s">
        <v>59</v>
      </c>
      <c r="C584" s="53">
        <v>2026</v>
      </c>
      <c r="D584" s="53">
        <v>2026</v>
      </c>
      <c r="E584" s="54" t="s">
        <v>3313</v>
      </c>
      <c r="F584" s="55" t="s">
        <v>50</v>
      </c>
      <c r="G584" s="55" t="s">
        <v>50</v>
      </c>
      <c r="H584" s="45" t="s">
        <v>3791</v>
      </c>
      <c r="I584" s="56" t="s">
        <v>78</v>
      </c>
      <c r="J584" s="56"/>
      <c r="K584" s="45" t="s">
        <v>53</v>
      </c>
      <c r="L584" s="55"/>
      <c r="M584" s="55"/>
      <c r="N584" s="45" t="s">
        <v>181</v>
      </c>
      <c r="O584" s="45"/>
      <c r="P584" s="55" t="s">
        <v>56</v>
      </c>
      <c r="Q584" s="55" t="s">
        <v>57</v>
      </c>
      <c r="R584" s="55"/>
      <c r="S584" s="56" t="s">
        <v>81</v>
      </c>
      <c r="T584" s="55" t="s">
        <v>81</v>
      </c>
      <c r="U584" s="57">
        <v>11000</v>
      </c>
      <c r="V584" s="57" t="s">
        <v>101</v>
      </c>
      <c r="W584" s="55"/>
      <c r="X584" s="54" t="s">
        <v>4593</v>
      </c>
      <c r="Y584" s="52"/>
      <c r="Z584" s="1" t="s">
        <v>61</v>
      </c>
      <c r="AA584" s="65" t="s">
        <v>3792</v>
      </c>
      <c r="AB584" s="65"/>
      <c r="AC584" s="65"/>
      <c r="AD584" s="3" t="s">
        <v>62</v>
      </c>
      <c r="AE584" s="2" t="s">
        <v>108</v>
      </c>
      <c r="AF584" s="2"/>
      <c r="AG584" s="56" t="s">
        <v>1304</v>
      </c>
      <c r="AH584" s="2">
        <v>51</v>
      </c>
      <c r="AI584" s="2" t="s">
        <v>3793</v>
      </c>
      <c r="AJ584" s="2">
        <v>49</v>
      </c>
      <c r="AK584" s="2"/>
      <c r="AL584" s="2"/>
      <c r="AM584" s="2"/>
      <c r="AN584" s="2"/>
      <c r="AO584" s="2"/>
      <c r="AP584" s="2"/>
      <c r="AQ584" s="2"/>
      <c r="AR584" s="2"/>
      <c r="AS584" s="2"/>
      <c r="AT584" s="2"/>
      <c r="AU584" s="2"/>
      <c r="AV584" s="2"/>
      <c r="AW584" s="2"/>
      <c r="AX584" s="2"/>
      <c r="AY584" s="2"/>
      <c r="AZ584" s="4" t="s">
        <v>1301</v>
      </c>
      <c r="BA584" s="2"/>
      <c r="BB584" s="2"/>
      <c r="BC584" s="2"/>
    </row>
    <row r="585" spans="1:55" s="78" customFormat="1" ht="15" customHeight="1" x14ac:dyDescent="0.25">
      <c r="A585" s="52" t="s">
        <v>4594</v>
      </c>
      <c r="B585" s="34" t="s">
        <v>59</v>
      </c>
      <c r="C585" s="53">
        <v>2026</v>
      </c>
      <c r="D585" s="53">
        <v>2026</v>
      </c>
      <c r="E585" s="54" t="s">
        <v>3314</v>
      </c>
      <c r="F585" s="55" t="s">
        <v>50</v>
      </c>
      <c r="G585" s="55" t="s">
        <v>50</v>
      </c>
      <c r="H585" s="45" t="s">
        <v>1479</v>
      </c>
      <c r="I585" s="56" t="s">
        <v>78</v>
      </c>
      <c r="J585" s="56"/>
      <c r="K585" s="56" t="s">
        <v>79</v>
      </c>
      <c r="L585" s="55" t="str">
        <f>IF(K585="Mine or Quarry","Mine","")</f>
        <v/>
      </c>
      <c r="M585" s="55"/>
      <c r="N585" s="56" t="s">
        <v>80</v>
      </c>
      <c r="O585" s="56"/>
      <c r="P585" s="56" t="s">
        <v>89</v>
      </c>
      <c r="Q585" s="56" t="s">
        <v>89</v>
      </c>
      <c r="R585" s="55"/>
      <c r="S585" s="56" t="s">
        <v>81</v>
      </c>
      <c r="T585" s="55" t="str">
        <f>IF(ISNUMBER(SEARCH(",",N585)),"Y","N")</f>
        <v>N</v>
      </c>
      <c r="U585" s="57">
        <v>-999</v>
      </c>
      <c r="V585" s="57" t="s">
        <v>59</v>
      </c>
      <c r="W585" s="55" t="s">
        <v>2319</v>
      </c>
      <c r="X585" s="54" t="s">
        <v>4594</v>
      </c>
      <c r="Y585" s="52"/>
      <c r="Z585" s="1" t="s">
        <v>514</v>
      </c>
      <c r="AA585" s="1" t="s">
        <v>1480</v>
      </c>
      <c r="AB585" s="1"/>
      <c r="AC585" s="1"/>
      <c r="AD585" s="3" t="s">
        <v>62</v>
      </c>
      <c r="AE585" s="1" t="s">
        <v>251</v>
      </c>
      <c r="AF585" s="1" t="s">
        <v>307</v>
      </c>
      <c r="AG585" s="1" t="s">
        <v>308</v>
      </c>
      <c r="AH585" s="1"/>
      <c r="AI585" s="1"/>
      <c r="AJ585" s="1"/>
      <c r="AK585" s="1"/>
      <c r="AL585" s="1"/>
      <c r="AM585" s="1"/>
      <c r="AN585" s="1"/>
      <c r="AO585" s="1"/>
      <c r="AP585" s="1"/>
      <c r="AQ585" s="1"/>
      <c r="AR585" s="1"/>
      <c r="AS585" s="1"/>
      <c r="AT585" s="1"/>
      <c r="AU585" s="1"/>
      <c r="AV585" s="1"/>
      <c r="AW585" s="1"/>
      <c r="AX585" s="1"/>
      <c r="AY585" s="1"/>
      <c r="AZ585" s="5" t="s">
        <v>1478</v>
      </c>
      <c r="BA585" s="5"/>
      <c r="BB585" s="1"/>
      <c r="BC585" s="1"/>
    </row>
    <row r="586" spans="1:55" s="78" customFormat="1" ht="15" customHeight="1" x14ac:dyDescent="0.25">
      <c r="A586" s="52" t="s">
        <v>4595</v>
      </c>
      <c r="B586" s="34" t="s">
        <v>59</v>
      </c>
      <c r="C586" s="53">
        <v>2026</v>
      </c>
      <c r="D586" s="53">
        <v>2026</v>
      </c>
      <c r="E586" s="54" t="s">
        <v>3315</v>
      </c>
      <c r="F586" s="55" t="s">
        <v>50</v>
      </c>
      <c r="G586" s="55" t="s">
        <v>50</v>
      </c>
      <c r="H586" s="45" t="s">
        <v>1482</v>
      </c>
      <c r="I586" s="56" t="s">
        <v>78</v>
      </c>
      <c r="J586" s="56"/>
      <c r="K586" s="56" t="s">
        <v>79</v>
      </c>
      <c r="L586" s="55" t="str">
        <f>IF(K586="Mine or Quarry","Mine","")</f>
        <v/>
      </c>
      <c r="M586" s="55"/>
      <c r="N586" s="56" t="s">
        <v>80</v>
      </c>
      <c r="O586" s="56"/>
      <c r="P586" s="56" t="s">
        <v>89</v>
      </c>
      <c r="Q586" s="56" t="s">
        <v>89</v>
      </c>
      <c r="R586" s="55"/>
      <c r="S586" s="56" t="s">
        <v>81</v>
      </c>
      <c r="T586" s="55" t="str">
        <f>IF(ISNUMBER(SEARCH(",",N586)),"Y","N")</f>
        <v>N</v>
      </c>
      <c r="U586" s="57">
        <v>-999</v>
      </c>
      <c r="V586" s="57" t="s">
        <v>59</v>
      </c>
      <c r="W586" s="55" t="s">
        <v>2319</v>
      </c>
      <c r="X586" s="54" t="s">
        <v>4595</v>
      </c>
      <c r="Y586" s="52"/>
      <c r="Z586" s="1" t="s">
        <v>61</v>
      </c>
      <c r="AA586" s="1" t="s">
        <v>1173</v>
      </c>
      <c r="AB586" s="1"/>
      <c r="AC586" s="1"/>
      <c r="AD586" s="3" t="s">
        <v>62</v>
      </c>
      <c r="AE586" s="1" t="s">
        <v>1174</v>
      </c>
      <c r="AF586" s="1"/>
      <c r="AG586" s="1" t="s">
        <v>1483</v>
      </c>
      <c r="AH586" s="1"/>
      <c r="AI586" s="1"/>
      <c r="AJ586" s="1"/>
      <c r="AK586" s="1"/>
      <c r="AL586" s="1"/>
      <c r="AM586" s="1"/>
      <c r="AN586" s="1"/>
      <c r="AO586" s="1"/>
      <c r="AP586" s="1"/>
      <c r="AQ586" s="1"/>
      <c r="AR586" s="1"/>
      <c r="AS586" s="1"/>
      <c r="AT586" s="1"/>
      <c r="AU586" s="1"/>
      <c r="AV586" s="1"/>
      <c r="AW586" s="1"/>
      <c r="AX586" s="1"/>
      <c r="AY586" s="1"/>
      <c r="AZ586" s="5" t="s">
        <v>1481</v>
      </c>
      <c r="BA586" s="5"/>
      <c r="BB586" s="1"/>
      <c r="BC586" s="1"/>
    </row>
    <row r="587" spans="1:55" s="78" customFormat="1" ht="15" customHeight="1" x14ac:dyDescent="0.25">
      <c r="A587" s="52" t="s">
        <v>4596</v>
      </c>
      <c r="B587" s="34" t="s">
        <v>59</v>
      </c>
      <c r="C587" s="53">
        <v>2026</v>
      </c>
      <c r="D587" s="53">
        <v>2026</v>
      </c>
      <c r="E587" s="54" t="s">
        <v>3316</v>
      </c>
      <c r="F587" s="55" t="s">
        <v>50</v>
      </c>
      <c r="G587" s="55" t="s">
        <v>50</v>
      </c>
      <c r="H587" s="45" t="s">
        <v>1484</v>
      </c>
      <c r="I587" s="56" t="s">
        <v>78</v>
      </c>
      <c r="J587" s="56" t="s">
        <v>165</v>
      </c>
      <c r="K587" s="55" t="s">
        <v>597</v>
      </c>
      <c r="L587" s="55" t="s">
        <v>88</v>
      </c>
      <c r="M587" s="55"/>
      <c r="N587" s="55" t="s">
        <v>1371</v>
      </c>
      <c r="O587" s="55"/>
      <c r="P587" s="56" t="s">
        <v>598</v>
      </c>
      <c r="Q587" s="55" t="s">
        <v>57</v>
      </c>
      <c r="R587" s="55"/>
      <c r="S587" s="56" t="s">
        <v>81</v>
      </c>
      <c r="T587" s="55" t="str">
        <f>IF(ISNUMBER(SEARCH(",",N587)),"Y","N")</f>
        <v>N</v>
      </c>
      <c r="U587" s="57">
        <v>5400000</v>
      </c>
      <c r="V587" s="57" t="s">
        <v>101</v>
      </c>
      <c r="W587" s="55" t="s">
        <v>2319</v>
      </c>
      <c r="X587" s="54" t="s">
        <v>4596</v>
      </c>
      <c r="Y587" s="52"/>
      <c r="Z587" s="3" t="s">
        <v>61</v>
      </c>
      <c r="AA587" s="3" t="s">
        <v>1485</v>
      </c>
      <c r="AB587" s="3"/>
      <c r="AC587" s="3"/>
      <c r="AD587" s="3" t="s">
        <v>62</v>
      </c>
      <c r="AE587" s="3" t="s">
        <v>1054</v>
      </c>
      <c r="AF587" s="3"/>
      <c r="AG587" s="3" t="s">
        <v>1486</v>
      </c>
      <c r="AH587" s="58">
        <v>100</v>
      </c>
      <c r="AI587" s="3"/>
      <c r="AJ587" s="3"/>
      <c r="AK587" s="3"/>
      <c r="AL587" s="3"/>
      <c r="AM587" s="3"/>
      <c r="AN587" s="3"/>
      <c r="AO587" s="3"/>
      <c r="AP587" s="3"/>
      <c r="AQ587" s="3"/>
      <c r="AR587" s="3"/>
      <c r="AS587" s="3"/>
      <c r="AT587" s="3"/>
      <c r="AU587" s="3"/>
      <c r="AV587" s="3"/>
      <c r="AW587" s="3"/>
      <c r="AX587" s="3"/>
      <c r="AY587" s="3"/>
      <c r="AZ587" s="4" t="s">
        <v>2597</v>
      </c>
      <c r="BA587" s="3" t="s">
        <v>3879</v>
      </c>
      <c r="BB587" s="1"/>
      <c r="BC587" s="1"/>
    </row>
    <row r="588" spans="1:55" s="78" customFormat="1" ht="15" customHeight="1" x14ac:dyDescent="0.25">
      <c r="A588" s="52" t="s">
        <v>4597</v>
      </c>
      <c r="B588" s="34" t="s">
        <v>59</v>
      </c>
      <c r="C588" s="53">
        <v>2026</v>
      </c>
      <c r="D588" s="53">
        <v>2026</v>
      </c>
      <c r="E588" s="54" t="s">
        <v>3317</v>
      </c>
      <c r="F588" s="55" t="s">
        <v>50</v>
      </c>
      <c r="G588" s="55" t="s">
        <v>50</v>
      </c>
      <c r="H588" s="45" t="s">
        <v>1488</v>
      </c>
      <c r="I588" s="56" t="s">
        <v>52</v>
      </c>
      <c r="J588" s="56"/>
      <c r="K588" s="56" t="s">
        <v>346</v>
      </c>
      <c r="L588" s="55" t="str">
        <f>IF(K588="Mine or Quarry","Mine","")</f>
        <v/>
      </c>
      <c r="M588" s="55"/>
      <c r="N588" s="56" t="s">
        <v>788</v>
      </c>
      <c r="O588" s="56" t="s">
        <v>276</v>
      </c>
      <c r="P588" s="56" t="s">
        <v>89</v>
      </c>
      <c r="Q588" s="56" t="s">
        <v>89</v>
      </c>
      <c r="R588" s="55"/>
      <c r="S588" s="56" t="s">
        <v>81</v>
      </c>
      <c r="T588" s="55" t="str">
        <f>IF(ISNUMBER(SEARCH(",",N588)),"Y","N")</f>
        <v>N</v>
      </c>
      <c r="U588" s="57">
        <v>37500</v>
      </c>
      <c r="V588" s="57" t="s">
        <v>101</v>
      </c>
      <c r="W588" s="55"/>
      <c r="X588" s="54" t="s">
        <v>4597</v>
      </c>
      <c r="Y588" s="52"/>
      <c r="Z588" s="1" t="s">
        <v>154</v>
      </c>
      <c r="AA588" s="1" t="s">
        <v>1489</v>
      </c>
      <c r="AB588" s="1"/>
      <c r="AC588" s="1"/>
      <c r="AD588" s="3" t="s">
        <v>62</v>
      </c>
      <c r="AE588" s="1" t="s">
        <v>131</v>
      </c>
      <c r="AF588" s="1"/>
      <c r="AG588" s="3" t="s">
        <v>919</v>
      </c>
      <c r="AH588" s="2">
        <v>100</v>
      </c>
      <c r="AI588" s="1"/>
      <c r="AJ588" s="1"/>
      <c r="AK588" s="1"/>
      <c r="AL588" s="1"/>
      <c r="AM588" s="1"/>
      <c r="AN588" s="1"/>
      <c r="AO588" s="1"/>
      <c r="AP588" s="1"/>
      <c r="AQ588" s="1"/>
      <c r="AR588" s="1"/>
      <c r="AS588" s="1"/>
      <c r="AT588" s="1"/>
      <c r="AU588" s="1"/>
      <c r="AV588" s="1"/>
      <c r="AW588" s="1"/>
      <c r="AX588" s="1"/>
      <c r="AY588" s="1"/>
      <c r="AZ588" s="4" t="s">
        <v>1487</v>
      </c>
      <c r="BA588" s="4"/>
      <c r="BB588" s="1"/>
      <c r="BC588" s="1"/>
    </row>
    <row r="589" spans="1:55" s="78" customFormat="1" ht="15" customHeight="1" x14ac:dyDescent="0.25">
      <c r="A589" s="52" t="s">
        <v>4598</v>
      </c>
      <c r="B589" s="34" t="s">
        <v>59</v>
      </c>
      <c r="C589" s="53">
        <v>2026</v>
      </c>
      <c r="D589" s="53">
        <v>2026</v>
      </c>
      <c r="E589" s="54" t="s">
        <v>3318</v>
      </c>
      <c r="F589" s="55" t="s">
        <v>50</v>
      </c>
      <c r="G589" s="55" t="s">
        <v>50</v>
      </c>
      <c r="H589" s="45" t="s">
        <v>1491</v>
      </c>
      <c r="I589" s="61" t="s">
        <v>78</v>
      </c>
      <c r="J589" s="56"/>
      <c r="K589" s="55" t="s">
        <v>71</v>
      </c>
      <c r="L589" s="55" t="str">
        <f>IF(K589="Mine or Quarry","Mine","")</f>
        <v/>
      </c>
      <c r="M589" s="55"/>
      <c r="N589" s="55" t="s">
        <v>181</v>
      </c>
      <c r="O589" s="55"/>
      <c r="P589" s="55" t="s">
        <v>73</v>
      </c>
      <c r="Q589" s="55" t="s">
        <v>57</v>
      </c>
      <c r="R589" s="55"/>
      <c r="S589" s="56" t="s">
        <v>58</v>
      </c>
      <c r="T589" s="55" t="str">
        <f>IF(ISNUMBER(SEARCH(",",N589)),"Y","N")</f>
        <v>N</v>
      </c>
      <c r="U589" s="57">
        <v>-999</v>
      </c>
      <c r="V589" s="57" t="s">
        <v>59</v>
      </c>
      <c r="W589" s="55" t="s">
        <v>2319</v>
      </c>
      <c r="X589" s="54" t="s">
        <v>4598</v>
      </c>
      <c r="Y589" s="52"/>
      <c r="Z589" s="3" t="s">
        <v>154</v>
      </c>
      <c r="AA589" s="1" t="s">
        <v>452</v>
      </c>
      <c r="AB589" s="1"/>
      <c r="AC589" s="1"/>
      <c r="AD589" s="3" t="s">
        <v>62</v>
      </c>
      <c r="AE589" s="3" t="s">
        <v>83</v>
      </c>
      <c r="AF589" s="1" t="s">
        <v>1492</v>
      </c>
      <c r="AG589" s="1" t="s">
        <v>1493</v>
      </c>
      <c r="AH589" s="53">
        <v>100</v>
      </c>
      <c r="AI589" s="3"/>
      <c r="AJ589" s="53"/>
      <c r="AK589" s="3"/>
      <c r="AL589" s="53"/>
      <c r="AM589" s="3"/>
      <c r="AN589" s="53"/>
      <c r="AO589" s="3"/>
      <c r="AP589" s="53"/>
      <c r="AQ589" s="3"/>
      <c r="AR589" s="53"/>
      <c r="AS589" s="3"/>
      <c r="AT589" s="53"/>
      <c r="AU589" s="3"/>
      <c r="AV589" s="53"/>
      <c r="AW589" s="3"/>
      <c r="AX589" s="53"/>
      <c r="AY589" s="3"/>
      <c r="AZ589" s="5" t="s">
        <v>1490</v>
      </c>
      <c r="BA589" s="32"/>
      <c r="BB589" s="1"/>
      <c r="BC589" s="1"/>
    </row>
    <row r="590" spans="1:55" s="78" customFormat="1" ht="15" customHeight="1" x14ac:dyDescent="0.25">
      <c r="A590" s="52" t="s">
        <v>4599</v>
      </c>
      <c r="B590" s="34" t="s">
        <v>59</v>
      </c>
      <c r="C590" s="53">
        <v>2026</v>
      </c>
      <c r="D590" s="53">
        <v>2026</v>
      </c>
      <c r="E590" s="54" t="s">
        <v>3318</v>
      </c>
      <c r="F590" s="55" t="s">
        <v>50</v>
      </c>
      <c r="G590" s="55" t="s">
        <v>50</v>
      </c>
      <c r="H590" s="45" t="s">
        <v>1491</v>
      </c>
      <c r="I590" s="55" t="s">
        <v>78</v>
      </c>
      <c r="J590" s="55"/>
      <c r="K590" s="55" t="s">
        <v>74</v>
      </c>
      <c r="L590" s="55"/>
      <c r="M590" s="55"/>
      <c r="N590" s="55" t="s">
        <v>181</v>
      </c>
      <c r="O590" s="56"/>
      <c r="P590" s="55" t="s">
        <v>75</v>
      </c>
      <c r="Q590" s="56" t="s">
        <v>57</v>
      </c>
      <c r="R590" s="62"/>
      <c r="S590" s="55" t="s">
        <v>58</v>
      </c>
      <c r="T590" s="55" t="s">
        <v>81</v>
      </c>
      <c r="U590" s="57">
        <v>-999</v>
      </c>
      <c r="V590" s="57" t="s">
        <v>59</v>
      </c>
      <c r="W590" s="55" t="s">
        <v>2319</v>
      </c>
      <c r="X590" s="54" t="s">
        <v>4599</v>
      </c>
      <c r="Y590" s="52"/>
      <c r="Z590" s="3" t="s">
        <v>154</v>
      </c>
      <c r="AA590" s="1" t="s">
        <v>452</v>
      </c>
      <c r="AB590" s="1"/>
      <c r="AC590" s="1"/>
      <c r="AD590" s="3" t="s">
        <v>62</v>
      </c>
      <c r="AE590" s="3" t="s">
        <v>83</v>
      </c>
      <c r="AF590" s="1" t="s">
        <v>1492</v>
      </c>
      <c r="AG590" s="1" t="s">
        <v>1493</v>
      </c>
      <c r="AH590" s="53"/>
      <c r="AI590" s="3"/>
      <c r="AJ590" s="53"/>
      <c r="AK590" s="3"/>
      <c r="AL590" s="53"/>
      <c r="AM590" s="3"/>
      <c r="AN590" s="53"/>
      <c r="AO590" s="3"/>
      <c r="AP590" s="53"/>
      <c r="AQ590" s="3"/>
      <c r="AR590" s="53"/>
      <c r="AS590" s="3"/>
      <c r="AT590" s="53"/>
      <c r="AU590" s="3"/>
      <c r="AV590" s="53"/>
      <c r="AW590" s="3"/>
      <c r="AX590" s="53"/>
      <c r="AY590" s="1"/>
      <c r="AZ590" s="4" t="s">
        <v>1490</v>
      </c>
      <c r="BA590" s="32"/>
      <c r="BB590" s="1"/>
      <c r="BC590" s="1"/>
    </row>
    <row r="591" spans="1:55" s="78" customFormat="1" ht="15" customHeight="1" x14ac:dyDescent="0.25">
      <c r="A591" s="52" t="s">
        <v>4600</v>
      </c>
      <c r="B591" s="34" t="s">
        <v>59</v>
      </c>
      <c r="C591" s="53">
        <v>2026</v>
      </c>
      <c r="D591" s="53">
        <v>2026</v>
      </c>
      <c r="E591" s="54" t="s">
        <v>3319</v>
      </c>
      <c r="F591" s="55" t="s">
        <v>50</v>
      </c>
      <c r="G591" s="55" t="s">
        <v>50</v>
      </c>
      <c r="H591" s="45" t="s">
        <v>3206</v>
      </c>
      <c r="I591" s="56" t="s">
        <v>52</v>
      </c>
      <c r="J591" s="56"/>
      <c r="K591" s="56" t="s">
        <v>53</v>
      </c>
      <c r="L591" s="55" t="s">
        <v>54</v>
      </c>
      <c r="M591" s="55"/>
      <c r="N591" s="55" t="s">
        <v>327</v>
      </c>
      <c r="O591" s="56"/>
      <c r="P591" s="55" t="s">
        <v>56</v>
      </c>
      <c r="Q591" s="55" t="s">
        <v>57</v>
      </c>
      <c r="R591" s="55"/>
      <c r="S591" s="56" t="s">
        <v>81</v>
      </c>
      <c r="T591" s="55" t="str">
        <f>IF(ISNUMBER(SEARCH(",",N591)),"Y","N")</f>
        <v>N</v>
      </c>
      <c r="U591" s="57">
        <v>310000</v>
      </c>
      <c r="V591" s="57" t="s">
        <v>101</v>
      </c>
      <c r="W591" s="55"/>
      <c r="X591" s="54" t="s">
        <v>4600</v>
      </c>
      <c r="Y591" s="52"/>
      <c r="Z591" s="2" t="s">
        <v>61</v>
      </c>
      <c r="AA591" s="1" t="s">
        <v>1009</v>
      </c>
      <c r="AB591" s="1"/>
      <c r="AC591" s="1"/>
      <c r="AD591" s="3" t="s">
        <v>62</v>
      </c>
      <c r="AE591" s="2" t="s">
        <v>251</v>
      </c>
      <c r="AF591" s="2"/>
      <c r="AG591" s="3" t="s">
        <v>425</v>
      </c>
      <c r="AH591" s="71">
        <v>100</v>
      </c>
      <c r="AI591" s="1"/>
      <c r="AJ591" s="1"/>
      <c r="AK591" s="1"/>
      <c r="AL591" s="1"/>
      <c r="AM591" s="1"/>
      <c r="AN591" s="1"/>
      <c r="AO591" s="1"/>
      <c r="AP591" s="1"/>
      <c r="AQ591" s="1"/>
      <c r="AR591" s="1"/>
      <c r="AS591" s="1"/>
      <c r="AT591" s="1"/>
      <c r="AU591" s="1"/>
      <c r="AV591" s="1"/>
      <c r="AW591" s="1"/>
      <c r="AX591" s="1"/>
      <c r="AY591" s="1"/>
      <c r="AZ591" s="4" t="s">
        <v>1217</v>
      </c>
      <c r="BA591" s="4"/>
      <c r="BB591" s="1"/>
      <c r="BC591" s="1"/>
    </row>
    <row r="592" spans="1:55" s="78" customFormat="1" ht="15" customHeight="1" x14ac:dyDescent="0.25">
      <c r="A592" s="52" t="s">
        <v>4601</v>
      </c>
      <c r="B592" s="34" t="s">
        <v>59</v>
      </c>
      <c r="C592" s="53">
        <v>2026</v>
      </c>
      <c r="D592" s="53">
        <v>2026</v>
      </c>
      <c r="E592" s="54" t="s">
        <v>3320</v>
      </c>
      <c r="F592" s="55" t="s">
        <v>50</v>
      </c>
      <c r="G592" s="55" t="s">
        <v>50</v>
      </c>
      <c r="H592" s="45" t="s">
        <v>456</v>
      </c>
      <c r="I592" s="56" t="s">
        <v>52</v>
      </c>
      <c r="J592" s="56"/>
      <c r="K592" s="56" t="s">
        <v>194</v>
      </c>
      <c r="L592" s="55" t="s">
        <v>54</v>
      </c>
      <c r="M592" s="55"/>
      <c r="N592" s="56"/>
      <c r="O592" s="56" t="s">
        <v>1082</v>
      </c>
      <c r="P592" s="56" t="s">
        <v>195</v>
      </c>
      <c r="Q592" s="55" t="s">
        <v>57</v>
      </c>
      <c r="R592" s="55"/>
      <c r="S592" s="56" t="s">
        <v>58</v>
      </c>
      <c r="T592" s="55" t="s">
        <v>81</v>
      </c>
      <c r="U592" s="57">
        <v>-999</v>
      </c>
      <c r="V592" s="57" t="s">
        <v>59</v>
      </c>
      <c r="W592" s="55"/>
      <c r="X592" s="54" t="s">
        <v>4601</v>
      </c>
      <c r="Y592" s="52"/>
      <c r="Z592" s="1" t="s">
        <v>61</v>
      </c>
      <c r="AA592" s="1" t="s">
        <v>457</v>
      </c>
      <c r="AB592" s="1"/>
      <c r="AC592" s="1"/>
      <c r="AD592" s="3" t="s">
        <v>62</v>
      </c>
      <c r="AE592" s="1" t="s">
        <v>251</v>
      </c>
      <c r="AF592" s="1"/>
      <c r="AG592" s="1" t="s">
        <v>425</v>
      </c>
      <c r="AH592" s="2">
        <v>100</v>
      </c>
      <c r="AI592" s="1"/>
      <c r="AJ592" s="1"/>
      <c r="AK592" s="1"/>
      <c r="AL592" s="1"/>
      <c r="AM592" s="1"/>
      <c r="AN592" s="1"/>
      <c r="AO592" s="1"/>
      <c r="AP592" s="1"/>
      <c r="AQ592" s="1"/>
      <c r="AR592" s="1"/>
      <c r="AS592" s="1"/>
      <c r="AT592" s="1"/>
      <c r="AU592" s="1"/>
      <c r="AV592" s="1"/>
      <c r="AW592" s="1"/>
      <c r="AX592" s="1"/>
      <c r="AY592" s="1"/>
      <c r="AZ592" s="4" t="s">
        <v>461</v>
      </c>
      <c r="BA592" s="5"/>
      <c r="BB592" s="1"/>
      <c r="BC592" s="1"/>
    </row>
    <row r="593" spans="1:55" s="78" customFormat="1" ht="15" customHeight="1" x14ac:dyDescent="0.25">
      <c r="A593" s="52" t="s">
        <v>4602</v>
      </c>
      <c r="B593" s="34" t="s">
        <v>59</v>
      </c>
      <c r="C593" s="53">
        <v>2026</v>
      </c>
      <c r="D593" s="53">
        <v>2026</v>
      </c>
      <c r="E593" s="54" t="s">
        <v>3320</v>
      </c>
      <c r="F593" s="55" t="s">
        <v>50</v>
      </c>
      <c r="G593" s="55" t="s">
        <v>50</v>
      </c>
      <c r="H593" s="45" t="s">
        <v>456</v>
      </c>
      <c r="I593" s="56" t="s">
        <v>52</v>
      </c>
      <c r="J593" s="56"/>
      <c r="K593" s="55" t="s">
        <v>120</v>
      </c>
      <c r="L593" s="55" t="s">
        <v>317</v>
      </c>
      <c r="M593" s="55"/>
      <c r="N593" s="55" t="s">
        <v>358</v>
      </c>
      <c r="O593" s="55" t="s">
        <v>1494</v>
      </c>
      <c r="P593" s="55" t="s">
        <v>121</v>
      </c>
      <c r="Q593" s="55" t="s">
        <v>57</v>
      </c>
      <c r="R593" s="55"/>
      <c r="S593" s="56" t="s">
        <v>58</v>
      </c>
      <c r="T593" s="55" t="s">
        <v>81</v>
      </c>
      <c r="U593" s="57">
        <v>1</v>
      </c>
      <c r="V593" s="57" t="s">
        <v>101</v>
      </c>
      <c r="W593" s="55"/>
      <c r="X593" s="54" t="s">
        <v>4602</v>
      </c>
      <c r="Y593" s="52"/>
      <c r="Z593" s="3" t="s">
        <v>61</v>
      </c>
      <c r="AA593" s="1" t="s">
        <v>457</v>
      </c>
      <c r="AB593" s="1"/>
      <c r="AC593" s="1"/>
      <c r="AD593" s="3" t="s">
        <v>62</v>
      </c>
      <c r="AE593" s="3" t="s">
        <v>251</v>
      </c>
      <c r="AF593" s="3"/>
      <c r="AG593" s="3" t="s">
        <v>425</v>
      </c>
      <c r="AH593" s="58">
        <v>100</v>
      </c>
      <c r="AI593" s="3"/>
      <c r="AJ593" s="3"/>
      <c r="AK593" s="3"/>
      <c r="AL593" s="3"/>
      <c r="AM593" s="3"/>
      <c r="AN593" s="3"/>
      <c r="AO593" s="3"/>
      <c r="AP593" s="3"/>
      <c r="AQ593" s="3"/>
      <c r="AR593" s="3"/>
      <c r="AS593" s="3"/>
      <c r="AT593" s="3"/>
      <c r="AU593" s="3"/>
      <c r="AV593" s="3"/>
      <c r="AW593" s="3"/>
      <c r="AX593" s="3"/>
      <c r="AY593" s="3"/>
      <c r="AZ593" s="4" t="s">
        <v>1557</v>
      </c>
      <c r="BA593" s="3" t="s">
        <v>3880</v>
      </c>
      <c r="BB593" s="1"/>
      <c r="BC593" s="1"/>
    </row>
    <row r="594" spans="1:55" s="78" customFormat="1" ht="15" customHeight="1" x14ac:dyDescent="0.25">
      <c r="A594" s="52" t="s">
        <v>4603</v>
      </c>
      <c r="B594" s="34" t="s">
        <v>59</v>
      </c>
      <c r="C594" s="53">
        <v>2026</v>
      </c>
      <c r="D594" s="53">
        <v>2026</v>
      </c>
      <c r="E594" s="54" t="s">
        <v>3320</v>
      </c>
      <c r="F594" s="55" t="s">
        <v>50</v>
      </c>
      <c r="G594" s="55" t="s">
        <v>50</v>
      </c>
      <c r="H594" s="45" t="s">
        <v>456</v>
      </c>
      <c r="I594" s="56" t="s">
        <v>52</v>
      </c>
      <c r="J594" s="56"/>
      <c r="K594" s="56" t="s">
        <v>198</v>
      </c>
      <c r="L594" s="55" t="s">
        <v>54</v>
      </c>
      <c r="M594" s="55"/>
      <c r="N594" s="55"/>
      <c r="O594" s="55" t="s">
        <v>1082</v>
      </c>
      <c r="P594" s="55" t="s">
        <v>199</v>
      </c>
      <c r="Q594" s="55" t="s">
        <v>57</v>
      </c>
      <c r="R594" s="55"/>
      <c r="S594" s="56" t="s">
        <v>58</v>
      </c>
      <c r="T594" s="55" t="str">
        <f>IF(ISNUMBER(SEARCH(",",N594)),"Y","N")</f>
        <v>N</v>
      </c>
      <c r="U594" s="57">
        <v>20</v>
      </c>
      <c r="V594" s="57" t="s">
        <v>101</v>
      </c>
      <c r="W594" s="55"/>
      <c r="X594" s="54" t="s">
        <v>4603</v>
      </c>
      <c r="Y594" s="52"/>
      <c r="Z594" s="1" t="s">
        <v>61</v>
      </c>
      <c r="AA594" s="1" t="s">
        <v>457</v>
      </c>
      <c r="AB594" s="1"/>
      <c r="AC594" s="1"/>
      <c r="AD594" s="3" t="s">
        <v>62</v>
      </c>
      <c r="AE594" s="1" t="s">
        <v>251</v>
      </c>
      <c r="AF594" s="1"/>
      <c r="AG594" s="1" t="s">
        <v>425</v>
      </c>
      <c r="AH594" s="2">
        <v>100</v>
      </c>
      <c r="AI594" s="3"/>
      <c r="AJ594" s="3"/>
      <c r="AK594" s="3"/>
      <c r="AL594" s="3"/>
      <c r="AM594" s="3"/>
      <c r="AN594" s="3"/>
      <c r="AO594" s="3"/>
      <c r="AP594" s="3"/>
      <c r="AQ594" s="3"/>
      <c r="AR594" s="3"/>
      <c r="AS594" s="3"/>
      <c r="AT594" s="3"/>
      <c r="AU594" s="3"/>
      <c r="AV594" s="3"/>
      <c r="AW594" s="3"/>
      <c r="AX594" s="3"/>
      <c r="AY594" s="3"/>
      <c r="AZ594" s="4" t="s">
        <v>461</v>
      </c>
      <c r="BA594" s="3"/>
      <c r="BB594" s="1"/>
      <c r="BC594" s="1"/>
    </row>
    <row r="595" spans="1:55" s="78" customFormat="1" ht="15" customHeight="1" x14ac:dyDescent="0.25">
      <c r="A595" s="52" t="s">
        <v>4604</v>
      </c>
      <c r="B595" s="34" t="s">
        <v>59</v>
      </c>
      <c r="C595" s="53">
        <v>2026</v>
      </c>
      <c r="D595" s="53">
        <v>2026</v>
      </c>
      <c r="E595" s="54" t="s">
        <v>3320</v>
      </c>
      <c r="F595" s="55" t="s">
        <v>50</v>
      </c>
      <c r="G595" s="55" t="s">
        <v>50</v>
      </c>
      <c r="H595" s="45" t="s">
        <v>456</v>
      </c>
      <c r="I595" s="56" t="s">
        <v>52</v>
      </c>
      <c r="J595" s="56"/>
      <c r="K595" s="56" t="s">
        <v>53</v>
      </c>
      <c r="L595" s="55" t="s">
        <v>317</v>
      </c>
      <c r="M595" s="55"/>
      <c r="N595" s="56" t="s">
        <v>276</v>
      </c>
      <c r="O595" s="56"/>
      <c r="P595" s="55" t="s">
        <v>56</v>
      </c>
      <c r="Q595" s="55" t="s">
        <v>57</v>
      </c>
      <c r="R595" s="55"/>
      <c r="S595" s="56" t="s">
        <v>58</v>
      </c>
      <c r="T595" s="55" t="str">
        <f>IF(ISNUMBER(SEARCH(",",N595)),"Y","N")</f>
        <v>N</v>
      </c>
      <c r="U595" s="57">
        <v>300000</v>
      </c>
      <c r="V595" s="57" t="s">
        <v>101</v>
      </c>
      <c r="W595" s="55"/>
      <c r="X595" s="54" t="s">
        <v>4604</v>
      </c>
      <c r="Y595" s="52"/>
      <c r="Z595" s="2" t="s">
        <v>61</v>
      </c>
      <c r="AA595" s="1" t="s">
        <v>457</v>
      </c>
      <c r="AB595" s="1"/>
      <c r="AC595" s="1"/>
      <c r="AD595" s="3" t="s">
        <v>62</v>
      </c>
      <c r="AE595" s="2" t="s">
        <v>251</v>
      </c>
      <c r="AF595" s="2"/>
      <c r="AG595" s="3" t="s">
        <v>425</v>
      </c>
      <c r="AH595" s="71">
        <v>100</v>
      </c>
      <c r="AI595" s="1"/>
      <c r="AJ595" s="1"/>
      <c r="AK595" s="1"/>
      <c r="AL595" s="1"/>
      <c r="AM595" s="1"/>
      <c r="AN595" s="1"/>
      <c r="AO595" s="1"/>
      <c r="AP595" s="1"/>
      <c r="AQ595" s="1"/>
      <c r="AR595" s="1"/>
      <c r="AS595" s="1"/>
      <c r="AT595" s="1"/>
      <c r="AU595" s="1"/>
      <c r="AV595" s="1"/>
      <c r="AW595" s="1"/>
      <c r="AX595" s="1"/>
      <c r="AY595" s="1"/>
      <c r="AZ595" s="4" t="s">
        <v>1495</v>
      </c>
      <c r="BA595" s="4"/>
      <c r="BB595" s="1"/>
      <c r="BC595" s="1"/>
    </row>
    <row r="596" spans="1:55" s="78" customFormat="1" ht="15" customHeight="1" x14ac:dyDescent="0.25">
      <c r="A596" s="52" t="s">
        <v>4605</v>
      </c>
      <c r="B596" s="34" t="s">
        <v>59</v>
      </c>
      <c r="C596" s="53">
        <v>2026</v>
      </c>
      <c r="D596" s="53">
        <v>2026</v>
      </c>
      <c r="E596" s="54" t="s">
        <v>3320</v>
      </c>
      <c r="F596" s="55" t="s">
        <v>50</v>
      </c>
      <c r="G596" s="55" t="s">
        <v>50</v>
      </c>
      <c r="H596" s="45" t="s">
        <v>456</v>
      </c>
      <c r="I596" s="56" t="s">
        <v>52</v>
      </c>
      <c r="J596" s="56"/>
      <c r="K596" s="56" t="s">
        <v>71</v>
      </c>
      <c r="L596" s="55" t="s">
        <v>317</v>
      </c>
      <c r="M596" s="55"/>
      <c r="N596" s="56" t="s">
        <v>55</v>
      </c>
      <c r="O596" s="56" t="s">
        <v>249</v>
      </c>
      <c r="P596" s="55" t="s">
        <v>73</v>
      </c>
      <c r="Q596" s="55" t="s">
        <v>57</v>
      </c>
      <c r="R596" s="55"/>
      <c r="S596" s="56" t="s">
        <v>58</v>
      </c>
      <c r="T596" s="55" t="str">
        <f>IF(ISNUMBER(SEARCH(",",N596)),"Y","N")</f>
        <v>N</v>
      </c>
      <c r="U596" s="57">
        <v>-999</v>
      </c>
      <c r="V596" s="57" t="s">
        <v>59</v>
      </c>
      <c r="W596" s="55"/>
      <c r="X596" s="54" t="s">
        <v>4605</v>
      </c>
      <c r="Y596" s="52"/>
      <c r="Z596" s="1" t="s">
        <v>61</v>
      </c>
      <c r="AA596" s="1" t="s">
        <v>457</v>
      </c>
      <c r="AB596" s="1"/>
      <c r="AC596" s="1"/>
      <c r="AD596" s="3" t="s">
        <v>62</v>
      </c>
      <c r="AE596" s="1" t="s">
        <v>251</v>
      </c>
      <c r="AF596" s="2" t="s">
        <v>458</v>
      </c>
      <c r="AG596" s="1" t="s">
        <v>425</v>
      </c>
      <c r="AH596" s="2">
        <v>100</v>
      </c>
      <c r="AI596" s="1"/>
      <c r="AJ596" s="1"/>
      <c r="AK596" s="1"/>
      <c r="AL596" s="1"/>
      <c r="AM596" s="1"/>
      <c r="AN596" s="1"/>
      <c r="AO596" s="1"/>
      <c r="AP596" s="1"/>
      <c r="AQ596" s="1"/>
      <c r="AR596" s="1"/>
      <c r="AS596" s="1"/>
      <c r="AT596" s="1"/>
      <c r="AU596" s="1"/>
      <c r="AV596" s="1"/>
      <c r="AW596" s="1"/>
      <c r="AX596" s="1"/>
      <c r="AY596" s="1"/>
      <c r="AZ596" s="4" t="s">
        <v>459</v>
      </c>
      <c r="BA596" s="5"/>
      <c r="BB596" s="1"/>
      <c r="BC596" s="1"/>
    </row>
    <row r="597" spans="1:55" s="78" customFormat="1" ht="15" customHeight="1" x14ac:dyDescent="0.25">
      <c r="A597" s="52" t="s">
        <v>4606</v>
      </c>
      <c r="B597" s="34" t="s">
        <v>59</v>
      </c>
      <c r="C597" s="53">
        <v>2026</v>
      </c>
      <c r="D597" s="53">
        <v>2026</v>
      </c>
      <c r="E597" s="54" t="s">
        <v>3320</v>
      </c>
      <c r="F597" s="55" t="s">
        <v>50</v>
      </c>
      <c r="G597" s="55" t="s">
        <v>50</v>
      </c>
      <c r="H597" s="45" t="s">
        <v>456</v>
      </c>
      <c r="I597" s="45" t="s">
        <v>52</v>
      </c>
      <c r="J597" s="56"/>
      <c r="K597" s="55" t="s">
        <v>210</v>
      </c>
      <c r="L597" s="55" t="s">
        <v>317</v>
      </c>
      <c r="M597" s="55"/>
      <c r="N597" s="55" t="s">
        <v>212</v>
      </c>
      <c r="O597" s="55"/>
      <c r="P597" s="55" t="s">
        <v>89</v>
      </c>
      <c r="Q597" s="55" t="s">
        <v>89</v>
      </c>
      <c r="R597" s="55"/>
      <c r="S597" s="56" t="s">
        <v>58</v>
      </c>
      <c r="T597" s="55" t="s">
        <v>81</v>
      </c>
      <c r="U597" s="57">
        <v>1000000</v>
      </c>
      <c r="V597" s="57" t="s">
        <v>101</v>
      </c>
      <c r="W597" s="55"/>
      <c r="X597" s="54" t="s">
        <v>4606</v>
      </c>
      <c r="Y597" s="52"/>
      <c r="Z597" s="3" t="s">
        <v>61</v>
      </c>
      <c r="AA597" s="1" t="s">
        <v>457</v>
      </c>
      <c r="AB597" s="1"/>
      <c r="AC597" s="1"/>
      <c r="AD597" s="3" t="s">
        <v>62</v>
      </c>
      <c r="AE597" s="3" t="s">
        <v>251</v>
      </c>
      <c r="AF597" s="3"/>
      <c r="AG597" s="1" t="s">
        <v>425</v>
      </c>
      <c r="AH597" s="2">
        <v>100</v>
      </c>
      <c r="AI597" s="1"/>
      <c r="AJ597" s="2"/>
      <c r="AK597" s="3"/>
      <c r="AL597" s="3"/>
      <c r="AM597" s="3"/>
      <c r="AN597" s="3"/>
      <c r="AO597" s="3"/>
      <c r="AP597" s="3"/>
      <c r="AQ597" s="3"/>
      <c r="AR597" s="3"/>
      <c r="AS597" s="3"/>
      <c r="AT597" s="3"/>
      <c r="AU597" s="3"/>
      <c r="AV597" s="3"/>
      <c r="AW597" s="3"/>
      <c r="AX597" s="3"/>
      <c r="AY597" s="3"/>
      <c r="AZ597" s="4" t="s">
        <v>1496</v>
      </c>
      <c r="BA597" s="3"/>
      <c r="BB597" s="1"/>
      <c r="BC597" s="1"/>
    </row>
    <row r="598" spans="1:55" s="78" customFormat="1" ht="15" customHeight="1" x14ac:dyDescent="0.25">
      <c r="A598" s="52" t="s">
        <v>4607</v>
      </c>
      <c r="B598" s="34" t="s">
        <v>59</v>
      </c>
      <c r="C598" s="53">
        <v>2026</v>
      </c>
      <c r="D598" s="53">
        <v>2026</v>
      </c>
      <c r="E598" s="54" t="s">
        <v>3320</v>
      </c>
      <c r="F598" s="55" t="s">
        <v>50</v>
      </c>
      <c r="G598" s="55" t="s">
        <v>50</v>
      </c>
      <c r="H598" s="45" t="s">
        <v>456</v>
      </c>
      <c r="I598" s="56" t="s">
        <v>52</v>
      </c>
      <c r="J598" s="56"/>
      <c r="K598" s="56" t="s">
        <v>74</v>
      </c>
      <c r="L598" s="55" t="s">
        <v>317</v>
      </c>
      <c r="M598" s="55"/>
      <c r="N598" s="56" t="s">
        <v>249</v>
      </c>
      <c r="O598" s="56"/>
      <c r="P598" s="55" t="s">
        <v>75</v>
      </c>
      <c r="Q598" s="56" t="s">
        <v>57</v>
      </c>
      <c r="R598" s="55"/>
      <c r="S598" s="56" t="s">
        <v>58</v>
      </c>
      <c r="T598" s="55" t="str">
        <f>IF(ISNUMBER(SEARCH(",",N598)),"Y","N")</f>
        <v>N</v>
      </c>
      <c r="U598" s="57">
        <v>-999</v>
      </c>
      <c r="V598" s="57" t="s">
        <v>59</v>
      </c>
      <c r="W598" s="55"/>
      <c r="X598" s="54" t="s">
        <v>4607</v>
      </c>
      <c r="Y598" s="52"/>
      <c r="Z598" s="1" t="s">
        <v>61</v>
      </c>
      <c r="AA598" s="1" t="s">
        <v>457</v>
      </c>
      <c r="AB598" s="1"/>
      <c r="AC598" s="1"/>
      <c r="AD598" s="3" t="s">
        <v>62</v>
      </c>
      <c r="AE598" s="1" t="s">
        <v>251</v>
      </c>
      <c r="AF598" s="2" t="s">
        <v>458</v>
      </c>
      <c r="AG598" s="1" t="s">
        <v>425</v>
      </c>
      <c r="AH598" s="2">
        <v>100</v>
      </c>
      <c r="AI598" s="1"/>
      <c r="AJ598" s="1"/>
      <c r="AK598" s="1"/>
      <c r="AL598" s="1"/>
      <c r="AM598" s="1"/>
      <c r="AN598" s="1"/>
      <c r="AO598" s="1"/>
      <c r="AP598" s="1"/>
      <c r="AQ598" s="1"/>
      <c r="AR598" s="1"/>
      <c r="AS598" s="1"/>
      <c r="AT598" s="1"/>
      <c r="AU598" s="1"/>
      <c r="AV598" s="1"/>
      <c r="AW598" s="1"/>
      <c r="AX598" s="1"/>
      <c r="AY598" s="1"/>
      <c r="AZ598" s="4" t="s">
        <v>459</v>
      </c>
      <c r="BA598" s="5"/>
      <c r="BB598" s="1"/>
      <c r="BC598" s="1"/>
    </row>
    <row r="599" spans="1:55" s="78" customFormat="1" ht="15" customHeight="1" x14ac:dyDescent="0.25">
      <c r="A599" s="52" t="s">
        <v>4608</v>
      </c>
      <c r="B599" s="34" t="s">
        <v>59</v>
      </c>
      <c r="C599" s="53">
        <v>2026</v>
      </c>
      <c r="D599" s="53">
        <v>2026</v>
      </c>
      <c r="E599" s="54" t="s">
        <v>3321</v>
      </c>
      <c r="F599" s="55" t="s">
        <v>50</v>
      </c>
      <c r="G599" s="55" t="s">
        <v>50</v>
      </c>
      <c r="H599" s="45" t="s">
        <v>1498</v>
      </c>
      <c r="I599" s="56" t="s">
        <v>78</v>
      </c>
      <c r="J599" s="56"/>
      <c r="K599" s="56" t="s">
        <v>71</v>
      </c>
      <c r="L599" s="55" t="s">
        <v>88</v>
      </c>
      <c r="M599" s="55"/>
      <c r="N599" s="56" t="s">
        <v>110</v>
      </c>
      <c r="O599" s="56"/>
      <c r="P599" s="55" t="s">
        <v>73</v>
      </c>
      <c r="Q599" s="55" t="s">
        <v>57</v>
      </c>
      <c r="R599" s="55"/>
      <c r="S599" s="56" t="s">
        <v>81</v>
      </c>
      <c r="T599" s="55" t="str">
        <f>IF(ISNUMBER(SEARCH(",",N599)),"Y","N")</f>
        <v>N</v>
      </c>
      <c r="U599" s="57">
        <v>3.0049999999999999</v>
      </c>
      <c r="V599" s="57" t="s">
        <v>101</v>
      </c>
      <c r="W599" s="55" t="s">
        <v>2319</v>
      </c>
      <c r="X599" s="54" t="s">
        <v>4608</v>
      </c>
      <c r="Y599" s="52"/>
      <c r="Z599" s="1" t="s">
        <v>61</v>
      </c>
      <c r="AA599" s="1" t="s">
        <v>1299</v>
      </c>
      <c r="AB599" s="1"/>
      <c r="AC599" s="1"/>
      <c r="AD599" s="3" t="s">
        <v>62</v>
      </c>
      <c r="AE599" s="3" t="s">
        <v>519</v>
      </c>
      <c r="AF599" s="3" t="s">
        <v>1499</v>
      </c>
      <c r="AG599" s="3" t="s">
        <v>1500</v>
      </c>
      <c r="AH599" s="58">
        <v>100</v>
      </c>
      <c r="AI599" s="1"/>
      <c r="AJ599" s="1"/>
      <c r="AK599" s="1"/>
      <c r="AL599" s="1"/>
      <c r="AM599" s="1"/>
      <c r="AN599" s="1"/>
      <c r="AO599" s="1"/>
      <c r="AP599" s="1"/>
      <c r="AQ599" s="1"/>
      <c r="AR599" s="1"/>
      <c r="AS599" s="1"/>
      <c r="AT599" s="1"/>
      <c r="AU599" s="1"/>
      <c r="AV599" s="1"/>
      <c r="AW599" s="1"/>
      <c r="AX599" s="1"/>
      <c r="AY599" s="1"/>
      <c r="AZ599" s="4" t="s">
        <v>1497</v>
      </c>
      <c r="BA599" s="4"/>
      <c r="BB599" s="1"/>
      <c r="BC599" s="1"/>
    </row>
    <row r="600" spans="1:55" s="78" customFormat="1" ht="15" customHeight="1" x14ac:dyDescent="0.25">
      <c r="A600" s="52" t="s">
        <v>4609</v>
      </c>
      <c r="B600" s="34" t="s">
        <v>59</v>
      </c>
      <c r="C600" s="53">
        <v>2026</v>
      </c>
      <c r="D600" s="53">
        <v>2026</v>
      </c>
      <c r="E600" s="54" t="s">
        <v>3322</v>
      </c>
      <c r="F600" s="55" t="s">
        <v>50</v>
      </c>
      <c r="G600" s="55" t="s">
        <v>50</v>
      </c>
      <c r="H600" s="45" t="s">
        <v>1502</v>
      </c>
      <c r="I600" s="56" t="s">
        <v>78</v>
      </c>
      <c r="J600" s="56"/>
      <c r="K600" s="56" t="s">
        <v>285</v>
      </c>
      <c r="L600" s="55" t="s">
        <v>88</v>
      </c>
      <c r="M600" s="55"/>
      <c r="N600" s="56" t="s">
        <v>181</v>
      </c>
      <c r="O600" s="56"/>
      <c r="P600" s="56" t="s">
        <v>89</v>
      </c>
      <c r="Q600" s="56" t="s">
        <v>89</v>
      </c>
      <c r="R600" s="55"/>
      <c r="S600" s="56" t="s">
        <v>81</v>
      </c>
      <c r="T600" s="55" t="s">
        <v>81</v>
      </c>
      <c r="U600" s="57">
        <v>-999</v>
      </c>
      <c r="V600" s="57" t="s">
        <v>59</v>
      </c>
      <c r="W600" s="55" t="s">
        <v>2319</v>
      </c>
      <c r="X600" s="54" t="s">
        <v>4609</v>
      </c>
      <c r="Y600" s="52"/>
      <c r="Z600" s="1" t="s">
        <v>154</v>
      </c>
      <c r="AA600" s="1" t="s">
        <v>1503</v>
      </c>
      <c r="AB600" s="1"/>
      <c r="AC600" s="1"/>
      <c r="AD600" s="3" t="s">
        <v>62</v>
      </c>
      <c r="AE600" s="1" t="s">
        <v>257</v>
      </c>
      <c r="AF600" s="1"/>
      <c r="AG600" s="1" t="s">
        <v>1504</v>
      </c>
      <c r="AH600" s="2">
        <v>100</v>
      </c>
      <c r="AI600" s="1"/>
      <c r="AJ600" s="1"/>
      <c r="AK600" s="1"/>
      <c r="AL600" s="1"/>
      <c r="AM600" s="1"/>
      <c r="AN600" s="1"/>
      <c r="AO600" s="1"/>
      <c r="AP600" s="1"/>
      <c r="AQ600" s="1"/>
      <c r="AR600" s="1"/>
      <c r="AS600" s="1"/>
      <c r="AT600" s="1"/>
      <c r="AU600" s="1"/>
      <c r="AV600" s="1"/>
      <c r="AW600" s="1"/>
      <c r="AX600" s="1"/>
      <c r="AY600" s="1"/>
      <c r="AZ600" s="4" t="s">
        <v>1501</v>
      </c>
      <c r="BA600" s="1"/>
      <c r="BB600" s="1"/>
      <c r="BC600" s="1"/>
    </row>
    <row r="601" spans="1:55" s="78" customFormat="1" ht="15" customHeight="1" x14ac:dyDescent="0.25">
      <c r="A601" s="52" t="s">
        <v>4610</v>
      </c>
      <c r="B601" s="34" t="s">
        <v>59</v>
      </c>
      <c r="C601" s="53">
        <v>2026</v>
      </c>
      <c r="D601" s="53">
        <v>2026</v>
      </c>
      <c r="E601" s="54" t="s">
        <v>3323</v>
      </c>
      <c r="F601" s="55" t="s">
        <v>50</v>
      </c>
      <c r="G601" s="55" t="s">
        <v>50</v>
      </c>
      <c r="H601" s="45" t="s">
        <v>1505</v>
      </c>
      <c r="I601" s="56" t="s">
        <v>52</v>
      </c>
      <c r="J601" s="56"/>
      <c r="K601" s="56" t="s">
        <v>1019</v>
      </c>
      <c r="L601" s="55"/>
      <c r="M601" s="55"/>
      <c r="N601" s="56"/>
      <c r="O601" s="56" t="s">
        <v>1025</v>
      </c>
      <c r="P601" s="56" t="s">
        <v>89</v>
      </c>
      <c r="Q601" s="56" t="s">
        <v>89</v>
      </c>
      <c r="R601" s="55"/>
      <c r="S601" s="56" t="s">
        <v>81</v>
      </c>
      <c r="T601" s="55" t="s">
        <v>81</v>
      </c>
      <c r="U601" s="57">
        <v>-999</v>
      </c>
      <c r="V601" s="57" t="s">
        <v>59</v>
      </c>
      <c r="W601" s="55" t="s">
        <v>2319</v>
      </c>
      <c r="X601" s="54" t="s">
        <v>4610</v>
      </c>
      <c r="Y601" s="52"/>
      <c r="Z601" s="1" t="s">
        <v>61</v>
      </c>
      <c r="AA601" s="1" t="s">
        <v>1506</v>
      </c>
      <c r="AB601" s="1"/>
      <c r="AC601" s="1"/>
      <c r="AD601" s="3" t="s">
        <v>62</v>
      </c>
      <c r="AE601" s="1" t="s">
        <v>192</v>
      </c>
      <c r="AF601" s="1"/>
      <c r="AG601" s="1" t="s">
        <v>1507</v>
      </c>
      <c r="AH601" s="2">
        <v>100</v>
      </c>
      <c r="AI601" s="1"/>
      <c r="AJ601" s="1"/>
      <c r="AK601" s="1"/>
      <c r="AL601" s="1"/>
      <c r="AM601" s="1"/>
      <c r="AN601" s="1"/>
      <c r="AO601" s="1"/>
      <c r="AP601" s="1"/>
      <c r="AQ601" s="1"/>
      <c r="AR601" s="1"/>
      <c r="AS601" s="1"/>
      <c r="AT601" s="1"/>
      <c r="AU601" s="1"/>
      <c r="AV601" s="1"/>
      <c r="AW601" s="1"/>
      <c r="AX601" s="1"/>
      <c r="AY601" s="1"/>
      <c r="AZ601" s="4" t="s">
        <v>1017</v>
      </c>
      <c r="BA601" s="1"/>
      <c r="BB601" s="1"/>
      <c r="BC601" s="1"/>
    </row>
    <row r="602" spans="1:55" s="78" customFormat="1" ht="15" customHeight="1" x14ac:dyDescent="0.25">
      <c r="A602" s="52" t="s">
        <v>4611</v>
      </c>
      <c r="B602" s="34" t="s">
        <v>59</v>
      </c>
      <c r="C602" s="53">
        <v>2026</v>
      </c>
      <c r="D602" s="53">
        <v>2026</v>
      </c>
      <c r="E602" s="54" t="s">
        <v>3324</v>
      </c>
      <c r="F602" s="55" t="s">
        <v>50</v>
      </c>
      <c r="G602" s="55" t="s">
        <v>50</v>
      </c>
      <c r="H602" s="45" t="s">
        <v>3013</v>
      </c>
      <c r="I602" s="56" t="s">
        <v>52</v>
      </c>
      <c r="J602" s="56"/>
      <c r="K602" s="55" t="s">
        <v>74</v>
      </c>
      <c r="L602" s="55"/>
      <c r="M602" s="55"/>
      <c r="N602" s="56" t="s">
        <v>110</v>
      </c>
      <c r="O602" s="56" t="s">
        <v>296</v>
      </c>
      <c r="P602" s="55" t="s">
        <v>75</v>
      </c>
      <c r="Q602" s="56" t="s">
        <v>57</v>
      </c>
      <c r="R602" s="55"/>
      <c r="S602" s="56" t="s">
        <v>58</v>
      </c>
      <c r="T602" s="55" t="str">
        <f>IF(ISNUMBER(SEARCH(",",N602)),"Y","N")</f>
        <v>N</v>
      </c>
      <c r="U602" s="57">
        <v>-999</v>
      </c>
      <c r="V602" s="57" t="s">
        <v>59</v>
      </c>
      <c r="W602" s="55"/>
      <c r="X602" s="54" t="s">
        <v>4611</v>
      </c>
      <c r="Y602" s="52"/>
      <c r="Z602" s="3" t="s">
        <v>61</v>
      </c>
      <c r="AA602" s="3" t="s">
        <v>1510</v>
      </c>
      <c r="AB602" s="3"/>
      <c r="AC602" s="3"/>
      <c r="AD602" s="3" t="s">
        <v>62</v>
      </c>
      <c r="AE602" s="3" t="s">
        <v>251</v>
      </c>
      <c r="AF602" s="3" t="s">
        <v>1511</v>
      </c>
      <c r="AG602" s="3" t="s">
        <v>1511</v>
      </c>
      <c r="AH602" s="2">
        <v>100</v>
      </c>
      <c r="AI602" s="1"/>
      <c r="AJ602" s="1"/>
      <c r="AK602" s="1"/>
      <c r="AL602" s="1"/>
      <c r="AM602" s="1"/>
      <c r="AN602" s="1"/>
      <c r="AO602" s="1"/>
      <c r="AP602" s="1"/>
      <c r="AQ602" s="1"/>
      <c r="AR602" s="1"/>
      <c r="AS602" s="1"/>
      <c r="AT602" s="1"/>
      <c r="AU602" s="1"/>
      <c r="AV602" s="1"/>
      <c r="AW602" s="1"/>
      <c r="AX602" s="1"/>
      <c r="AY602" s="1"/>
      <c r="AZ602" s="4" t="s">
        <v>3014</v>
      </c>
      <c r="BA602" s="1"/>
      <c r="BB602" s="1"/>
      <c r="BC602" s="1"/>
    </row>
    <row r="603" spans="1:55" s="78" customFormat="1" ht="15" customHeight="1" x14ac:dyDescent="0.25">
      <c r="A603" s="52" t="s">
        <v>4612</v>
      </c>
      <c r="B603" s="34" t="s">
        <v>59</v>
      </c>
      <c r="C603" s="53">
        <v>2026</v>
      </c>
      <c r="D603" s="53">
        <v>2026</v>
      </c>
      <c r="E603" s="54" t="s">
        <v>3324</v>
      </c>
      <c r="F603" s="55" t="s">
        <v>50</v>
      </c>
      <c r="G603" s="55" t="s">
        <v>50</v>
      </c>
      <c r="H603" s="45" t="s">
        <v>3013</v>
      </c>
      <c r="I603" s="56" t="s">
        <v>52</v>
      </c>
      <c r="J603" s="56"/>
      <c r="K603" s="55" t="s">
        <v>71</v>
      </c>
      <c r="L603" s="55"/>
      <c r="M603" s="55"/>
      <c r="N603" s="56" t="s">
        <v>110</v>
      </c>
      <c r="O603" s="56" t="s">
        <v>296</v>
      </c>
      <c r="P603" s="55" t="s">
        <v>73</v>
      </c>
      <c r="Q603" s="55" t="s">
        <v>57</v>
      </c>
      <c r="R603" s="55"/>
      <c r="S603" s="56" t="s">
        <v>58</v>
      </c>
      <c r="T603" s="55" t="str">
        <f>IF(ISNUMBER(SEARCH(",",N603)),"Y","N")</f>
        <v>N</v>
      </c>
      <c r="U603" s="57">
        <v>0.35399999999999998</v>
      </c>
      <c r="V603" s="57" t="s">
        <v>101</v>
      </c>
      <c r="W603" s="55"/>
      <c r="X603" s="54" t="s">
        <v>4612</v>
      </c>
      <c r="Y603" s="52"/>
      <c r="Z603" s="3" t="s">
        <v>61</v>
      </c>
      <c r="AA603" s="3" t="s">
        <v>1510</v>
      </c>
      <c r="AB603" s="3"/>
      <c r="AC603" s="3"/>
      <c r="AD603" s="3" t="s">
        <v>62</v>
      </c>
      <c r="AE603" s="3" t="s">
        <v>251</v>
      </c>
      <c r="AF603" s="3" t="s">
        <v>1511</v>
      </c>
      <c r="AG603" s="3" t="s">
        <v>1511</v>
      </c>
      <c r="AH603" s="2">
        <v>100</v>
      </c>
      <c r="AI603" s="1"/>
      <c r="AJ603" s="1"/>
      <c r="AK603" s="1"/>
      <c r="AL603" s="1"/>
      <c r="AM603" s="1"/>
      <c r="AN603" s="1"/>
      <c r="AO603" s="1"/>
      <c r="AP603" s="1"/>
      <c r="AQ603" s="1"/>
      <c r="AR603" s="1"/>
      <c r="AS603" s="1"/>
      <c r="AT603" s="1"/>
      <c r="AU603" s="1"/>
      <c r="AV603" s="1"/>
      <c r="AW603" s="1"/>
      <c r="AX603" s="1"/>
      <c r="AY603" s="1"/>
      <c r="AZ603" s="4" t="s">
        <v>3014</v>
      </c>
      <c r="BA603" s="1"/>
      <c r="BB603" s="1"/>
      <c r="BC603" s="1"/>
    </row>
    <row r="604" spans="1:55" s="78" customFormat="1" ht="15" customHeight="1" x14ac:dyDescent="0.25">
      <c r="A604" s="52" t="s">
        <v>4613</v>
      </c>
      <c r="B604" s="34" t="s">
        <v>59</v>
      </c>
      <c r="C604" s="53">
        <v>2026</v>
      </c>
      <c r="D604" s="53">
        <v>2026</v>
      </c>
      <c r="E604" s="54" t="s">
        <v>3325</v>
      </c>
      <c r="F604" s="55" t="s">
        <v>50</v>
      </c>
      <c r="G604" s="55" t="s">
        <v>50</v>
      </c>
      <c r="H604" s="45" t="s">
        <v>1509</v>
      </c>
      <c r="I604" s="56" t="s">
        <v>78</v>
      </c>
      <c r="J604" s="56"/>
      <c r="K604" s="55" t="s">
        <v>74</v>
      </c>
      <c r="L604" s="55" t="str">
        <f>IF(K604="Mines and Quarries","Mine","")</f>
        <v/>
      </c>
      <c r="M604" s="55"/>
      <c r="N604" s="55" t="s">
        <v>181</v>
      </c>
      <c r="O604" s="55"/>
      <c r="P604" s="55" t="s">
        <v>75</v>
      </c>
      <c r="Q604" s="56" t="s">
        <v>57</v>
      </c>
      <c r="R604" s="55"/>
      <c r="S604" s="56" t="s">
        <v>58</v>
      </c>
      <c r="T604" s="55" t="str">
        <f>IF(ISNUMBER(SEARCH(",",N604)),"Y","N")</f>
        <v>N</v>
      </c>
      <c r="U604" s="57">
        <v>-999</v>
      </c>
      <c r="V604" s="57" t="s">
        <v>59</v>
      </c>
      <c r="W604" s="55"/>
      <c r="X604" s="54" t="s">
        <v>4613</v>
      </c>
      <c r="Y604" s="52"/>
      <c r="Z604" s="3" t="s">
        <v>61</v>
      </c>
      <c r="AA604" s="3" t="s">
        <v>1510</v>
      </c>
      <c r="AB604" s="3"/>
      <c r="AC604" s="3"/>
      <c r="AD604" s="3" t="s">
        <v>62</v>
      </c>
      <c r="AE604" s="3" t="s">
        <v>251</v>
      </c>
      <c r="AF604" s="3" t="s">
        <v>1511</v>
      </c>
      <c r="AG604" s="3" t="s">
        <v>1511</v>
      </c>
      <c r="AH604" s="58">
        <v>100</v>
      </c>
      <c r="AI604" s="3"/>
      <c r="AJ604" s="3"/>
      <c r="AK604" s="3"/>
      <c r="AL604" s="3"/>
      <c r="AM604" s="3"/>
      <c r="AN604" s="3"/>
      <c r="AO604" s="3"/>
      <c r="AP604" s="3"/>
      <c r="AQ604" s="3"/>
      <c r="AR604" s="3"/>
      <c r="AS604" s="3"/>
      <c r="AT604" s="3"/>
      <c r="AU604" s="3"/>
      <c r="AV604" s="3"/>
      <c r="AW604" s="3"/>
      <c r="AX604" s="3"/>
      <c r="AY604" s="3" t="s">
        <v>1512</v>
      </c>
      <c r="AZ604" s="4" t="s">
        <v>1508</v>
      </c>
      <c r="BA604" s="32"/>
      <c r="BB604" s="1"/>
      <c r="BC604" s="1"/>
    </row>
    <row r="605" spans="1:55" s="78" customFormat="1" ht="15" customHeight="1" x14ac:dyDescent="0.25">
      <c r="A605" s="52" t="s">
        <v>4614</v>
      </c>
      <c r="B605" s="34" t="s">
        <v>59</v>
      </c>
      <c r="C605" s="53">
        <v>2026</v>
      </c>
      <c r="D605" s="53">
        <v>2026</v>
      </c>
      <c r="E605" s="54" t="s">
        <v>3325</v>
      </c>
      <c r="F605" s="55" t="s">
        <v>50</v>
      </c>
      <c r="G605" s="55" t="s">
        <v>50</v>
      </c>
      <c r="H605" s="45" t="s">
        <v>1509</v>
      </c>
      <c r="I605" s="56" t="s">
        <v>78</v>
      </c>
      <c r="J605" s="56"/>
      <c r="K605" s="55" t="s">
        <v>71</v>
      </c>
      <c r="L605" s="55" t="str">
        <f>IF(K605="Mine or Quarry","Mine","")</f>
        <v/>
      </c>
      <c r="M605" s="55"/>
      <c r="N605" s="55" t="s">
        <v>181</v>
      </c>
      <c r="O605" s="55"/>
      <c r="P605" s="55" t="s">
        <v>73</v>
      </c>
      <c r="Q605" s="55" t="s">
        <v>57</v>
      </c>
      <c r="R605" s="55"/>
      <c r="S605" s="56" t="s">
        <v>58</v>
      </c>
      <c r="T605" s="55" t="str">
        <f>IF(ISNUMBER(SEARCH(",",N605)),"Y","N")</f>
        <v>N</v>
      </c>
      <c r="U605" s="57">
        <v>0.35399999999999998</v>
      </c>
      <c r="V605" s="57" t="s">
        <v>101</v>
      </c>
      <c r="W605" s="55"/>
      <c r="X605" s="54" t="s">
        <v>4614</v>
      </c>
      <c r="Y605" s="52"/>
      <c r="Z605" s="3" t="s">
        <v>61</v>
      </c>
      <c r="AA605" s="3" t="s">
        <v>1510</v>
      </c>
      <c r="AB605" s="3"/>
      <c r="AC605" s="3"/>
      <c r="AD605" s="3" t="s">
        <v>62</v>
      </c>
      <c r="AE605" s="3" t="s">
        <v>251</v>
      </c>
      <c r="AF605" s="3" t="s">
        <v>1511</v>
      </c>
      <c r="AG605" s="3" t="s">
        <v>1511</v>
      </c>
      <c r="AH605" s="58">
        <v>100</v>
      </c>
      <c r="AI605" s="3"/>
      <c r="AJ605" s="3"/>
      <c r="AK605" s="3"/>
      <c r="AL605" s="3"/>
      <c r="AM605" s="3"/>
      <c r="AN605" s="3"/>
      <c r="AO605" s="3"/>
      <c r="AP605" s="3"/>
      <c r="AQ605" s="3"/>
      <c r="AR605" s="3"/>
      <c r="AS605" s="3"/>
      <c r="AT605" s="3"/>
      <c r="AU605" s="3"/>
      <c r="AV605" s="3"/>
      <c r="AW605" s="3"/>
      <c r="AX605" s="3"/>
      <c r="AY605" s="3" t="s">
        <v>1512</v>
      </c>
      <c r="AZ605" s="4" t="s">
        <v>1508</v>
      </c>
      <c r="BA605" s="32"/>
      <c r="BB605" s="1"/>
      <c r="BC605" s="1"/>
    </row>
    <row r="606" spans="1:55" s="78" customFormat="1" ht="15" customHeight="1" x14ac:dyDescent="0.25">
      <c r="A606" s="52" t="s">
        <v>4615</v>
      </c>
      <c r="B606" s="34" t="s">
        <v>59</v>
      </c>
      <c r="C606" s="53">
        <v>2026</v>
      </c>
      <c r="D606" s="53">
        <v>2026</v>
      </c>
      <c r="E606" s="54" t="s">
        <v>3326</v>
      </c>
      <c r="F606" s="55" t="s">
        <v>50</v>
      </c>
      <c r="G606" s="55" t="s">
        <v>50</v>
      </c>
      <c r="H606" s="45" t="s">
        <v>1514</v>
      </c>
      <c r="I606" s="56" t="s">
        <v>52</v>
      </c>
      <c r="J606" s="56"/>
      <c r="K606" s="55" t="s">
        <v>346</v>
      </c>
      <c r="L606" s="55" t="str">
        <f>IF(K606="Mine or Quarry","Mine","")</f>
        <v/>
      </c>
      <c r="M606" s="55"/>
      <c r="N606" s="55" t="s">
        <v>110</v>
      </c>
      <c r="O606" s="55" t="s">
        <v>1283</v>
      </c>
      <c r="P606" s="56" t="s">
        <v>89</v>
      </c>
      <c r="Q606" s="56" t="s">
        <v>89</v>
      </c>
      <c r="R606" s="55"/>
      <c r="S606" s="56" t="s">
        <v>81</v>
      </c>
      <c r="T606" s="55" t="str">
        <f>IF(ISNUMBER(SEARCH(",",N606)),"Y","N")</f>
        <v>N</v>
      </c>
      <c r="U606" s="57">
        <v>1000</v>
      </c>
      <c r="V606" s="57" t="s">
        <v>101</v>
      </c>
      <c r="W606" s="55"/>
      <c r="X606" s="54" t="s">
        <v>4615</v>
      </c>
      <c r="Y606" s="52"/>
      <c r="Z606" s="3" t="s">
        <v>154</v>
      </c>
      <c r="AA606" s="3" t="s">
        <v>1515</v>
      </c>
      <c r="AB606" s="3"/>
      <c r="AC606" s="3"/>
      <c r="AD606" s="3" t="s">
        <v>62</v>
      </c>
      <c r="AE606" s="3" t="s">
        <v>605</v>
      </c>
      <c r="AF606" s="3"/>
      <c r="AG606" s="1" t="s">
        <v>1123</v>
      </c>
      <c r="AH606" s="58">
        <v>100</v>
      </c>
      <c r="AI606" s="3"/>
      <c r="AJ606" s="3"/>
      <c r="AK606" s="3"/>
      <c r="AL606" s="3"/>
      <c r="AM606" s="3"/>
      <c r="AN606" s="3"/>
      <c r="AO606" s="3"/>
      <c r="AP606" s="3"/>
      <c r="AQ606" s="3"/>
      <c r="AR606" s="3"/>
      <c r="AS606" s="3"/>
      <c r="AT606" s="3"/>
      <c r="AU606" s="3"/>
      <c r="AV606" s="3"/>
      <c r="AW606" s="3"/>
      <c r="AX606" s="3"/>
      <c r="AY606" s="3"/>
      <c r="AZ606" s="4" t="s">
        <v>1513</v>
      </c>
      <c r="BA606" s="4"/>
      <c r="BB606" s="1"/>
      <c r="BC606" s="1"/>
    </row>
    <row r="607" spans="1:55" s="78" customFormat="1" ht="15" customHeight="1" x14ac:dyDescent="0.25">
      <c r="A607" s="52" t="s">
        <v>4616</v>
      </c>
      <c r="B607" s="34" t="s">
        <v>59</v>
      </c>
      <c r="C607" s="53">
        <v>2026</v>
      </c>
      <c r="D607" s="53">
        <v>2026</v>
      </c>
      <c r="E607" s="54" t="s">
        <v>3327</v>
      </c>
      <c r="F607" s="55" t="s">
        <v>50</v>
      </c>
      <c r="G607" s="55" t="s">
        <v>50</v>
      </c>
      <c r="H607" s="45" t="s">
        <v>3794</v>
      </c>
      <c r="I607" s="56" t="s">
        <v>78</v>
      </c>
      <c r="J607" s="56"/>
      <c r="K607" s="55" t="s">
        <v>346</v>
      </c>
      <c r="L607" s="55"/>
      <c r="M607" s="55"/>
      <c r="N607" s="55" t="s">
        <v>181</v>
      </c>
      <c r="O607" s="55"/>
      <c r="P607" s="55" t="s">
        <v>89</v>
      </c>
      <c r="Q607" s="55" t="s">
        <v>89</v>
      </c>
      <c r="R607" s="55"/>
      <c r="S607" s="56" t="s">
        <v>81</v>
      </c>
      <c r="T607" s="55" t="s">
        <v>81</v>
      </c>
      <c r="U607" s="57">
        <v>1000</v>
      </c>
      <c r="V607" s="57" t="s">
        <v>101</v>
      </c>
      <c r="W607" s="55"/>
      <c r="X607" s="54" t="s">
        <v>4616</v>
      </c>
      <c r="Y607" s="52"/>
      <c r="Z607" s="3" t="s">
        <v>154</v>
      </c>
      <c r="AA607" s="3" t="s">
        <v>1515</v>
      </c>
      <c r="AB607" s="3"/>
      <c r="AC607" s="3"/>
      <c r="AD607" s="3" t="s">
        <v>62</v>
      </c>
      <c r="AE607" s="3" t="s">
        <v>605</v>
      </c>
      <c r="AF607" s="3"/>
      <c r="AG607" s="3" t="s">
        <v>1123</v>
      </c>
      <c r="AH607" s="58">
        <v>100</v>
      </c>
      <c r="AI607" s="3"/>
      <c r="AJ607" s="3"/>
      <c r="AK607" s="3"/>
      <c r="AL607" s="3"/>
      <c r="AM607" s="3"/>
      <c r="AN607" s="3"/>
      <c r="AO607" s="3"/>
      <c r="AP607" s="3"/>
      <c r="AQ607" s="3"/>
      <c r="AR607" s="3"/>
      <c r="AS607" s="3"/>
      <c r="AT607" s="3"/>
      <c r="AU607" s="3"/>
      <c r="AV607" s="3"/>
      <c r="AW607" s="3"/>
      <c r="AX607" s="3"/>
      <c r="AY607" s="3"/>
      <c r="AZ607" s="4" t="s">
        <v>1513</v>
      </c>
      <c r="BA607" s="32"/>
      <c r="BB607" s="1"/>
      <c r="BC607" s="1"/>
    </row>
    <row r="608" spans="1:55" s="78" customFormat="1" ht="15" customHeight="1" x14ac:dyDescent="0.25">
      <c r="A608" s="52" t="s">
        <v>4617</v>
      </c>
      <c r="B608" s="34" t="s">
        <v>59</v>
      </c>
      <c r="C608" s="53">
        <v>2026</v>
      </c>
      <c r="D608" s="53">
        <v>2026</v>
      </c>
      <c r="E608" s="54" t="s">
        <v>3328</v>
      </c>
      <c r="F608" s="55" t="s">
        <v>50</v>
      </c>
      <c r="G608" s="55" t="s">
        <v>50</v>
      </c>
      <c r="H608" s="45" t="s">
        <v>1517</v>
      </c>
      <c r="I608" s="56" t="s">
        <v>52</v>
      </c>
      <c r="J608" s="56"/>
      <c r="K608" s="56" t="s">
        <v>87</v>
      </c>
      <c r="L608" s="55" t="str">
        <f>IF(K608="Mine or Quarry","Mine","")</f>
        <v/>
      </c>
      <c r="M608" s="55"/>
      <c r="N608" s="56"/>
      <c r="O608" s="56" t="s">
        <v>2892</v>
      </c>
      <c r="P608" s="56" t="s">
        <v>89</v>
      </c>
      <c r="Q608" s="56" t="s">
        <v>89</v>
      </c>
      <c r="R608" s="55"/>
      <c r="S608" s="56" t="s">
        <v>81</v>
      </c>
      <c r="T608" s="55" t="s">
        <v>58</v>
      </c>
      <c r="U608" s="57">
        <v>-999</v>
      </c>
      <c r="V608" s="57" t="s">
        <v>59</v>
      </c>
      <c r="W608" s="55" t="s">
        <v>2319</v>
      </c>
      <c r="X608" s="54" t="s">
        <v>4617</v>
      </c>
      <c r="Y608" s="52"/>
      <c r="Z608" s="1" t="s">
        <v>61</v>
      </c>
      <c r="AA608" s="1" t="s">
        <v>1518</v>
      </c>
      <c r="AB608" s="1"/>
      <c r="AC608" s="1"/>
      <c r="AD608" s="3" t="s">
        <v>62</v>
      </c>
      <c r="AE608" s="1" t="s">
        <v>592</v>
      </c>
      <c r="AF608" s="1" t="s">
        <v>1519</v>
      </c>
      <c r="AG608" s="1" t="s">
        <v>233</v>
      </c>
      <c r="AH608" s="2">
        <v>100</v>
      </c>
      <c r="AI608" s="1"/>
      <c r="AJ608" s="1"/>
      <c r="AK608" s="1"/>
      <c r="AL608" s="1"/>
      <c r="AM608" s="1"/>
      <c r="AN608" s="1"/>
      <c r="AO608" s="1"/>
      <c r="AP608" s="1"/>
      <c r="AQ608" s="1"/>
      <c r="AR608" s="1"/>
      <c r="AS608" s="1"/>
      <c r="AT608" s="1"/>
      <c r="AU608" s="1"/>
      <c r="AV608" s="1"/>
      <c r="AW608" s="1"/>
      <c r="AX608" s="1"/>
      <c r="AY608" s="1"/>
      <c r="AZ608" s="5" t="s">
        <v>1516</v>
      </c>
      <c r="BA608" s="5"/>
      <c r="BB608" s="1"/>
      <c r="BC608" s="1"/>
    </row>
    <row r="609" spans="1:55" s="78" customFormat="1" ht="15" customHeight="1" x14ac:dyDescent="0.25">
      <c r="A609" s="52" t="s">
        <v>4618</v>
      </c>
      <c r="B609" s="34" t="s">
        <v>59</v>
      </c>
      <c r="C609" s="53">
        <v>2026</v>
      </c>
      <c r="D609" s="53">
        <v>2026</v>
      </c>
      <c r="E609" s="54" t="s">
        <v>3329</v>
      </c>
      <c r="F609" s="55" t="s">
        <v>50</v>
      </c>
      <c r="G609" s="55" t="s">
        <v>50</v>
      </c>
      <c r="H609" s="45" t="s">
        <v>1521</v>
      </c>
      <c r="I609" s="56" t="s">
        <v>78</v>
      </c>
      <c r="J609" s="56"/>
      <c r="K609" s="56" t="s">
        <v>133</v>
      </c>
      <c r="L609" s="55" t="s">
        <v>54</v>
      </c>
      <c r="M609" s="55"/>
      <c r="N609" s="55" t="s">
        <v>423</v>
      </c>
      <c r="O609" s="55"/>
      <c r="P609" s="55" t="s">
        <v>134</v>
      </c>
      <c r="Q609" s="55" t="s">
        <v>57</v>
      </c>
      <c r="R609" s="55"/>
      <c r="S609" s="56" t="s">
        <v>81</v>
      </c>
      <c r="T609" s="55" t="str">
        <f>IF(ISNUMBER(SEARCH(",",N609)),"Y","N")</f>
        <v>N</v>
      </c>
      <c r="U609" s="57">
        <v>1500</v>
      </c>
      <c r="V609" s="57" t="s">
        <v>101</v>
      </c>
      <c r="W609" s="55"/>
      <c r="X609" s="54" t="s">
        <v>4618</v>
      </c>
      <c r="Y609" s="52"/>
      <c r="Z609" s="3" t="s">
        <v>2005</v>
      </c>
      <c r="AA609" s="3" t="s">
        <v>1522</v>
      </c>
      <c r="AB609" s="3"/>
      <c r="AC609" s="3"/>
      <c r="AD609" s="3" t="s">
        <v>62</v>
      </c>
      <c r="AE609" s="3" t="s">
        <v>288</v>
      </c>
      <c r="AF609" s="3"/>
      <c r="AG609" s="1" t="s">
        <v>1523</v>
      </c>
      <c r="AH609" s="58">
        <v>100</v>
      </c>
      <c r="AI609" s="3"/>
      <c r="AJ609" s="3"/>
      <c r="AK609" s="3"/>
      <c r="AL609" s="3"/>
      <c r="AM609" s="3"/>
      <c r="AN609" s="3"/>
      <c r="AO609" s="3"/>
      <c r="AP609" s="3"/>
      <c r="AQ609" s="3"/>
      <c r="AR609" s="3"/>
      <c r="AS609" s="3"/>
      <c r="AT609" s="3"/>
      <c r="AU609" s="3"/>
      <c r="AV609" s="3"/>
      <c r="AW609" s="3"/>
      <c r="AX609" s="3"/>
      <c r="AY609" s="3"/>
      <c r="AZ609" s="2" t="s">
        <v>1520</v>
      </c>
      <c r="BA609" s="3"/>
      <c r="BB609" s="1"/>
      <c r="BC609" s="1"/>
    </row>
    <row r="610" spans="1:55" s="78" customFormat="1" ht="15" customHeight="1" x14ac:dyDescent="0.25">
      <c r="A610" s="52" t="s">
        <v>4619</v>
      </c>
      <c r="B610" s="34" t="s">
        <v>59</v>
      </c>
      <c r="C610" s="53">
        <v>2026</v>
      </c>
      <c r="D610" s="53">
        <v>2026</v>
      </c>
      <c r="E610" s="54" t="s">
        <v>3330</v>
      </c>
      <c r="F610" s="55" t="s">
        <v>50</v>
      </c>
      <c r="G610" s="55" t="s">
        <v>50</v>
      </c>
      <c r="H610" s="45" t="s">
        <v>1524</v>
      </c>
      <c r="I610" s="56" t="s">
        <v>52</v>
      </c>
      <c r="J610" s="56"/>
      <c r="K610" s="55" t="s">
        <v>133</v>
      </c>
      <c r="L610" s="55" t="s">
        <v>54</v>
      </c>
      <c r="M610" s="55"/>
      <c r="N610" s="55" t="s">
        <v>423</v>
      </c>
      <c r="O610" s="55"/>
      <c r="P610" s="55" t="s">
        <v>134</v>
      </c>
      <c r="Q610" s="55" t="s">
        <v>57</v>
      </c>
      <c r="R610" s="55"/>
      <c r="S610" s="56" t="s">
        <v>81</v>
      </c>
      <c r="T610" s="55" t="s">
        <v>81</v>
      </c>
      <c r="U610" s="57">
        <v>1500</v>
      </c>
      <c r="V610" s="57" t="s">
        <v>101</v>
      </c>
      <c r="W610" s="55"/>
      <c r="X610" s="54" t="s">
        <v>4619</v>
      </c>
      <c r="Y610" s="52"/>
      <c r="Z610" s="3" t="s">
        <v>61</v>
      </c>
      <c r="AA610" s="3" t="s">
        <v>1522</v>
      </c>
      <c r="AB610" s="3"/>
      <c r="AC610" s="3"/>
      <c r="AD610" s="3" t="s">
        <v>62</v>
      </c>
      <c r="AE610" s="3" t="s">
        <v>288</v>
      </c>
      <c r="AF610" s="3"/>
      <c r="AG610" s="1" t="s">
        <v>1523</v>
      </c>
      <c r="AH610" s="58">
        <v>100</v>
      </c>
      <c r="AI610" s="3"/>
      <c r="AJ610" s="3"/>
      <c r="AK610" s="3"/>
      <c r="AL610" s="3"/>
      <c r="AM610" s="3"/>
      <c r="AN610" s="3"/>
      <c r="AO610" s="3"/>
      <c r="AP610" s="3"/>
      <c r="AQ610" s="3"/>
      <c r="AR610" s="3"/>
      <c r="AS610" s="3"/>
      <c r="AT610" s="3"/>
      <c r="AU610" s="3"/>
      <c r="AV610" s="3"/>
      <c r="AW610" s="3"/>
      <c r="AX610" s="3"/>
      <c r="AY610" s="3"/>
      <c r="AZ610" s="2" t="s">
        <v>1520</v>
      </c>
      <c r="BA610" s="3"/>
      <c r="BB610" s="1"/>
      <c r="BC610" s="1"/>
    </row>
    <row r="611" spans="1:55" s="78" customFormat="1" ht="15" customHeight="1" x14ac:dyDescent="0.25">
      <c r="A611" s="52" t="s">
        <v>4620</v>
      </c>
      <c r="B611" s="34" t="s">
        <v>59</v>
      </c>
      <c r="C611" s="53">
        <v>2026</v>
      </c>
      <c r="D611" s="53">
        <v>2026</v>
      </c>
      <c r="E611" s="54" t="s">
        <v>3331</v>
      </c>
      <c r="F611" s="55" t="s">
        <v>50</v>
      </c>
      <c r="G611" s="55" t="s">
        <v>50</v>
      </c>
      <c r="H611" s="45" t="s">
        <v>1526</v>
      </c>
      <c r="I611" s="56" t="s">
        <v>78</v>
      </c>
      <c r="J611" s="56"/>
      <c r="K611" s="45" t="s">
        <v>180</v>
      </c>
      <c r="L611" s="55" t="str">
        <f>IF(K611="Mine or Quarry","Mine","")</f>
        <v/>
      </c>
      <c r="M611" s="55"/>
      <c r="N611" s="55" t="s">
        <v>181</v>
      </c>
      <c r="O611" s="55" t="s">
        <v>629</v>
      </c>
      <c r="P611" s="55" t="s">
        <v>182</v>
      </c>
      <c r="Q611" s="55" t="s">
        <v>5353</v>
      </c>
      <c r="R611" s="55"/>
      <c r="S611" s="56" t="s">
        <v>81</v>
      </c>
      <c r="T611" s="55" t="str">
        <f>IF(ISNUMBER(SEARCH(",",N611)),"Y","N")</f>
        <v>N</v>
      </c>
      <c r="U611" s="57">
        <v>360</v>
      </c>
      <c r="V611" s="57" t="s">
        <v>101</v>
      </c>
      <c r="W611" s="55"/>
      <c r="X611" s="54" t="s">
        <v>4620</v>
      </c>
      <c r="Y611" s="52"/>
      <c r="Z611" s="3" t="s">
        <v>2005</v>
      </c>
      <c r="AA611" s="3" t="s">
        <v>1527</v>
      </c>
      <c r="AB611" s="3"/>
      <c r="AC611" s="3"/>
      <c r="AD611" s="3" t="s">
        <v>62</v>
      </c>
      <c r="AE611" s="3" t="s">
        <v>184</v>
      </c>
      <c r="AF611" s="3"/>
      <c r="AG611" s="3" t="s">
        <v>626</v>
      </c>
      <c r="AH611" s="58">
        <v>100</v>
      </c>
      <c r="AI611" s="3"/>
      <c r="AJ611" s="53"/>
      <c r="AK611" s="3"/>
      <c r="AL611" s="3"/>
      <c r="AM611" s="3"/>
      <c r="AN611" s="3"/>
      <c r="AO611" s="3"/>
      <c r="AP611" s="3"/>
      <c r="AQ611" s="3"/>
      <c r="AR611" s="3"/>
      <c r="AS611" s="3"/>
      <c r="AT611" s="3"/>
      <c r="AU611" s="3"/>
      <c r="AV611" s="3"/>
      <c r="AW611" s="3"/>
      <c r="AX611" s="3"/>
      <c r="AY611" s="3"/>
      <c r="AZ611" s="4" t="s">
        <v>1525</v>
      </c>
      <c r="BA611" s="3"/>
      <c r="BB611" s="1"/>
      <c r="BC611" s="1"/>
    </row>
    <row r="612" spans="1:55" s="78" customFormat="1" ht="15" customHeight="1" x14ac:dyDescent="0.25">
      <c r="A612" s="52" t="s">
        <v>4621</v>
      </c>
      <c r="B612" s="34" t="s">
        <v>59</v>
      </c>
      <c r="C612" s="53">
        <v>2026</v>
      </c>
      <c r="D612" s="53">
        <v>2026</v>
      </c>
      <c r="E612" s="54" t="s">
        <v>3332</v>
      </c>
      <c r="F612" s="55" t="s">
        <v>50</v>
      </c>
      <c r="G612" s="55" t="s">
        <v>50</v>
      </c>
      <c r="H612" s="45" t="s">
        <v>1528</v>
      </c>
      <c r="I612" s="56" t="s">
        <v>52</v>
      </c>
      <c r="J612" s="56"/>
      <c r="K612" s="45" t="s">
        <v>180</v>
      </c>
      <c r="L612" s="55" t="str">
        <f>IF(K612="Mine or Quarry","Mine","")</f>
        <v/>
      </c>
      <c r="M612" s="55"/>
      <c r="N612" s="55" t="s">
        <v>110</v>
      </c>
      <c r="O612" s="55" t="s">
        <v>188</v>
      </c>
      <c r="P612" s="55" t="s">
        <v>182</v>
      </c>
      <c r="Q612" s="55" t="s">
        <v>5353</v>
      </c>
      <c r="R612" s="55"/>
      <c r="S612" s="56" t="s">
        <v>81</v>
      </c>
      <c r="T612" s="55" t="str">
        <f>IF(ISNUMBER(SEARCH(",",N612)),"Y","N")</f>
        <v>N</v>
      </c>
      <c r="U612" s="57">
        <v>360</v>
      </c>
      <c r="V612" s="57" t="s">
        <v>101</v>
      </c>
      <c r="W612" s="55"/>
      <c r="X612" s="54" t="s">
        <v>4621</v>
      </c>
      <c r="Y612" s="52"/>
      <c r="Z612" s="3" t="s">
        <v>2005</v>
      </c>
      <c r="AA612" s="3" t="s">
        <v>1527</v>
      </c>
      <c r="AB612" s="3"/>
      <c r="AC612" s="3"/>
      <c r="AD612" s="3" t="s">
        <v>62</v>
      </c>
      <c r="AE612" s="3" t="s">
        <v>184</v>
      </c>
      <c r="AF612" s="3"/>
      <c r="AG612" s="3" t="s">
        <v>626</v>
      </c>
      <c r="AH612" s="58">
        <v>100</v>
      </c>
      <c r="AI612" s="3"/>
      <c r="AJ612" s="53"/>
      <c r="AK612" s="3"/>
      <c r="AL612" s="3"/>
      <c r="AM612" s="3"/>
      <c r="AN612" s="3"/>
      <c r="AO612" s="3"/>
      <c r="AP612" s="3"/>
      <c r="AQ612" s="3"/>
      <c r="AR612" s="3"/>
      <c r="AS612" s="3"/>
      <c r="AT612" s="3"/>
      <c r="AU612" s="3"/>
      <c r="AV612" s="3"/>
      <c r="AW612" s="3"/>
      <c r="AX612" s="3"/>
      <c r="AY612" s="3"/>
      <c r="AZ612" s="4" t="s">
        <v>1525</v>
      </c>
      <c r="BA612" s="3"/>
      <c r="BB612" s="1"/>
      <c r="BC612" s="1"/>
    </row>
    <row r="613" spans="1:55" s="78" customFormat="1" ht="15" customHeight="1" x14ac:dyDescent="0.25">
      <c r="A613" s="52" t="s">
        <v>4622</v>
      </c>
      <c r="B613" s="34" t="s">
        <v>59</v>
      </c>
      <c r="C613" s="53">
        <v>2026</v>
      </c>
      <c r="D613" s="53">
        <v>2026</v>
      </c>
      <c r="E613" s="54" t="s">
        <v>3333</v>
      </c>
      <c r="F613" s="55" t="s">
        <v>50</v>
      </c>
      <c r="G613" s="55" t="s">
        <v>50</v>
      </c>
      <c r="H613" s="45" t="s">
        <v>1529</v>
      </c>
      <c r="I613" s="56" t="s">
        <v>78</v>
      </c>
      <c r="J613" s="56"/>
      <c r="K613" s="56" t="s">
        <v>285</v>
      </c>
      <c r="L613" s="55" t="s">
        <v>88</v>
      </c>
      <c r="M613" s="55"/>
      <c r="N613" s="56" t="s">
        <v>181</v>
      </c>
      <c r="O613" s="56"/>
      <c r="P613" s="56" t="s">
        <v>89</v>
      </c>
      <c r="Q613" s="56" t="s">
        <v>89</v>
      </c>
      <c r="R613" s="55"/>
      <c r="S613" s="56" t="s">
        <v>81</v>
      </c>
      <c r="T613" s="55" t="str">
        <f>IF(ISNUMBER(SEARCH(",",N613)),"Y","N")</f>
        <v>N</v>
      </c>
      <c r="U613" s="57">
        <v>-999</v>
      </c>
      <c r="V613" s="57" t="s">
        <v>59</v>
      </c>
      <c r="W613" s="55" t="s">
        <v>2319</v>
      </c>
      <c r="X613" s="54" t="s">
        <v>4622</v>
      </c>
      <c r="Y613" s="52"/>
      <c r="Z613" s="1" t="s">
        <v>154</v>
      </c>
      <c r="AA613" s="1" t="s">
        <v>1530</v>
      </c>
      <c r="AB613" s="1"/>
      <c r="AC613" s="1"/>
      <c r="AD613" s="3" t="s">
        <v>62</v>
      </c>
      <c r="AE613" s="1" t="s">
        <v>257</v>
      </c>
      <c r="AF613" s="1"/>
      <c r="AG613" s="1" t="s">
        <v>1320</v>
      </c>
      <c r="AH613" s="2">
        <v>100</v>
      </c>
      <c r="AI613" s="1"/>
      <c r="AJ613" s="1"/>
      <c r="AK613" s="1"/>
      <c r="AL613" s="1"/>
      <c r="AM613" s="1"/>
      <c r="AN613" s="1"/>
      <c r="AO613" s="1"/>
      <c r="AP613" s="1"/>
      <c r="AQ613" s="1"/>
      <c r="AR613" s="1"/>
      <c r="AS613" s="1"/>
      <c r="AT613" s="1"/>
      <c r="AU613" s="1"/>
      <c r="AV613" s="1"/>
      <c r="AW613" s="1"/>
      <c r="AX613" s="1"/>
      <c r="AY613" s="1"/>
      <c r="AZ613" s="4" t="s">
        <v>907</v>
      </c>
      <c r="BA613" s="1"/>
      <c r="BB613" s="1"/>
      <c r="BC613" s="1"/>
    </row>
    <row r="614" spans="1:55" s="78" customFormat="1" ht="15" customHeight="1" x14ac:dyDescent="0.25">
      <c r="A614" s="52" t="s">
        <v>4623</v>
      </c>
      <c r="B614" s="34" t="s">
        <v>59</v>
      </c>
      <c r="C614" s="53">
        <v>2026</v>
      </c>
      <c r="D614" s="53">
        <v>2026</v>
      </c>
      <c r="E614" s="54" t="s">
        <v>3337</v>
      </c>
      <c r="F614" s="55" t="s">
        <v>50</v>
      </c>
      <c r="G614" s="55" t="s">
        <v>50</v>
      </c>
      <c r="H614" s="45" t="s">
        <v>1531</v>
      </c>
      <c r="I614" s="56" t="s">
        <v>78</v>
      </c>
      <c r="J614" s="56"/>
      <c r="K614" s="45" t="s">
        <v>180</v>
      </c>
      <c r="L614" s="55" t="str">
        <f>IF(K614="Mine or Quarry","Mine","")</f>
        <v/>
      </c>
      <c r="M614" s="55"/>
      <c r="N614" s="55" t="s">
        <v>181</v>
      </c>
      <c r="O614" s="55"/>
      <c r="P614" s="55" t="s">
        <v>182</v>
      </c>
      <c r="Q614" s="55" t="s">
        <v>5353</v>
      </c>
      <c r="R614" s="55"/>
      <c r="S614" s="56" t="s">
        <v>58</v>
      </c>
      <c r="T614" s="55" t="str">
        <f>IF(ISNUMBER(SEARCH(",",N614)),"Y","N")</f>
        <v>N</v>
      </c>
      <c r="U614" s="57">
        <v>3628</v>
      </c>
      <c r="V614" s="57" t="s">
        <v>101</v>
      </c>
      <c r="W614" s="55" t="s">
        <v>2797</v>
      </c>
      <c r="X614" s="54" t="s">
        <v>5335</v>
      </c>
      <c r="Y614" s="52"/>
      <c r="Z614" s="3" t="s">
        <v>61</v>
      </c>
      <c r="AA614" s="3" t="s">
        <v>1532</v>
      </c>
      <c r="AB614" s="3"/>
      <c r="AC614" s="3"/>
      <c r="AD614" s="3" t="s">
        <v>62</v>
      </c>
      <c r="AE614" s="3" t="s">
        <v>251</v>
      </c>
      <c r="AF614" s="3"/>
      <c r="AG614" s="3" t="s">
        <v>618</v>
      </c>
      <c r="AH614" s="58">
        <v>100</v>
      </c>
      <c r="AI614" s="3"/>
      <c r="AJ614" s="53"/>
      <c r="AK614" s="3"/>
      <c r="AL614" s="3"/>
      <c r="AM614" s="3"/>
      <c r="AN614" s="3"/>
      <c r="AO614" s="3"/>
      <c r="AP614" s="3"/>
      <c r="AQ614" s="3"/>
      <c r="AR614" s="3"/>
      <c r="AS614" s="3"/>
      <c r="AT614" s="3"/>
      <c r="AU614" s="3"/>
      <c r="AV614" s="3"/>
      <c r="AW614" s="3"/>
      <c r="AX614" s="3"/>
      <c r="AY614" s="3"/>
      <c r="AZ614" s="4" t="s">
        <v>616</v>
      </c>
      <c r="BA614" s="3"/>
      <c r="BB614" s="1"/>
      <c r="BC614" s="1"/>
    </row>
    <row r="615" spans="1:55" s="78" customFormat="1" ht="15" customHeight="1" x14ac:dyDescent="0.25">
      <c r="A615" s="52" t="s">
        <v>4624</v>
      </c>
      <c r="B615" s="34" t="s">
        <v>59</v>
      </c>
      <c r="C615" s="53">
        <v>2026</v>
      </c>
      <c r="D615" s="53">
        <v>2026</v>
      </c>
      <c r="E615" s="54" t="s">
        <v>3337</v>
      </c>
      <c r="F615" s="55" t="s">
        <v>50</v>
      </c>
      <c r="G615" s="55" t="s">
        <v>50</v>
      </c>
      <c r="H615" s="45" t="s">
        <v>1531</v>
      </c>
      <c r="I615" s="56" t="s">
        <v>78</v>
      </c>
      <c r="J615" s="56"/>
      <c r="K615" s="45" t="s">
        <v>392</v>
      </c>
      <c r="L615" s="55"/>
      <c r="M615" s="55"/>
      <c r="N615" s="55" t="s">
        <v>181</v>
      </c>
      <c r="O615" s="55"/>
      <c r="P615" s="55" t="s">
        <v>394</v>
      </c>
      <c r="Q615" s="55" t="s">
        <v>57</v>
      </c>
      <c r="R615" s="55"/>
      <c r="S615" s="56" t="s">
        <v>58</v>
      </c>
      <c r="T615" s="55" t="s">
        <v>81</v>
      </c>
      <c r="U615" s="57">
        <v>90</v>
      </c>
      <c r="V615" s="57" t="s">
        <v>101</v>
      </c>
      <c r="W615" s="55"/>
      <c r="X615" s="54" t="s">
        <v>4624</v>
      </c>
      <c r="Y615" s="52"/>
      <c r="Z615" s="3" t="s">
        <v>61</v>
      </c>
      <c r="AA615" s="3" t="s">
        <v>1532</v>
      </c>
      <c r="AB615" s="3"/>
      <c r="AC615" s="3"/>
      <c r="AD615" s="3" t="s">
        <v>62</v>
      </c>
      <c r="AE615" s="3" t="s">
        <v>251</v>
      </c>
      <c r="AF615" s="3"/>
      <c r="AG615" s="3" t="s">
        <v>618</v>
      </c>
      <c r="AH615" s="58">
        <v>100</v>
      </c>
      <c r="AI615" s="3"/>
      <c r="AJ615" s="3"/>
      <c r="AK615" s="3"/>
      <c r="AL615" s="3"/>
      <c r="AM615" s="3"/>
      <c r="AN615" s="3"/>
      <c r="AO615" s="3"/>
      <c r="AP615" s="3"/>
      <c r="AQ615" s="3"/>
      <c r="AR615" s="3"/>
      <c r="AS615" s="3"/>
      <c r="AT615" s="3"/>
      <c r="AU615" s="3"/>
      <c r="AV615" s="3"/>
      <c r="AW615" s="3"/>
      <c r="AX615" s="3"/>
      <c r="AY615" s="3"/>
      <c r="AZ615" s="4" t="s">
        <v>616</v>
      </c>
      <c r="BA615" s="3"/>
      <c r="BB615" s="1"/>
      <c r="BC615" s="1"/>
    </row>
    <row r="616" spans="1:55" s="78" customFormat="1" ht="15" customHeight="1" x14ac:dyDescent="0.25">
      <c r="A616" s="52" t="s">
        <v>4625</v>
      </c>
      <c r="B616" s="34" t="s">
        <v>59</v>
      </c>
      <c r="C616" s="53">
        <v>2026</v>
      </c>
      <c r="D616" s="53">
        <v>2026</v>
      </c>
      <c r="E616" s="54" t="s">
        <v>3338</v>
      </c>
      <c r="F616" s="55" t="s">
        <v>50</v>
      </c>
      <c r="G616" s="55" t="s">
        <v>50</v>
      </c>
      <c r="H616" s="45" t="s">
        <v>1533</v>
      </c>
      <c r="I616" s="56" t="s">
        <v>52</v>
      </c>
      <c r="J616" s="56"/>
      <c r="K616" s="56" t="s">
        <v>1019</v>
      </c>
      <c r="L616" s="55" t="str">
        <f>IF(K616="Mine or Quarry","Mine","")</f>
        <v/>
      </c>
      <c r="M616" s="55"/>
      <c r="N616" s="56"/>
      <c r="O616" s="56" t="s">
        <v>1025</v>
      </c>
      <c r="P616" s="56" t="s">
        <v>89</v>
      </c>
      <c r="Q616" s="56" t="s">
        <v>89</v>
      </c>
      <c r="R616" s="55"/>
      <c r="S616" s="56" t="s">
        <v>81</v>
      </c>
      <c r="T616" s="55" t="s">
        <v>81</v>
      </c>
      <c r="U616" s="57">
        <v>-999</v>
      </c>
      <c r="V616" s="57" t="s">
        <v>59</v>
      </c>
      <c r="W616" s="55" t="s">
        <v>2319</v>
      </c>
      <c r="X616" s="54" t="s">
        <v>4625</v>
      </c>
      <c r="Y616" s="52"/>
      <c r="Z616" s="1" t="s">
        <v>61</v>
      </c>
      <c r="AA616" s="1" t="s">
        <v>1534</v>
      </c>
      <c r="AB616" s="1"/>
      <c r="AC616" s="1"/>
      <c r="AD616" s="3" t="s">
        <v>62</v>
      </c>
      <c r="AE616" s="1" t="s">
        <v>387</v>
      </c>
      <c r="AF616" s="1"/>
      <c r="AG616" s="1" t="s">
        <v>792</v>
      </c>
      <c r="AH616" s="2">
        <v>100</v>
      </c>
      <c r="AI616" s="1"/>
      <c r="AJ616" s="1"/>
      <c r="AK616" s="1"/>
      <c r="AL616" s="1"/>
      <c r="AM616" s="1"/>
      <c r="AN616" s="1"/>
      <c r="AO616" s="1"/>
      <c r="AP616" s="1"/>
      <c r="AQ616" s="1"/>
      <c r="AR616" s="1"/>
      <c r="AS616" s="1"/>
      <c r="AT616" s="1"/>
      <c r="AU616" s="1"/>
      <c r="AV616" s="1"/>
      <c r="AW616" s="1"/>
      <c r="AX616" s="1"/>
      <c r="AY616" s="1"/>
      <c r="AZ616" s="4" t="s">
        <v>1017</v>
      </c>
      <c r="BA616" s="1"/>
      <c r="BB616" s="1"/>
      <c r="BC616" s="1"/>
    </row>
    <row r="617" spans="1:55" s="78" customFormat="1" ht="15" customHeight="1" x14ac:dyDescent="0.25">
      <c r="A617" s="52" t="s">
        <v>4626</v>
      </c>
      <c r="B617" s="34" t="s">
        <v>59</v>
      </c>
      <c r="C617" s="53">
        <v>2026</v>
      </c>
      <c r="D617" s="53">
        <v>2026</v>
      </c>
      <c r="E617" s="54" t="s">
        <v>3339</v>
      </c>
      <c r="F617" s="55" t="s">
        <v>50</v>
      </c>
      <c r="G617" s="55" t="s">
        <v>50</v>
      </c>
      <c r="H617" s="45" t="s">
        <v>1535</v>
      </c>
      <c r="I617" s="56" t="s">
        <v>52</v>
      </c>
      <c r="J617" s="56"/>
      <c r="K617" s="56" t="s">
        <v>1019</v>
      </c>
      <c r="L617" s="55"/>
      <c r="M617" s="55"/>
      <c r="N617" s="56"/>
      <c r="O617" s="56" t="s">
        <v>1025</v>
      </c>
      <c r="P617" s="56" t="s">
        <v>89</v>
      </c>
      <c r="Q617" s="56" t="s">
        <v>89</v>
      </c>
      <c r="R617" s="55"/>
      <c r="S617" s="56" t="s">
        <v>81</v>
      </c>
      <c r="T617" s="55" t="s">
        <v>81</v>
      </c>
      <c r="U617" s="57">
        <v>-999</v>
      </c>
      <c r="V617" s="57" t="s">
        <v>59</v>
      </c>
      <c r="W617" s="55" t="s">
        <v>2319</v>
      </c>
      <c r="X617" s="54" t="s">
        <v>4626</v>
      </c>
      <c r="Y617" s="52"/>
      <c r="Z617" s="1" t="s">
        <v>61</v>
      </c>
      <c r="AA617" s="1" t="s">
        <v>1536</v>
      </c>
      <c r="AB617" s="1"/>
      <c r="AC617" s="1"/>
      <c r="AD617" s="3" t="s">
        <v>62</v>
      </c>
      <c r="AE617" s="1" t="s">
        <v>574</v>
      </c>
      <c r="AF617" s="1"/>
      <c r="AG617" s="1" t="s">
        <v>1537</v>
      </c>
      <c r="AH617" s="2">
        <v>100</v>
      </c>
      <c r="AI617" s="1"/>
      <c r="AJ617" s="1"/>
      <c r="AK617" s="1"/>
      <c r="AL617" s="1"/>
      <c r="AM617" s="1"/>
      <c r="AN617" s="1"/>
      <c r="AO617" s="1"/>
      <c r="AP617" s="1"/>
      <c r="AQ617" s="1"/>
      <c r="AR617" s="1"/>
      <c r="AS617" s="1"/>
      <c r="AT617" s="1"/>
      <c r="AU617" s="1"/>
      <c r="AV617" s="1"/>
      <c r="AW617" s="1"/>
      <c r="AX617" s="1"/>
      <c r="AY617" s="1"/>
      <c r="AZ617" s="4" t="s">
        <v>1017</v>
      </c>
      <c r="BA617" s="1"/>
      <c r="BB617" s="1"/>
      <c r="BC617" s="1"/>
    </row>
    <row r="618" spans="1:55" s="78" customFormat="1" ht="15" customHeight="1" x14ac:dyDescent="0.25">
      <c r="A618" s="52" t="s">
        <v>4627</v>
      </c>
      <c r="B618" s="34" t="s">
        <v>59</v>
      </c>
      <c r="C618" s="53">
        <v>2026</v>
      </c>
      <c r="D618" s="53">
        <v>2026</v>
      </c>
      <c r="E618" s="54" t="s">
        <v>3340</v>
      </c>
      <c r="F618" s="55" t="s">
        <v>50</v>
      </c>
      <c r="G618" s="55" t="s">
        <v>50</v>
      </c>
      <c r="H618" s="45" t="s">
        <v>1538</v>
      </c>
      <c r="I618" s="56" t="s">
        <v>52</v>
      </c>
      <c r="J618" s="56"/>
      <c r="K618" s="56" t="s">
        <v>204</v>
      </c>
      <c r="L618" s="55"/>
      <c r="M618" s="55"/>
      <c r="N618" s="56"/>
      <c r="O618" s="56"/>
      <c r="P618" s="55" t="s">
        <v>89</v>
      </c>
      <c r="Q618" s="55" t="s">
        <v>89</v>
      </c>
      <c r="R618" s="55"/>
      <c r="S618" s="56" t="s">
        <v>81</v>
      </c>
      <c r="T618" s="55" t="s">
        <v>81</v>
      </c>
      <c r="U618" s="57">
        <v>-999</v>
      </c>
      <c r="V618" s="57" t="s">
        <v>59</v>
      </c>
      <c r="W618" s="55" t="s">
        <v>2319</v>
      </c>
      <c r="X618" s="54" t="s">
        <v>4627</v>
      </c>
      <c r="Y618" s="52"/>
      <c r="Z618" s="2" t="s">
        <v>61</v>
      </c>
      <c r="AA618" s="1" t="s">
        <v>1539</v>
      </c>
      <c r="AB618" s="1"/>
      <c r="AC618" s="1"/>
      <c r="AD618" s="3" t="s">
        <v>62</v>
      </c>
      <c r="AE618" s="2" t="s">
        <v>206</v>
      </c>
      <c r="AF618" s="2"/>
      <c r="AG618" s="3" t="s">
        <v>929</v>
      </c>
      <c r="AH618" s="58"/>
      <c r="AI618" s="1"/>
      <c r="AJ618" s="1"/>
      <c r="AK618" s="1"/>
      <c r="AL618" s="1"/>
      <c r="AM618" s="1"/>
      <c r="AN618" s="1"/>
      <c r="AO618" s="1"/>
      <c r="AP618" s="1"/>
      <c r="AQ618" s="1"/>
      <c r="AR618" s="1"/>
      <c r="AS618" s="1"/>
      <c r="AT618" s="1"/>
      <c r="AU618" s="1"/>
      <c r="AV618" s="1"/>
      <c r="AW618" s="1"/>
      <c r="AX618" s="1"/>
      <c r="AY618" s="1"/>
      <c r="AZ618" s="4" t="s">
        <v>202</v>
      </c>
      <c r="BA618" s="1"/>
      <c r="BB618" s="1"/>
      <c r="BC618" s="1"/>
    </row>
    <row r="619" spans="1:55" s="78" customFormat="1" ht="15" customHeight="1" x14ac:dyDescent="0.25">
      <c r="A619" s="52" t="s">
        <v>4628</v>
      </c>
      <c r="B619" s="34" t="s">
        <v>59</v>
      </c>
      <c r="C619" s="53">
        <v>2026</v>
      </c>
      <c r="D619" s="53">
        <v>2026</v>
      </c>
      <c r="E619" s="54" t="s">
        <v>3341</v>
      </c>
      <c r="F619" s="55" t="s">
        <v>50</v>
      </c>
      <c r="G619" s="55" t="s">
        <v>50</v>
      </c>
      <c r="H619" s="45" t="s">
        <v>1541</v>
      </c>
      <c r="I619" s="56" t="s">
        <v>52</v>
      </c>
      <c r="J619" s="56"/>
      <c r="K619" s="56" t="s">
        <v>633</v>
      </c>
      <c r="L619" s="55"/>
      <c r="M619" s="55"/>
      <c r="N619" s="56" t="s">
        <v>418</v>
      </c>
      <c r="O619" s="56"/>
      <c r="P619" s="55" t="s">
        <v>89</v>
      </c>
      <c r="Q619" s="55" t="s">
        <v>89</v>
      </c>
      <c r="R619" s="55"/>
      <c r="S619" s="56" t="s">
        <v>81</v>
      </c>
      <c r="T619" s="55" t="str">
        <f>IF(ISNUMBER(SEARCH(",",N619)),"Y","N")</f>
        <v>N</v>
      </c>
      <c r="U619" s="57">
        <v>150000</v>
      </c>
      <c r="V619" s="57" t="s">
        <v>101</v>
      </c>
      <c r="W619" s="55" t="s">
        <v>2319</v>
      </c>
      <c r="X619" s="54" t="s">
        <v>4628</v>
      </c>
      <c r="Y619" s="52"/>
      <c r="Z619" s="2" t="s">
        <v>61</v>
      </c>
      <c r="AA619" s="1" t="s">
        <v>1542</v>
      </c>
      <c r="AB619" s="1"/>
      <c r="AC619" s="1"/>
      <c r="AD619" s="3" t="s">
        <v>62</v>
      </c>
      <c r="AE619" s="2" t="s">
        <v>206</v>
      </c>
      <c r="AF619" s="2"/>
      <c r="AG619" s="1" t="s">
        <v>1543</v>
      </c>
      <c r="AH619" s="2">
        <v>100</v>
      </c>
      <c r="AI619" s="1"/>
      <c r="AJ619" s="1"/>
      <c r="AK619" s="1"/>
      <c r="AL619" s="1"/>
      <c r="AM619" s="1"/>
      <c r="AN619" s="1"/>
      <c r="AO619" s="1"/>
      <c r="AP619" s="1"/>
      <c r="AQ619" s="1"/>
      <c r="AR619" s="1"/>
      <c r="AS619" s="1"/>
      <c r="AT619" s="1"/>
      <c r="AU619" s="1"/>
      <c r="AV619" s="1"/>
      <c r="AW619" s="1"/>
      <c r="AX619" s="1"/>
      <c r="AY619" s="1"/>
      <c r="AZ619" s="4" t="s">
        <v>1540</v>
      </c>
      <c r="BA619" s="1"/>
      <c r="BB619" s="1"/>
      <c r="BC619" s="1"/>
    </row>
    <row r="620" spans="1:55" s="78" customFormat="1" ht="15" customHeight="1" x14ac:dyDescent="0.25">
      <c r="A620" s="52" t="s">
        <v>4629</v>
      </c>
      <c r="B620" s="34" t="s">
        <v>59</v>
      </c>
      <c r="C620" s="53">
        <v>2026</v>
      </c>
      <c r="D620" s="53">
        <v>2026</v>
      </c>
      <c r="E620" s="54" t="s">
        <v>3343</v>
      </c>
      <c r="F620" s="55" t="s">
        <v>50</v>
      </c>
      <c r="G620" s="55" t="s">
        <v>50</v>
      </c>
      <c r="H620" s="45" t="s">
        <v>1544</v>
      </c>
      <c r="I620" s="45" t="s">
        <v>52</v>
      </c>
      <c r="J620" s="56"/>
      <c r="K620" s="56" t="s">
        <v>140</v>
      </c>
      <c r="L620" s="55" t="s">
        <v>54</v>
      </c>
      <c r="M620" s="55"/>
      <c r="N620" s="34" t="s">
        <v>270</v>
      </c>
      <c r="O620" s="55"/>
      <c r="P620" s="55" t="s">
        <v>271</v>
      </c>
      <c r="Q620" s="55" t="s">
        <v>5353</v>
      </c>
      <c r="R620" s="55"/>
      <c r="S620" s="56" t="s">
        <v>81</v>
      </c>
      <c r="T620" s="55" t="str">
        <f>IF(ISNUMBER(SEARCH(",",N620)),"Y","N")</f>
        <v>N</v>
      </c>
      <c r="U620" s="57">
        <v>168000</v>
      </c>
      <c r="V620" s="57" t="s">
        <v>101</v>
      </c>
      <c r="W620" s="55" t="s">
        <v>2319</v>
      </c>
      <c r="X620" s="54" t="s">
        <v>4629</v>
      </c>
      <c r="Y620" s="52"/>
      <c r="Z620" s="3" t="s">
        <v>61</v>
      </c>
      <c r="AA620" s="3" t="s">
        <v>1542</v>
      </c>
      <c r="AB620" s="3"/>
      <c r="AC620" s="3"/>
      <c r="AD620" s="3" t="s">
        <v>62</v>
      </c>
      <c r="AE620" s="3" t="s">
        <v>206</v>
      </c>
      <c r="AF620" s="3"/>
      <c r="AG620" s="3" t="s">
        <v>1545</v>
      </c>
      <c r="AH620" s="58">
        <v>100</v>
      </c>
      <c r="AI620" s="3"/>
      <c r="AJ620" s="3"/>
      <c r="AK620" s="3"/>
      <c r="AL620" s="3"/>
      <c r="AM620" s="3"/>
      <c r="AN620" s="3"/>
      <c r="AO620" s="3"/>
      <c r="AP620" s="3"/>
      <c r="AQ620" s="3"/>
      <c r="AR620" s="3"/>
      <c r="AS620" s="3"/>
      <c r="AT620" s="3"/>
      <c r="AU620" s="3"/>
      <c r="AV620" s="3"/>
      <c r="AW620" s="3"/>
      <c r="AX620" s="3"/>
      <c r="AY620" s="3"/>
      <c r="AZ620" s="4" t="s">
        <v>139</v>
      </c>
      <c r="BA620" s="3"/>
      <c r="BB620" s="1"/>
      <c r="BC620" s="1"/>
    </row>
    <row r="621" spans="1:55" s="78" customFormat="1" ht="15" customHeight="1" x14ac:dyDescent="0.25">
      <c r="A621" s="52" t="s">
        <v>4630</v>
      </c>
      <c r="B621" s="34" t="s">
        <v>59</v>
      </c>
      <c r="C621" s="53">
        <v>2026</v>
      </c>
      <c r="D621" s="53">
        <v>2026</v>
      </c>
      <c r="E621" s="54" t="s">
        <v>3344</v>
      </c>
      <c r="F621" s="55" t="s">
        <v>50</v>
      </c>
      <c r="G621" s="55" t="s">
        <v>50</v>
      </c>
      <c r="H621" s="45" t="s">
        <v>1547</v>
      </c>
      <c r="I621" s="45" t="s">
        <v>52</v>
      </c>
      <c r="J621" s="56"/>
      <c r="K621" s="55" t="s">
        <v>210</v>
      </c>
      <c r="L621" s="55" t="s">
        <v>54</v>
      </c>
      <c r="M621" s="55" t="s">
        <v>211</v>
      </c>
      <c r="N621" s="55" t="s">
        <v>212</v>
      </c>
      <c r="O621" s="55"/>
      <c r="P621" s="55" t="s">
        <v>89</v>
      </c>
      <c r="Q621" s="55" t="s">
        <v>89</v>
      </c>
      <c r="R621" s="55"/>
      <c r="S621" s="56" t="s">
        <v>81</v>
      </c>
      <c r="T621" s="55" t="s">
        <v>81</v>
      </c>
      <c r="U621" s="57">
        <v>84225</v>
      </c>
      <c r="V621" s="57" t="s">
        <v>101</v>
      </c>
      <c r="W621" s="55" t="s">
        <v>2319</v>
      </c>
      <c r="X621" s="54" t="s">
        <v>4630</v>
      </c>
      <c r="Y621" s="52"/>
      <c r="Z621" s="3" t="s">
        <v>61</v>
      </c>
      <c r="AA621" s="1" t="s">
        <v>1548</v>
      </c>
      <c r="AB621" s="1"/>
      <c r="AC621" s="1"/>
      <c r="AD621" s="3" t="s">
        <v>62</v>
      </c>
      <c r="AE621" s="3" t="s">
        <v>206</v>
      </c>
      <c r="AF621" s="3"/>
      <c r="AG621" s="1" t="s">
        <v>1549</v>
      </c>
      <c r="AH621" s="2">
        <v>100</v>
      </c>
      <c r="AI621" s="1"/>
      <c r="AJ621" s="2"/>
      <c r="AK621" s="3"/>
      <c r="AL621" s="3"/>
      <c r="AM621" s="3"/>
      <c r="AN621" s="3"/>
      <c r="AO621" s="3"/>
      <c r="AP621" s="3"/>
      <c r="AQ621" s="3"/>
      <c r="AR621" s="3"/>
      <c r="AS621" s="3"/>
      <c r="AT621" s="3"/>
      <c r="AU621" s="3"/>
      <c r="AV621" s="3"/>
      <c r="AW621" s="3"/>
      <c r="AX621" s="3"/>
      <c r="AY621" s="3"/>
      <c r="AZ621" s="4" t="s">
        <v>1546</v>
      </c>
      <c r="BA621" s="3"/>
      <c r="BB621" s="1"/>
      <c r="BC621" s="1"/>
    </row>
    <row r="622" spans="1:55" s="78" customFormat="1" ht="15" customHeight="1" x14ac:dyDescent="0.25">
      <c r="A622" s="52" t="s">
        <v>4631</v>
      </c>
      <c r="B622" s="34" t="s">
        <v>59</v>
      </c>
      <c r="C622" s="53">
        <v>2026</v>
      </c>
      <c r="D622" s="53">
        <v>2026</v>
      </c>
      <c r="E622" s="54" t="s">
        <v>3345</v>
      </c>
      <c r="F622" s="55" t="s">
        <v>50</v>
      </c>
      <c r="G622" s="55" t="s">
        <v>50</v>
      </c>
      <c r="H622" s="45" t="s">
        <v>1551</v>
      </c>
      <c r="I622" s="61" t="s">
        <v>52</v>
      </c>
      <c r="J622" s="56"/>
      <c r="K622" s="55" t="s">
        <v>126</v>
      </c>
      <c r="L622" s="55"/>
      <c r="M622" s="55" t="s">
        <v>113</v>
      </c>
      <c r="N622" s="55" t="s">
        <v>201</v>
      </c>
      <c r="O622" s="55" t="s">
        <v>201</v>
      </c>
      <c r="P622" s="55" t="s">
        <v>129</v>
      </c>
      <c r="Q622" s="56" t="s">
        <v>57</v>
      </c>
      <c r="R622" s="55"/>
      <c r="S622" s="56" t="s">
        <v>58</v>
      </c>
      <c r="T622" s="55" t="s">
        <v>81</v>
      </c>
      <c r="U622" s="57">
        <v>-999</v>
      </c>
      <c r="V622" s="57" t="s">
        <v>59</v>
      </c>
      <c r="W622" s="55" t="s">
        <v>2319</v>
      </c>
      <c r="X622" s="54" t="s">
        <v>4631</v>
      </c>
      <c r="Y622" s="52"/>
      <c r="Z622" s="3" t="s">
        <v>61</v>
      </c>
      <c r="AA622" s="3" t="s">
        <v>1552</v>
      </c>
      <c r="AB622" s="3"/>
      <c r="AC622" s="3"/>
      <c r="AD622" s="3" t="s">
        <v>62</v>
      </c>
      <c r="AE622" s="3" t="s">
        <v>115</v>
      </c>
      <c r="AF622" s="3" t="s">
        <v>886</v>
      </c>
      <c r="AG622" s="3" t="s">
        <v>887</v>
      </c>
      <c r="AH622" s="58">
        <v>100</v>
      </c>
      <c r="AI622" s="3"/>
      <c r="AJ622" s="3"/>
      <c r="AK622" s="3"/>
      <c r="AL622" s="3"/>
      <c r="AM622" s="3"/>
      <c r="AN622" s="3"/>
      <c r="AO622" s="3"/>
      <c r="AP622" s="3"/>
      <c r="AQ622" s="3"/>
      <c r="AR622" s="3"/>
      <c r="AS622" s="3"/>
      <c r="AT622" s="3"/>
      <c r="AU622" s="3"/>
      <c r="AV622" s="3"/>
      <c r="AW622" s="3"/>
      <c r="AX622" s="3"/>
      <c r="AY622" s="3"/>
      <c r="AZ622" s="4" t="s">
        <v>1550</v>
      </c>
      <c r="BA622" s="3"/>
      <c r="BB622" s="1"/>
      <c r="BC622" s="1"/>
    </row>
    <row r="623" spans="1:55" s="78" customFormat="1" ht="15" customHeight="1" x14ac:dyDescent="0.25">
      <c r="A623" s="52" t="s">
        <v>4632</v>
      </c>
      <c r="B623" s="34" t="s">
        <v>59</v>
      </c>
      <c r="C623" s="53">
        <v>2026</v>
      </c>
      <c r="D623" s="53">
        <v>2026</v>
      </c>
      <c r="E623" s="54" t="s">
        <v>3345</v>
      </c>
      <c r="F623" s="55" t="s">
        <v>50</v>
      </c>
      <c r="G623" s="55" t="s">
        <v>50</v>
      </c>
      <c r="H623" s="45" t="s">
        <v>1551</v>
      </c>
      <c r="I623" s="61" t="s">
        <v>52</v>
      </c>
      <c r="J623" s="56"/>
      <c r="K623" s="55" t="s">
        <v>133</v>
      </c>
      <c r="L623" s="55" t="s">
        <v>54</v>
      </c>
      <c r="M623" s="55" t="s">
        <v>113</v>
      </c>
      <c r="N623" s="55" t="s">
        <v>240</v>
      </c>
      <c r="O623" s="55"/>
      <c r="P623" s="55" t="s">
        <v>134</v>
      </c>
      <c r="Q623" s="55" t="s">
        <v>57</v>
      </c>
      <c r="R623" s="55"/>
      <c r="S623" s="56" t="s">
        <v>58</v>
      </c>
      <c r="T623" s="55" t="s">
        <v>81</v>
      </c>
      <c r="U623" s="57">
        <v>-999</v>
      </c>
      <c r="V623" s="57" t="s">
        <v>59</v>
      </c>
      <c r="W623" s="55" t="s">
        <v>2319</v>
      </c>
      <c r="X623" s="54" t="s">
        <v>4632</v>
      </c>
      <c r="Y623" s="52"/>
      <c r="Z623" s="3" t="s">
        <v>61</v>
      </c>
      <c r="AA623" s="3" t="s">
        <v>1552</v>
      </c>
      <c r="AB623" s="3"/>
      <c r="AC623" s="3"/>
      <c r="AD623" s="3" t="s">
        <v>62</v>
      </c>
      <c r="AE623" s="3" t="s">
        <v>115</v>
      </c>
      <c r="AF623" s="3" t="s">
        <v>886</v>
      </c>
      <c r="AG623" s="3" t="s">
        <v>887</v>
      </c>
      <c r="AH623" s="58">
        <v>100</v>
      </c>
      <c r="AI623" s="3"/>
      <c r="AJ623" s="3"/>
      <c r="AK623" s="3"/>
      <c r="AL623" s="3"/>
      <c r="AM623" s="3"/>
      <c r="AN623" s="3"/>
      <c r="AO623" s="3"/>
      <c r="AP623" s="3"/>
      <c r="AQ623" s="3"/>
      <c r="AR623" s="3"/>
      <c r="AS623" s="3"/>
      <c r="AT623" s="3"/>
      <c r="AU623" s="3"/>
      <c r="AV623" s="3"/>
      <c r="AW623" s="3"/>
      <c r="AX623" s="3"/>
      <c r="AY623" s="3"/>
      <c r="AZ623" s="4" t="s">
        <v>1550</v>
      </c>
      <c r="BA623" s="3"/>
      <c r="BB623" s="1"/>
      <c r="BC623" s="1"/>
    </row>
    <row r="624" spans="1:55" s="78" customFormat="1" ht="15" customHeight="1" x14ac:dyDescent="0.25">
      <c r="A624" s="52" t="s">
        <v>4633</v>
      </c>
      <c r="B624" s="34" t="s">
        <v>59</v>
      </c>
      <c r="C624" s="53">
        <v>2026</v>
      </c>
      <c r="D624" s="53">
        <v>2026</v>
      </c>
      <c r="E624" s="54" t="s">
        <v>3345</v>
      </c>
      <c r="F624" s="55" t="s">
        <v>50</v>
      </c>
      <c r="G624" s="55" t="s">
        <v>50</v>
      </c>
      <c r="H624" s="45" t="s">
        <v>1551</v>
      </c>
      <c r="I624" s="61" t="s">
        <v>52</v>
      </c>
      <c r="J624" s="56"/>
      <c r="K624" s="55" t="s">
        <v>135</v>
      </c>
      <c r="L624" s="55" t="s">
        <v>54</v>
      </c>
      <c r="M624" s="55" t="s">
        <v>113</v>
      </c>
      <c r="N624" s="55" t="s">
        <v>201</v>
      </c>
      <c r="O624" s="55"/>
      <c r="P624" s="55" t="s">
        <v>136</v>
      </c>
      <c r="Q624" s="55" t="s">
        <v>57</v>
      </c>
      <c r="R624" s="55"/>
      <c r="S624" s="56" t="s">
        <v>58</v>
      </c>
      <c r="T624" s="55" t="s">
        <v>81</v>
      </c>
      <c r="U624" s="57">
        <v>-999</v>
      </c>
      <c r="V624" s="57" t="s">
        <v>59</v>
      </c>
      <c r="W624" s="55" t="s">
        <v>2319</v>
      </c>
      <c r="X624" s="54" t="s">
        <v>4633</v>
      </c>
      <c r="Y624" s="52"/>
      <c r="Z624" s="3" t="s">
        <v>61</v>
      </c>
      <c r="AA624" s="3" t="s">
        <v>1552</v>
      </c>
      <c r="AB624" s="3"/>
      <c r="AC624" s="3"/>
      <c r="AD624" s="3" t="s">
        <v>62</v>
      </c>
      <c r="AE624" s="3" t="s">
        <v>115</v>
      </c>
      <c r="AF624" s="3" t="s">
        <v>886</v>
      </c>
      <c r="AG624" s="3" t="s">
        <v>887</v>
      </c>
      <c r="AH624" s="58">
        <v>100</v>
      </c>
      <c r="AI624" s="3"/>
      <c r="AJ624" s="3"/>
      <c r="AK624" s="3"/>
      <c r="AL624" s="3"/>
      <c r="AM624" s="3"/>
      <c r="AN624" s="3"/>
      <c r="AO624" s="3"/>
      <c r="AP624" s="3"/>
      <c r="AQ624" s="3"/>
      <c r="AR624" s="3"/>
      <c r="AS624" s="3"/>
      <c r="AT624" s="3"/>
      <c r="AU624" s="3"/>
      <c r="AV624" s="3"/>
      <c r="AW624" s="3"/>
      <c r="AX624" s="3"/>
      <c r="AY624" s="3"/>
      <c r="AZ624" s="4" t="s">
        <v>1550</v>
      </c>
      <c r="BA624" s="3"/>
      <c r="BB624" s="1"/>
      <c r="BC624" s="1"/>
    </row>
    <row r="625" spans="1:55" s="78" customFormat="1" ht="15" customHeight="1" x14ac:dyDescent="0.25">
      <c r="A625" s="52" t="s">
        <v>4634</v>
      </c>
      <c r="B625" s="34" t="s">
        <v>59</v>
      </c>
      <c r="C625" s="53">
        <v>2026</v>
      </c>
      <c r="D625" s="53">
        <v>2026</v>
      </c>
      <c r="E625" s="54" t="s">
        <v>3345</v>
      </c>
      <c r="F625" s="55" t="s">
        <v>50</v>
      </c>
      <c r="G625" s="55" t="s">
        <v>50</v>
      </c>
      <c r="H625" s="45" t="s">
        <v>1551</v>
      </c>
      <c r="I625" s="61" t="s">
        <v>52</v>
      </c>
      <c r="J625" s="56"/>
      <c r="K625" s="55" t="s">
        <v>137</v>
      </c>
      <c r="L625" s="55" t="s">
        <v>54</v>
      </c>
      <c r="M625" s="55" t="s">
        <v>113</v>
      </c>
      <c r="N625" s="55" t="s">
        <v>201</v>
      </c>
      <c r="O625" s="55"/>
      <c r="P625" s="55" t="s">
        <v>138</v>
      </c>
      <c r="Q625" s="55" t="s">
        <v>57</v>
      </c>
      <c r="R625" s="55"/>
      <c r="S625" s="56" t="s">
        <v>58</v>
      </c>
      <c r="T625" s="55" t="s">
        <v>81</v>
      </c>
      <c r="U625" s="57">
        <v>-999</v>
      </c>
      <c r="V625" s="57" t="s">
        <v>59</v>
      </c>
      <c r="W625" s="55" t="s">
        <v>2319</v>
      </c>
      <c r="X625" s="54" t="s">
        <v>4634</v>
      </c>
      <c r="Y625" s="52"/>
      <c r="Z625" s="3" t="s">
        <v>61</v>
      </c>
      <c r="AA625" s="3" t="s">
        <v>1552</v>
      </c>
      <c r="AB625" s="3"/>
      <c r="AC625" s="3"/>
      <c r="AD625" s="3" t="s">
        <v>62</v>
      </c>
      <c r="AE625" s="3" t="s">
        <v>115</v>
      </c>
      <c r="AF625" s="3" t="s">
        <v>886</v>
      </c>
      <c r="AG625" s="3" t="s">
        <v>887</v>
      </c>
      <c r="AH625" s="58">
        <v>100</v>
      </c>
      <c r="AI625" s="3"/>
      <c r="AJ625" s="3"/>
      <c r="AK625" s="3"/>
      <c r="AL625" s="3"/>
      <c r="AM625" s="3"/>
      <c r="AN625" s="3"/>
      <c r="AO625" s="3"/>
      <c r="AP625" s="3"/>
      <c r="AQ625" s="3"/>
      <c r="AR625" s="3"/>
      <c r="AS625" s="3"/>
      <c r="AT625" s="3"/>
      <c r="AU625" s="3"/>
      <c r="AV625" s="3"/>
      <c r="AW625" s="3"/>
      <c r="AX625" s="3"/>
      <c r="AY625" s="3"/>
      <c r="AZ625" s="4" t="s">
        <v>1550</v>
      </c>
      <c r="BA625" s="3"/>
      <c r="BB625" s="1"/>
      <c r="BC625" s="1"/>
    </row>
    <row r="626" spans="1:55" s="78" customFormat="1" ht="15" customHeight="1" x14ac:dyDescent="0.25">
      <c r="A626" s="52" t="s">
        <v>4635</v>
      </c>
      <c r="B626" s="34" t="s">
        <v>59</v>
      </c>
      <c r="C626" s="53">
        <v>2026</v>
      </c>
      <c r="D626" s="53">
        <v>2026</v>
      </c>
      <c r="E626" s="54" t="s">
        <v>3346</v>
      </c>
      <c r="F626" s="55" t="s">
        <v>50</v>
      </c>
      <c r="G626" s="55" t="s">
        <v>50</v>
      </c>
      <c r="H626" s="45" t="s">
        <v>2998</v>
      </c>
      <c r="I626" s="56" t="s">
        <v>52</v>
      </c>
      <c r="J626" s="56"/>
      <c r="K626" s="55" t="s">
        <v>836</v>
      </c>
      <c r="L626" s="55" t="s">
        <v>317</v>
      </c>
      <c r="M626" s="55" t="s">
        <v>113</v>
      </c>
      <c r="N626" s="56" t="s">
        <v>55</v>
      </c>
      <c r="O626" s="56" t="s">
        <v>141</v>
      </c>
      <c r="P626" s="56" t="s">
        <v>838</v>
      </c>
      <c r="Q626" s="56" t="s">
        <v>57</v>
      </c>
      <c r="R626" s="55"/>
      <c r="S626" s="56" t="s">
        <v>81</v>
      </c>
      <c r="T626" s="55" t="s">
        <v>81</v>
      </c>
      <c r="U626" s="57">
        <v>-999</v>
      </c>
      <c r="V626" s="57" t="s">
        <v>59</v>
      </c>
      <c r="W626" s="55" t="s">
        <v>2319</v>
      </c>
      <c r="X626" s="54" t="s">
        <v>4635</v>
      </c>
      <c r="Y626" s="52"/>
      <c r="Z626" s="1" t="s">
        <v>61</v>
      </c>
      <c r="AA626" s="1" t="s">
        <v>1552</v>
      </c>
      <c r="AB626" s="1"/>
      <c r="AC626" s="1"/>
      <c r="AD626" s="3" t="s">
        <v>62</v>
      </c>
      <c r="AE626" s="1" t="s">
        <v>115</v>
      </c>
      <c r="AF626" s="1" t="s">
        <v>886</v>
      </c>
      <c r="AG626" s="3" t="s">
        <v>887</v>
      </c>
      <c r="AH626" s="2">
        <v>100</v>
      </c>
      <c r="AI626" s="1"/>
      <c r="AJ626" s="1"/>
      <c r="AK626" s="1"/>
      <c r="AL626" s="1"/>
      <c r="AM626" s="1"/>
      <c r="AN626" s="1"/>
      <c r="AO626" s="1"/>
      <c r="AP626" s="1"/>
      <c r="AQ626" s="1"/>
      <c r="AR626" s="1"/>
      <c r="AS626" s="1"/>
      <c r="AT626" s="1"/>
      <c r="AU626" s="1"/>
      <c r="AV626" s="1"/>
      <c r="AW626" s="1"/>
      <c r="AX626" s="1"/>
      <c r="AY626" s="1"/>
      <c r="AZ626" s="4" t="s">
        <v>1069</v>
      </c>
      <c r="BA626" s="1"/>
      <c r="BB626" s="1"/>
      <c r="BC626" s="1"/>
    </row>
    <row r="627" spans="1:55" s="78" customFormat="1" ht="15" customHeight="1" x14ac:dyDescent="0.25">
      <c r="A627" s="52" t="s">
        <v>4636</v>
      </c>
      <c r="B627" s="34" t="s">
        <v>59</v>
      </c>
      <c r="C627" s="53">
        <v>2026</v>
      </c>
      <c r="D627" s="53">
        <v>2026</v>
      </c>
      <c r="E627" s="54" t="s">
        <v>3347</v>
      </c>
      <c r="F627" s="55" t="s">
        <v>50</v>
      </c>
      <c r="G627" s="55" t="s">
        <v>50</v>
      </c>
      <c r="H627" s="45" t="s">
        <v>1554</v>
      </c>
      <c r="I627" s="56" t="s">
        <v>52</v>
      </c>
      <c r="J627" s="56"/>
      <c r="K627" s="56" t="s">
        <v>87</v>
      </c>
      <c r="L627" s="55" t="str">
        <f>IF(K627="Mine or Quarry","Mine","")</f>
        <v/>
      </c>
      <c r="M627" s="55"/>
      <c r="N627" s="56"/>
      <c r="O627" s="55" t="s">
        <v>478</v>
      </c>
      <c r="P627" s="56" t="s">
        <v>89</v>
      </c>
      <c r="Q627" s="56" t="s">
        <v>89</v>
      </c>
      <c r="R627" s="55"/>
      <c r="S627" s="56" t="s">
        <v>81</v>
      </c>
      <c r="T627" s="55" t="s">
        <v>58</v>
      </c>
      <c r="U627" s="57">
        <v>-999</v>
      </c>
      <c r="V627" s="57" t="s">
        <v>59</v>
      </c>
      <c r="W627" s="55" t="s">
        <v>2319</v>
      </c>
      <c r="X627" s="54" t="s">
        <v>4636</v>
      </c>
      <c r="Y627" s="52"/>
      <c r="Z627" s="1" t="s">
        <v>61</v>
      </c>
      <c r="AA627" s="1" t="s">
        <v>1555</v>
      </c>
      <c r="AB627" s="1"/>
      <c r="AC627" s="1"/>
      <c r="AD627" s="3" t="s">
        <v>62</v>
      </c>
      <c r="AE627" s="1" t="s">
        <v>131</v>
      </c>
      <c r="AF627" s="1" t="s">
        <v>1556</v>
      </c>
      <c r="AG627" s="1" t="s">
        <v>1556</v>
      </c>
      <c r="AH627" s="2">
        <v>100</v>
      </c>
      <c r="AI627" s="1"/>
      <c r="AJ627" s="1"/>
      <c r="AK627" s="1"/>
      <c r="AL627" s="1"/>
      <c r="AM627" s="1"/>
      <c r="AN627" s="1"/>
      <c r="AO627" s="1"/>
      <c r="AP627" s="1"/>
      <c r="AQ627" s="1"/>
      <c r="AR627" s="1"/>
      <c r="AS627" s="1"/>
      <c r="AT627" s="1"/>
      <c r="AU627" s="1"/>
      <c r="AV627" s="1"/>
      <c r="AW627" s="1"/>
      <c r="AX627" s="1"/>
      <c r="AY627" s="1"/>
      <c r="AZ627" s="5" t="s">
        <v>1553</v>
      </c>
      <c r="BA627" s="5"/>
      <c r="BB627" s="1"/>
      <c r="BC627" s="1"/>
    </row>
    <row r="628" spans="1:55" s="78" customFormat="1" ht="15" customHeight="1" x14ac:dyDescent="0.25">
      <c r="A628" s="52" t="s">
        <v>4637</v>
      </c>
      <c r="B628" s="34" t="s">
        <v>59</v>
      </c>
      <c r="C628" s="53">
        <v>2026</v>
      </c>
      <c r="D628" s="53">
        <v>2026</v>
      </c>
      <c r="E628" s="54" t="s">
        <v>3348</v>
      </c>
      <c r="F628" s="55" t="s">
        <v>50</v>
      </c>
      <c r="G628" s="55" t="s">
        <v>50</v>
      </c>
      <c r="H628" s="45" t="s">
        <v>1558</v>
      </c>
      <c r="I628" s="56" t="s">
        <v>52</v>
      </c>
      <c r="J628" s="56"/>
      <c r="K628" s="55" t="s">
        <v>120</v>
      </c>
      <c r="L628" s="55" t="s">
        <v>54</v>
      </c>
      <c r="M628" s="55"/>
      <c r="N628" s="55" t="s">
        <v>358</v>
      </c>
      <c r="O628" s="55" t="s">
        <v>1559</v>
      </c>
      <c r="P628" s="55" t="s">
        <v>121</v>
      </c>
      <c r="Q628" s="55" t="s">
        <v>57</v>
      </c>
      <c r="R628" s="55"/>
      <c r="S628" s="56" t="s">
        <v>58</v>
      </c>
      <c r="T628" s="55" t="s">
        <v>58</v>
      </c>
      <c r="U628" s="57">
        <v>5</v>
      </c>
      <c r="V628" s="57" t="s">
        <v>101</v>
      </c>
      <c r="W628" s="55"/>
      <c r="X628" s="54" t="s">
        <v>4637</v>
      </c>
      <c r="Y628" s="53"/>
      <c r="Z628" s="3" t="s">
        <v>61</v>
      </c>
      <c r="AA628" s="3" t="s">
        <v>1560</v>
      </c>
      <c r="AB628" s="3"/>
      <c r="AC628" s="3"/>
      <c r="AD628" s="3" t="s">
        <v>62</v>
      </c>
      <c r="AE628" s="3" t="s">
        <v>63</v>
      </c>
      <c r="AF628" s="3"/>
      <c r="AG628" s="3" t="s">
        <v>1561</v>
      </c>
      <c r="AH628" s="58">
        <v>100</v>
      </c>
      <c r="AI628" s="3"/>
      <c r="AJ628" s="3"/>
      <c r="AK628" s="3"/>
      <c r="AL628" s="3"/>
      <c r="AM628" s="3"/>
      <c r="AN628" s="3"/>
      <c r="AO628" s="3"/>
      <c r="AP628" s="3"/>
      <c r="AQ628" s="3"/>
      <c r="AR628" s="3"/>
      <c r="AS628" s="3"/>
      <c r="AT628" s="3"/>
      <c r="AU628" s="3"/>
      <c r="AV628" s="3"/>
      <c r="AW628" s="3"/>
      <c r="AX628" s="3"/>
      <c r="AY628" s="3"/>
      <c r="AZ628" s="4" t="s">
        <v>1557</v>
      </c>
      <c r="BA628" s="3"/>
      <c r="BB628" s="1"/>
      <c r="BC628" s="1"/>
    </row>
    <row r="629" spans="1:55" s="78" customFormat="1" ht="15" customHeight="1" x14ac:dyDescent="0.25">
      <c r="A629" s="52" t="s">
        <v>4638</v>
      </c>
      <c r="B629" s="34" t="s">
        <v>59</v>
      </c>
      <c r="C629" s="53">
        <v>2026</v>
      </c>
      <c r="D629" s="53">
        <v>2026</v>
      </c>
      <c r="E629" s="54" t="s">
        <v>3348</v>
      </c>
      <c r="F629" s="55" t="s">
        <v>50</v>
      </c>
      <c r="G629" s="55" t="s">
        <v>50</v>
      </c>
      <c r="H629" s="45" t="s">
        <v>1558</v>
      </c>
      <c r="I629" s="45" t="s">
        <v>52</v>
      </c>
      <c r="J629" s="56"/>
      <c r="K629" s="55" t="s">
        <v>264</v>
      </c>
      <c r="L629" s="55" t="s">
        <v>54</v>
      </c>
      <c r="M629" s="55"/>
      <c r="N629" s="55" t="s">
        <v>1562</v>
      </c>
      <c r="O629" s="55"/>
      <c r="P629" s="55" t="s">
        <v>265</v>
      </c>
      <c r="Q629" s="55" t="s">
        <v>57</v>
      </c>
      <c r="R629" s="55"/>
      <c r="S629" s="56" t="s">
        <v>58</v>
      </c>
      <c r="T629" s="55" t="str">
        <f>IF(ISNUMBER(SEARCH(",",N629)),"Y","N")</f>
        <v>Y</v>
      </c>
      <c r="U629" s="57">
        <v>18000</v>
      </c>
      <c r="V629" s="57" t="s">
        <v>101</v>
      </c>
      <c r="W629" s="55"/>
      <c r="X629" s="54" t="s">
        <v>4638</v>
      </c>
      <c r="Y629" s="53"/>
      <c r="Z629" s="3" t="s">
        <v>61</v>
      </c>
      <c r="AA629" s="3" t="s">
        <v>1560</v>
      </c>
      <c r="AB629" s="3"/>
      <c r="AC629" s="3"/>
      <c r="AD629" s="3" t="s">
        <v>62</v>
      </c>
      <c r="AE629" s="3" t="s">
        <v>63</v>
      </c>
      <c r="AF629" s="3"/>
      <c r="AG629" s="3" t="s">
        <v>1561</v>
      </c>
      <c r="AH629" s="58">
        <v>100</v>
      </c>
      <c r="AI629" s="3"/>
      <c r="AJ629" s="3"/>
      <c r="AK629" s="3"/>
      <c r="AL629" s="3"/>
      <c r="AM629" s="3"/>
      <c r="AN629" s="3"/>
      <c r="AO629" s="3"/>
      <c r="AP629" s="3"/>
      <c r="AQ629" s="3"/>
      <c r="AR629" s="3"/>
      <c r="AS629" s="3"/>
      <c r="AT629" s="3"/>
      <c r="AU629" s="3"/>
      <c r="AV629" s="3"/>
      <c r="AW629" s="3"/>
      <c r="AX629" s="3"/>
      <c r="AY629" s="3"/>
      <c r="AZ629" s="4" t="s">
        <v>3881</v>
      </c>
      <c r="BA629" s="3" t="s">
        <v>3882</v>
      </c>
      <c r="BB629" s="1"/>
      <c r="BC629" s="1"/>
    </row>
    <row r="630" spans="1:55" s="78" customFormat="1" ht="15" customHeight="1" x14ac:dyDescent="0.25">
      <c r="A630" s="52" t="s">
        <v>4639</v>
      </c>
      <c r="B630" s="34" t="s">
        <v>59</v>
      </c>
      <c r="C630" s="53">
        <v>2026</v>
      </c>
      <c r="D630" s="53">
        <v>2026</v>
      </c>
      <c r="E630" s="54" t="s">
        <v>3349</v>
      </c>
      <c r="F630" s="55" t="s">
        <v>50</v>
      </c>
      <c r="G630" s="55" t="s">
        <v>50</v>
      </c>
      <c r="H630" s="45" t="s">
        <v>1563</v>
      </c>
      <c r="I630" s="56" t="s">
        <v>52</v>
      </c>
      <c r="J630" s="56"/>
      <c r="K630" s="56" t="s">
        <v>204</v>
      </c>
      <c r="L630" s="55"/>
      <c r="M630" s="55"/>
      <c r="N630" s="56"/>
      <c r="O630" s="56"/>
      <c r="P630" s="55" t="s">
        <v>89</v>
      </c>
      <c r="Q630" s="55" t="s">
        <v>89</v>
      </c>
      <c r="R630" s="55"/>
      <c r="S630" s="56" t="s">
        <v>81</v>
      </c>
      <c r="T630" s="55" t="s">
        <v>81</v>
      </c>
      <c r="U630" s="57">
        <v>-999</v>
      </c>
      <c r="V630" s="57" t="s">
        <v>59</v>
      </c>
      <c r="W630" s="55" t="s">
        <v>2319</v>
      </c>
      <c r="X630" s="54" t="s">
        <v>4639</v>
      </c>
      <c r="Y630" s="52"/>
      <c r="Z630" s="2" t="s">
        <v>61</v>
      </c>
      <c r="AA630" s="1" t="s">
        <v>1564</v>
      </c>
      <c r="AB630" s="1"/>
      <c r="AC630" s="1"/>
      <c r="AD630" s="3" t="s">
        <v>62</v>
      </c>
      <c r="AE630" s="2" t="s">
        <v>206</v>
      </c>
      <c r="AF630" s="2"/>
      <c r="AG630" s="3" t="s">
        <v>929</v>
      </c>
      <c r="AH630" s="58"/>
      <c r="AI630" s="1"/>
      <c r="AJ630" s="1"/>
      <c r="AK630" s="1"/>
      <c r="AL630" s="1"/>
      <c r="AM630" s="1"/>
      <c r="AN630" s="1"/>
      <c r="AO630" s="1"/>
      <c r="AP630" s="1"/>
      <c r="AQ630" s="1"/>
      <c r="AR630" s="1"/>
      <c r="AS630" s="1"/>
      <c r="AT630" s="1"/>
      <c r="AU630" s="1"/>
      <c r="AV630" s="1"/>
      <c r="AW630" s="1"/>
      <c r="AX630" s="1"/>
      <c r="AY630" s="1"/>
      <c r="AZ630" s="4" t="s">
        <v>202</v>
      </c>
      <c r="BA630" s="1"/>
      <c r="BB630" s="1"/>
      <c r="BC630" s="1"/>
    </row>
    <row r="631" spans="1:55" s="78" customFormat="1" ht="15" customHeight="1" x14ac:dyDescent="0.25">
      <c r="A631" s="52" t="s">
        <v>4640</v>
      </c>
      <c r="B631" s="34" t="s">
        <v>59</v>
      </c>
      <c r="C631" s="53">
        <v>2026</v>
      </c>
      <c r="D631" s="53">
        <v>2026</v>
      </c>
      <c r="E631" s="54" t="s">
        <v>3350</v>
      </c>
      <c r="F631" s="55" t="s">
        <v>50</v>
      </c>
      <c r="G631" s="55" t="s">
        <v>50</v>
      </c>
      <c r="H631" s="45" t="s">
        <v>1565</v>
      </c>
      <c r="I631" s="45" t="s">
        <v>52</v>
      </c>
      <c r="J631" s="56"/>
      <c r="K631" s="55" t="s">
        <v>218</v>
      </c>
      <c r="L631" s="55"/>
      <c r="M631" s="55"/>
      <c r="N631" s="55" t="s">
        <v>55</v>
      </c>
      <c r="O631" s="55" t="s">
        <v>141</v>
      </c>
      <c r="P631" s="55" t="s">
        <v>219</v>
      </c>
      <c r="Q631" s="55" t="s">
        <v>57</v>
      </c>
      <c r="R631" s="55"/>
      <c r="S631" s="56" t="s">
        <v>81</v>
      </c>
      <c r="T631" s="55" t="s">
        <v>81</v>
      </c>
      <c r="U631" s="57">
        <v>25000</v>
      </c>
      <c r="V631" s="57" t="s">
        <v>101</v>
      </c>
      <c r="W631" s="55" t="s">
        <v>2319</v>
      </c>
      <c r="X631" s="54" t="s">
        <v>4640</v>
      </c>
      <c r="Y631" s="52"/>
      <c r="Z631" s="3" t="s">
        <v>154</v>
      </c>
      <c r="AA631" s="3" t="s">
        <v>231</v>
      </c>
      <c r="AB631" s="3"/>
      <c r="AC631" s="3"/>
      <c r="AD631" s="3" t="s">
        <v>62</v>
      </c>
      <c r="AE631" s="3" t="s">
        <v>83</v>
      </c>
      <c r="AF631" s="3"/>
      <c r="AG631" s="3" t="s">
        <v>674</v>
      </c>
      <c r="AH631" s="58">
        <v>100</v>
      </c>
      <c r="AI631" s="3"/>
      <c r="AJ631" s="3"/>
      <c r="AK631" s="3"/>
      <c r="AL631" s="3"/>
      <c r="AM631" s="3"/>
      <c r="AN631" s="3"/>
      <c r="AO631" s="3"/>
      <c r="AP631" s="3"/>
      <c r="AQ631" s="3"/>
      <c r="AR631" s="3"/>
      <c r="AS631" s="3"/>
      <c r="AT631" s="3"/>
      <c r="AU631" s="3"/>
      <c r="AV631" s="3"/>
      <c r="AW631" s="3"/>
      <c r="AX631" s="3"/>
      <c r="AY631" s="3"/>
      <c r="AZ631" s="4" t="s">
        <v>3883</v>
      </c>
      <c r="BA631" s="3" t="s">
        <v>3884</v>
      </c>
      <c r="BB631" s="1"/>
      <c r="BC631" s="1"/>
    </row>
    <row r="632" spans="1:55" s="78" customFormat="1" ht="15" customHeight="1" x14ac:dyDescent="0.25">
      <c r="A632" s="52" t="s">
        <v>4641</v>
      </c>
      <c r="B632" s="34" t="s">
        <v>59</v>
      </c>
      <c r="C632" s="53">
        <v>2026</v>
      </c>
      <c r="D632" s="53">
        <v>2026</v>
      </c>
      <c r="E632" s="54" t="s">
        <v>3351</v>
      </c>
      <c r="F632" s="55" t="s">
        <v>50</v>
      </c>
      <c r="G632" s="55" t="s">
        <v>50</v>
      </c>
      <c r="H632" s="45" t="s">
        <v>1567</v>
      </c>
      <c r="I632" s="56" t="s">
        <v>78</v>
      </c>
      <c r="J632" s="56"/>
      <c r="K632" s="56" t="s">
        <v>79</v>
      </c>
      <c r="L632" s="55" t="str">
        <f>IF(K632="Mine or Quarry","Mine","")</f>
        <v/>
      </c>
      <c r="M632" s="55"/>
      <c r="N632" s="56" t="s">
        <v>80</v>
      </c>
      <c r="O632" s="56"/>
      <c r="P632" s="56" t="s">
        <v>89</v>
      </c>
      <c r="Q632" s="56" t="s">
        <v>89</v>
      </c>
      <c r="R632" s="55"/>
      <c r="S632" s="56" t="s">
        <v>81</v>
      </c>
      <c r="T632" s="55" t="str">
        <f>IF(ISNUMBER(SEARCH(",",N632)),"Y","N")</f>
        <v>N</v>
      </c>
      <c r="U632" s="57">
        <v>-999</v>
      </c>
      <c r="V632" s="57" t="s">
        <v>59</v>
      </c>
      <c r="W632" s="55" t="s">
        <v>2319</v>
      </c>
      <c r="X632" s="54" t="s">
        <v>4641</v>
      </c>
      <c r="Y632" s="52"/>
      <c r="Z632" s="1" t="s">
        <v>61</v>
      </c>
      <c r="AA632" s="1" t="s">
        <v>231</v>
      </c>
      <c r="AB632" s="1"/>
      <c r="AC632" s="1"/>
      <c r="AD632" s="3" t="s">
        <v>62</v>
      </c>
      <c r="AE632" s="1" t="s">
        <v>83</v>
      </c>
      <c r="AF632" s="1" t="s">
        <v>1568</v>
      </c>
      <c r="AG632" s="1" t="s">
        <v>1568</v>
      </c>
      <c r="AH632" s="1"/>
      <c r="AI632" s="1"/>
      <c r="AJ632" s="1"/>
      <c r="AK632" s="1"/>
      <c r="AL632" s="1"/>
      <c r="AM632" s="1"/>
      <c r="AN632" s="1"/>
      <c r="AO632" s="1"/>
      <c r="AP632" s="1"/>
      <c r="AQ632" s="1"/>
      <c r="AR632" s="1"/>
      <c r="AS632" s="1"/>
      <c r="AT632" s="1"/>
      <c r="AU632" s="1"/>
      <c r="AV632" s="1"/>
      <c r="AW632" s="1"/>
      <c r="AX632" s="1"/>
      <c r="AY632" s="1"/>
      <c r="AZ632" s="5" t="s">
        <v>1566</v>
      </c>
      <c r="BA632" s="5"/>
      <c r="BB632" s="1"/>
      <c r="BC632" s="1"/>
    </row>
    <row r="633" spans="1:55" s="78" customFormat="1" ht="15" customHeight="1" x14ac:dyDescent="0.25">
      <c r="A633" s="52" t="s">
        <v>4642</v>
      </c>
      <c r="B633" s="34" t="s">
        <v>59</v>
      </c>
      <c r="C633" s="53">
        <v>2026</v>
      </c>
      <c r="D633" s="53">
        <v>2026</v>
      </c>
      <c r="E633" s="54" t="s">
        <v>3352</v>
      </c>
      <c r="F633" s="55" t="s">
        <v>50</v>
      </c>
      <c r="G633" s="55" t="s">
        <v>50</v>
      </c>
      <c r="H633" s="45" t="s">
        <v>1570</v>
      </c>
      <c r="I633" s="56" t="s">
        <v>52</v>
      </c>
      <c r="J633" s="56"/>
      <c r="K633" s="55" t="s">
        <v>135</v>
      </c>
      <c r="L633" s="55"/>
      <c r="M633" s="55"/>
      <c r="N633" s="55" t="s">
        <v>358</v>
      </c>
      <c r="O633" s="55" t="s">
        <v>1571</v>
      </c>
      <c r="P633" s="55" t="s">
        <v>136</v>
      </c>
      <c r="Q633" s="55" t="s">
        <v>57</v>
      </c>
      <c r="R633" s="55"/>
      <c r="S633" s="56" t="s">
        <v>81</v>
      </c>
      <c r="T633" s="55" t="s">
        <v>81</v>
      </c>
      <c r="U633" s="57">
        <v>-999</v>
      </c>
      <c r="V633" s="57" t="s">
        <v>59</v>
      </c>
      <c r="W633" s="55" t="s">
        <v>2319</v>
      </c>
      <c r="X633" s="54" t="s">
        <v>4642</v>
      </c>
      <c r="Y633" s="52"/>
      <c r="Z633" s="3" t="s">
        <v>61</v>
      </c>
      <c r="AA633" s="3" t="s">
        <v>1572</v>
      </c>
      <c r="AB633" s="3"/>
      <c r="AC633" s="3"/>
      <c r="AD633" s="3" t="s">
        <v>62</v>
      </c>
      <c r="AE633" s="1" t="s">
        <v>780</v>
      </c>
      <c r="AF633" s="1" t="s">
        <v>1573</v>
      </c>
      <c r="AG633" s="1" t="s">
        <v>1574</v>
      </c>
      <c r="AH633" s="2">
        <v>100</v>
      </c>
      <c r="AI633" s="3"/>
      <c r="AJ633" s="3"/>
      <c r="AK633" s="3"/>
      <c r="AL633" s="3"/>
      <c r="AM633" s="3"/>
      <c r="AN633" s="3"/>
      <c r="AO633" s="3"/>
      <c r="AP633" s="3"/>
      <c r="AQ633" s="3"/>
      <c r="AR633" s="3"/>
      <c r="AS633" s="3"/>
      <c r="AT633" s="3"/>
      <c r="AU633" s="3"/>
      <c r="AV633" s="3"/>
      <c r="AW633" s="3"/>
      <c r="AX633" s="3"/>
      <c r="AY633" s="3"/>
      <c r="AZ633" s="4" t="s">
        <v>1569</v>
      </c>
      <c r="BA633" s="3"/>
      <c r="BB633" s="1"/>
      <c r="BC633" s="1"/>
    </row>
    <row r="634" spans="1:55" s="78" customFormat="1" ht="15" customHeight="1" x14ac:dyDescent="0.25">
      <c r="A634" s="52" t="s">
        <v>4643</v>
      </c>
      <c r="B634" s="34" t="s">
        <v>59</v>
      </c>
      <c r="C634" s="53">
        <v>2026</v>
      </c>
      <c r="D634" s="53">
        <v>2026</v>
      </c>
      <c r="E634" s="54" t="s">
        <v>3353</v>
      </c>
      <c r="F634" s="55" t="s">
        <v>50</v>
      </c>
      <c r="G634" s="55" t="s">
        <v>50</v>
      </c>
      <c r="H634" s="45" t="s">
        <v>1575</v>
      </c>
      <c r="I634" s="56" t="s">
        <v>52</v>
      </c>
      <c r="J634" s="56" t="s">
        <v>291</v>
      </c>
      <c r="K634" s="55" t="s">
        <v>291</v>
      </c>
      <c r="L634" s="55"/>
      <c r="M634" s="55"/>
      <c r="N634" s="55" t="s">
        <v>1578</v>
      </c>
      <c r="O634" s="55"/>
      <c r="P634" s="56" t="s">
        <v>89</v>
      </c>
      <c r="Q634" s="56" t="s">
        <v>89</v>
      </c>
      <c r="R634" s="55"/>
      <c r="S634" s="56" t="s">
        <v>81</v>
      </c>
      <c r="T634" s="55" t="s">
        <v>58</v>
      </c>
      <c r="U634" s="57">
        <v>18000</v>
      </c>
      <c r="V634" s="57" t="s">
        <v>101</v>
      </c>
      <c r="W634" s="55" t="s">
        <v>2319</v>
      </c>
      <c r="X634" s="54" t="s">
        <v>4643</v>
      </c>
      <c r="Y634" s="52"/>
      <c r="Z634" s="3" t="s">
        <v>61</v>
      </c>
      <c r="AA634" s="3" t="s">
        <v>1576</v>
      </c>
      <c r="AB634" s="3"/>
      <c r="AC634" s="3"/>
      <c r="AD634" s="3" t="s">
        <v>62</v>
      </c>
      <c r="AE634" s="3" t="s">
        <v>506</v>
      </c>
      <c r="AF634" s="3" t="s">
        <v>1579</v>
      </c>
      <c r="AG634" s="3" t="s">
        <v>1580</v>
      </c>
      <c r="AH634" s="58">
        <v>100</v>
      </c>
      <c r="AI634" s="3"/>
      <c r="AJ634" s="3"/>
      <c r="AK634" s="3"/>
      <c r="AL634" s="3"/>
      <c r="AM634" s="3"/>
      <c r="AN634" s="3"/>
      <c r="AO634" s="3"/>
      <c r="AP634" s="3"/>
      <c r="AQ634" s="3"/>
      <c r="AR634" s="3"/>
      <c r="AS634" s="3"/>
      <c r="AT634" s="3"/>
      <c r="AU634" s="3"/>
      <c r="AV634" s="3"/>
      <c r="AW634" s="3"/>
      <c r="AX634" s="3"/>
      <c r="AY634" s="3"/>
      <c r="AZ634" s="4" t="s">
        <v>1577</v>
      </c>
      <c r="BA634" s="3"/>
      <c r="BB634" s="1"/>
      <c r="BC634" s="1"/>
    </row>
    <row r="635" spans="1:55" s="78" customFormat="1" ht="15" customHeight="1" x14ac:dyDescent="0.25">
      <c r="A635" s="52" t="s">
        <v>4644</v>
      </c>
      <c r="B635" s="34" t="s">
        <v>59</v>
      </c>
      <c r="C635" s="53">
        <v>2026</v>
      </c>
      <c r="D635" s="53">
        <v>2026</v>
      </c>
      <c r="E635" s="54" t="s">
        <v>3354</v>
      </c>
      <c r="F635" s="55" t="s">
        <v>50</v>
      </c>
      <c r="G635" s="55" t="s">
        <v>50</v>
      </c>
      <c r="H635" s="45" t="s">
        <v>1582</v>
      </c>
      <c r="I635" s="45" t="s">
        <v>78</v>
      </c>
      <c r="J635" s="56"/>
      <c r="K635" s="56" t="s">
        <v>417</v>
      </c>
      <c r="L635" s="55" t="s">
        <v>88</v>
      </c>
      <c r="M635" s="55"/>
      <c r="N635" s="55" t="s">
        <v>418</v>
      </c>
      <c r="O635" s="55"/>
      <c r="P635" s="55" t="s">
        <v>89</v>
      </c>
      <c r="Q635" s="55" t="s">
        <v>89</v>
      </c>
      <c r="R635" s="55"/>
      <c r="S635" s="56" t="s">
        <v>81</v>
      </c>
      <c r="T635" s="55" t="s">
        <v>81</v>
      </c>
      <c r="U635" s="57">
        <v>3080000</v>
      </c>
      <c r="V635" s="57" t="s">
        <v>101</v>
      </c>
      <c r="W635" s="55" t="s">
        <v>2319</v>
      </c>
      <c r="X635" s="54" t="s">
        <v>4644</v>
      </c>
      <c r="Y635" s="52"/>
      <c r="Z635" s="3" t="s">
        <v>61</v>
      </c>
      <c r="AA635" s="3" t="s">
        <v>1583</v>
      </c>
      <c r="AB635" s="3"/>
      <c r="AC635" s="3"/>
      <c r="AD635" s="3" t="s">
        <v>62</v>
      </c>
      <c r="AE635" s="3" t="s">
        <v>175</v>
      </c>
      <c r="AF635" s="3" t="s">
        <v>1584</v>
      </c>
      <c r="AG635" s="3" t="s">
        <v>1585</v>
      </c>
      <c r="AH635" s="58">
        <v>100</v>
      </c>
      <c r="AI635" s="3"/>
      <c r="AJ635" s="3"/>
      <c r="AK635" s="3"/>
      <c r="AL635" s="3"/>
      <c r="AM635" s="3"/>
      <c r="AN635" s="3"/>
      <c r="AO635" s="3"/>
      <c r="AP635" s="3"/>
      <c r="AQ635" s="3"/>
      <c r="AR635" s="3"/>
      <c r="AS635" s="3"/>
      <c r="AT635" s="3"/>
      <c r="AU635" s="3"/>
      <c r="AV635" s="3"/>
      <c r="AW635" s="3"/>
      <c r="AX635" s="3"/>
      <c r="AY635" s="3"/>
      <c r="AZ635" s="4" t="s">
        <v>1581</v>
      </c>
      <c r="BA635" s="3"/>
      <c r="BB635" s="1"/>
      <c r="BC635" s="1"/>
    </row>
    <row r="636" spans="1:55" s="78" customFormat="1" ht="15" customHeight="1" x14ac:dyDescent="0.25">
      <c r="A636" s="52" t="s">
        <v>4645</v>
      </c>
      <c r="B636" s="34" t="s">
        <v>59</v>
      </c>
      <c r="C636" s="53">
        <v>2026</v>
      </c>
      <c r="D636" s="53">
        <v>2026</v>
      </c>
      <c r="E636" s="54" t="s">
        <v>3355</v>
      </c>
      <c r="F636" s="55" t="s">
        <v>50</v>
      </c>
      <c r="G636" s="55" t="s">
        <v>50</v>
      </c>
      <c r="H636" s="45" t="s">
        <v>1587</v>
      </c>
      <c r="I636" s="45" t="s">
        <v>78</v>
      </c>
      <c r="J636" s="56"/>
      <c r="K636" s="56" t="s">
        <v>417</v>
      </c>
      <c r="L636" s="55" t="s">
        <v>88</v>
      </c>
      <c r="M636" s="55"/>
      <c r="N636" s="55" t="s">
        <v>418</v>
      </c>
      <c r="O636" s="55"/>
      <c r="P636" s="55" t="s">
        <v>89</v>
      </c>
      <c r="Q636" s="55" t="s">
        <v>89</v>
      </c>
      <c r="R636" s="55"/>
      <c r="S636" s="56" t="s">
        <v>81</v>
      </c>
      <c r="T636" s="55" t="s">
        <v>81</v>
      </c>
      <c r="U636" s="57">
        <v>4000000</v>
      </c>
      <c r="V636" s="57" t="s">
        <v>101</v>
      </c>
      <c r="W636" s="55" t="s">
        <v>2319</v>
      </c>
      <c r="X636" s="54" t="s">
        <v>4645</v>
      </c>
      <c r="Y636" s="52"/>
      <c r="Z636" s="3" t="s">
        <v>61</v>
      </c>
      <c r="AA636" s="3" t="s">
        <v>1583</v>
      </c>
      <c r="AB636" s="3"/>
      <c r="AC636" s="3"/>
      <c r="AD636" s="3" t="s">
        <v>62</v>
      </c>
      <c r="AE636" s="3" t="s">
        <v>175</v>
      </c>
      <c r="AF636" s="3" t="s">
        <v>1588</v>
      </c>
      <c r="AG636" s="3" t="s">
        <v>1585</v>
      </c>
      <c r="AH636" s="58">
        <v>100</v>
      </c>
      <c r="AI636" s="3"/>
      <c r="AJ636" s="3"/>
      <c r="AK636" s="3"/>
      <c r="AL636" s="3"/>
      <c r="AM636" s="3"/>
      <c r="AN636" s="3"/>
      <c r="AO636" s="3"/>
      <c r="AP636" s="3"/>
      <c r="AQ636" s="3"/>
      <c r="AR636" s="3"/>
      <c r="AS636" s="3"/>
      <c r="AT636" s="3"/>
      <c r="AU636" s="3"/>
      <c r="AV636" s="3"/>
      <c r="AW636" s="3"/>
      <c r="AX636" s="3"/>
      <c r="AY636" s="3"/>
      <c r="AZ636" s="4" t="s">
        <v>1586</v>
      </c>
      <c r="BA636" s="3"/>
      <c r="BB636" s="1"/>
      <c r="BC636" s="1"/>
    </row>
    <row r="637" spans="1:55" s="78" customFormat="1" ht="15" customHeight="1" x14ac:dyDescent="0.25">
      <c r="A637" s="52" t="s">
        <v>4646</v>
      </c>
      <c r="B637" s="34" t="s">
        <v>59</v>
      </c>
      <c r="C637" s="53">
        <v>2026</v>
      </c>
      <c r="D637" s="53">
        <v>2026</v>
      </c>
      <c r="E637" s="54" t="s">
        <v>3356</v>
      </c>
      <c r="F637" s="55" t="s">
        <v>50</v>
      </c>
      <c r="G637" s="55" t="s">
        <v>50</v>
      </c>
      <c r="H637" s="45" t="s">
        <v>1590</v>
      </c>
      <c r="I637" s="45" t="s">
        <v>52</v>
      </c>
      <c r="J637" s="56"/>
      <c r="K637" s="55" t="s">
        <v>442</v>
      </c>
      <c r="L637" s="55" t="s">
        <v>317</v>
      </c>
      <c r="M637" s="55"/>
      <c r="N637" s="55" t="s">
        <v>1591</v>
      </c>
      <c r="O637" s="55"/>
      <c r="P637" s="55" t="s">
        <v>136</v>
      </c>
      <c r="Q637" s="55" t="s">
        <v>57</v>
      </c>
      <c r="R637" s="55"/>
      <c r="S637" s="56" t="s">
        <v>81</v>
      </c>
      <c r="T637" s="55" t="s">
        <v>58</v>
      </c>
      <c r="U637" s="57">
        <v>105000</v>
      </c>
      <c r="V637" s="57" t="s">
        <v>101</v>
      </c>
      <c r="W637" s="55" t="s">
        <v>2319</v>
      </c>
      <c r="X637" s="54" t="s">
        <v>4646</v>
      </c>
      <c r="Y637" s="52"/>
      <c r="Z637" s="3" t="s">
        <v>61</v>
      </c>
      <c r="AA637" s="3" t="s">
        <v>1592</v>
      </c>
      <c r="AB637" s="3"/>
      <c r="AC637" s="3"/>
      <c r="AD637" s="3" t="s">
        <v>62</v>
      </c>
      <c r="AE637" s="3" t="s">
        <v>175</v>
      </c>
      <c r="AF637" s="3" t="s">
        <v>1593</v>
      </c>
      <c r="AG637" s="3" t="s">
        <v>686</v>
      </c>
      <c r="AH637" s="58">
        <v>100</v>
      </c>
      <c r="AI637" s="3"/>
      <c r="AJ637" s="3"/>
      <c r="AK637" s="3"/>
      <c r="AL637" s="3"/>
      <c r="AM637" s="3"/>
      <c r="AN637" s="3"/>
      <c r="AO637" s="3"/>
      <c r="AP637" s="3"/>
      <c r="AQ637" s="3"/>
      <c r="AR637" s="3"/>
      <c r="AS637" s="3"/>
      <c r="AT637" s="3"/>
      <c r="AU637" s="3"/>
      <c r="AV637" s="3"/>
      <c r="AW637" s="3"/>
      <c r="AX637" s="3"/>
      <c r="AY637" s="3"/>
      <c r="AZ637" s="4" t="s">
        <v>1589</v>
      </c>
      <c r="BA637" s="3"/>
      <c r="BB637" s="1"/>
      <c r="BC637" s="1"/>
    </row>
    <row r="638" spans="1:55" s="78" customFormat="1" ht="15" customHeight="1" x14ac:dyDescent="0.25">
      <c r="A638" s="52" t="s">
        <v>4647</v>
      </c>
      <c r="B638" s="34" t="s">
        <v>59</v>
      </c>
      <c r="C638" s="53">
        <v>2026</v>
      </c>
      <c r="D638" s="53">
        <v>2026</v>
      </c>
      <c r="E638" s="54" t="s">
        <v>3356</v>
      </c>
      <c r="F638" s="55" t="s">
        <v>50</v>
      </c>
      <c r="G638" s="55" t="s">
        <v>50</v>
      </c>
      <c r="H638" s="45" t="s">
        <v>1590</v>
      </c>
      <c r="I638" s="45" t="s">
        <v>52</v>
      </c>
      <c r="J638" s="56"/>
      <c r="K638" s="55" t="s">
        <v>442</v>
      </c>
      <c r="L638" s="55" t="s">
        <v>317</v>
      </c>
      <c r="M638" s="55"/>
      <c r="N638" s="55" t="s">
        <v>1594</v>
      </c>
      <c r="O638" s="55"/>
      <c r="P638" s="55" t="s">
        <v>136</v>
      </c>
      <c r="Q638" s="55" t="s">
        <v>57</v>
      </c>
      <c r="R638" s="55"/>
      <c r="S638" s="56" t="s">
        <v>81</v>
      </c>
      <c r="T638" s="55" t="s">
        <v>58</v>
      </c>
      <c r="U638" s="57">
        <v>-999</v>
      </c>
      <c r="V638" s="57" t="s">
        <v>59</v>
      </c>
      <c r="W638" s="55" t="s">
        <v>2319</v>
      </c>
      <c r="X638" s="54" t="s">
        <v>4647</v>
      </c>
      <c r="Y638" s="52"/>
      <c r="Z638" s="3" t="s">
        <v>61</v>
      </c>
      <c r="AA638" s="3" t="s">
        <v>1592</v>
      </c>
      <c r="AB638" s="3"/>
      <c r="AC638" s="3"/>
      <c r="AD638" s="3" t="s">
        <v>62</v>
      </c>
      <c r="AE638" s="3" t="s">
        <v>175</v>
      </c>
      <c r="AF638" s="3" t="s">
        <v>1593</v>
      </c>
      <c r="AG638" s="3" t="s">
        <v>686</v>
      </c>
      <c r="AH638" s="58">
        <v>100</v>
      </c>
      <c r="AI638" s="3"/>
      <c r="AJ638" s="3"/>
      <c r="AK638" s="3"/>
      <c r="AL638" s="3"/>
      <c r="AM638" s="3"/>
      <c r="AN638" s="3"/>
      <c r="AO638" s="3"/>
      <c r="AP638" s="3"/>
      <c r="AQ638" s="3"/>
      <c r="AR638" s="3"/>
      <c r="AS638" s="3"/>
      <c r="AT638" s="3"/>
      <c r="AU638" s="3"/>
      <c r="AV638" s="3"/>
      <c r="AW638" s="3"/>
      <c r="AX638" s="3"/>
      <c r="AY638" s="3"/>
      <c r="AZ638" s="4" t="s">
        <v>440</v>
      </c>
      <c r="BA638" s="3"/>
      <c r="BB638" s="1"/>
      <c r="BC638" s="1"/>
    </row>
    <row r="639" spans="1:55" s="78" customFormat="1" ht="15" customHeight="1" x14ac:dyDescent="0.25">
      <c r="A639" s="52" t="s">
        <v>4648</v>
      </c>
      <c r="B639" s="34" t="s">
        <v>59</v>
      </c>
      <c r="C639" s="53">
        <v>2026</v>
      </c>
      <c r="D639" s="53">
        <v>2026</v>
      </c>
      <c r="E639" s="54" t="s">
        <v>3356</v>
      </c>
      <c r="F639" s="55" t="s">
        <v>50</v>
      </c>
      <c r="G639" s="55" t="s">
        <v>50</v>
      </c>
      <c r="H639" s="45" t="s">
        <v>1590</v>
      </c>
      <c r="I639" s="45" t="s">
        <v>52</v>
      </c>
      <c r="J639" s="56"/>
      <c r="K639" s="55" t="s">
        <v>442</v>
      </c>
      <c r="L639" s="55" t="s">
        <v>317</v>
      </c>
      <c r="M639" s="55"/>
      <c r="N639" s="55" t="s">
        <v>1595</v>
      </c>
      <c r="O639" s="55"/>
      <c r="P639" s="55" t="s">
        <v>136</v>
      </c>
      <c r="Q639" s="55" t="s">
        <v>57</v>
      </c>
      <c r="R639" s="55"/>
      <c r="S639" s="56" t="s">
        <v>81</v>
      </c>
      <c r="T639" s="55" t="s">
        <v>58</v>
      </c>
      <c r="U639" s="57">
        <v>-999</v>
      </c>
      <c r="V639" s="57" t="s">
        <v>59</v>
      </c>
      <c r="W639" s="55" t="s">
        <v>2319</v>
      </c>
      <c r="X639" s="54" t="s">
        <v>4648</v>
      </c>
      <c r="Y639" s="52"/>
      <c r="Z639" s="3" t="s">
        <v>61</v>
      </c>
      <c r="AA639" s="3" t="s">
        <v>1592</v>
      </c>
      <c r="AB639" s="3"/>
      <c r="AC639" s="3"/>
      <c r="AD639" s="3" t="s">
        <v>62</v>
      </c>
      <c r="AE639" s="3" t="s">
        <v>175</v>
      </c>
      <c r="AF639" s="3" t="s">
        <v>1593</v>
      </c>
      <c r="AG639" s="3" t="s">
        <v>686</v>
      </c>
      <c r="AH639" s="58">
        <v>100</v>
      </c>
      <c r="AI639" s="3"/>
      <c r="AJ639" s="3"/>
      <c r="AK639" s="3"/>
      <c r="AL639" s="3"/>
      <c r="AM639" s="3"/>
      <c r="AN639" s="3"/>
      <c r="AO639" s="3"/>
      <c r="AP639" s="3"/>
      <c r="AQ639" s="3"/>
      <c r="AR639" s="3"/>
      <c r="AS639" s="3"/>
      <c r="AT639" s="3"/>
      <c r="AU639" s="3"/>
      <c r="AV639" s="3"/>
      <c r="AW639" s="3"/>
      <c r="AX639" s="3"/>
      <c r="AY639" s="3"/>
      <c r="AZ639" s="4" t="s">
        <v>440</v>
      </c>
      <c r="BA639" s="3"/>
      <c r="BB639" s="1"/>
      <c r="BC639" s="1"/>
    </row>
    <row r="640" spans="1:55" s="78" customFormat="1" ht="15" customHeight="1" x14ac:dyDescent="0.25">
      <c r="A640" s="52" t="s">
        <v>4649</v>
      </c>
      <c r="B640" s="34" t="s">
        <v>59</v>
      </c>
      <c r="C640" s="53">
        <v>2026</v>
      </c>
      <c r="D640" s="53">
        <v>2026</v>
      </c>
      <c r="E640" s="54" t="s">
        <v>3357</v>
      </c>
      <c r="F640" s="55" t="s">
        <v>50</v>
      </c>
      <c r="G640" s="55" t="s">
        <v>50</v>
      </c>
      <c r="H640" s="45" t="s">
        <v>1596</v>
      </c>
      <c r="I640" s="45" t="s">
        <v>52</v>
      </c>
      <c r="J640" s="56"/>
      <c r="K640" s="55" t="s">
        <v>218</v>
      </c>
      <c r="L640" s="55"/>
      <c r="M640" s="55"/>
      <c r="N640" s="55" t="s">
        <v>1597</v>
      </c>
      <c r="O640" s="55"/>
      <c r="P640" s="55" t="s">
        <v>811</v>
      </c>
      <c r="Q640" s="55" t="s">
        <v>5353</v>
      </c>
      <c r="R640" s="55"/>
      <c r="S640" s="56" t="s">
        <v>81</v>
      </c>
      <c r="T640" s="55" t="s">
        <v>81</v>
      </c>
      <c r="U640" s="57">
        <v>5000</v>
      </c>
      <c r="V640" s="57" t="s">
        <v>101</v>
      </c>
      <c r="W640" s="55" t="s">
        <v>2319</v>
      </c>
      <c r="X640" s="54" t="s">
        <v>4649</v>
      </c>
      <c r="Y640" s="52"/>
      <c r="Z640" s="3" t="s">
        <v>61</v>
      </c>
      <c r="AA640" s="3" t="s">
        <v>1598</v>
      </c>
      <c r="AB640" s="3"/>
      <c r="AC640" s="3"/>
      <c r="AD640" s="3" t="s">
        <v>62</v>
      </c>
      <c r="AE640" s="1" t="s">
        <v>396</v>
      </c>
      <c r="AF640" s="3" t="s">
        <v>1599</v>
      </c>
      <c r="AG640" s="3" t="s">
        <v>1600</v>
      </c>
      <c r="AH640" s="58">
        <v>100</v>
      </c>
      <c r="AI640" s="3"/>
      <c r="AJ640" s="3"/>
      <c r="AK640" s="3"/>
      <c r="AL640" s="3"/>
      <c r="AM640" s="3"/>
      <c r="AN640" s="3"/>
      <c r="AO640" s="3"/>
      <c r="AP640" s="3"/>
      <c r="AQ640" s="3"/>
      <c r="AR640" s="3"/>
      <c r="AS640" s="3"/>
      <c r="AT640" s="3"/>
      <c r="AU640" s="3"/>
      <c r="AV640" s="3"/>
      <c r="AW640" s="3"/>
      <c r="AX640" s="3"/>
      <c r="AY640" s="3"/>
      <c r="AZ640" s="4" t="s">
        <v>1207</v>
      </c>
      <c r="BA640" s="3"/>
      <c r="BB640" s="1"/>
      <c r="BC640" s="1"/>
    </row>
    <row r="641" spans="1:55" s="78" customFormat="1" ht="15" customHeight="1" x14ac:dyDescent="0.25">
      <c r="A641" s="52" t="s">
        <v>4650</v>
      </c>
      <c r="B641" s="34" t="s">
        <v>59</v>
      </c>
      <c r="C641" s="53">
        <v>2026</v>
      </c>
      <c r="D641" s="53">
        <v>2026</v>
      </c>
      <c r="E641" s="54" t="s">
        <v>3358</v>
      </c>
      <c r="F641" s="55" t="s">
        <v>50</v>
      </c>
      <c r="G641" s="55" t="s">
        <v>50</v>
      </c>
      <c r="H641" s="45" t="s">
        <v>1601</v>
      </c>
      <c r="I641" s="45" t="s">
        <v>52</v>
      </c>
      <c r="J641" s="56"/>
      <c r="K641" s="45" t="s">
        <v>859</v>
      </c>
      <c r="L641" s="55"/>
      <c r="M641" s="55"/>
      <c r="N641" s="45" t="s">
        <v>55</v>
      </c>
      <c r="O641" s="45" t="s">
        <v>1602</v>
      </c>
      <c r="P641" s="55" t="s">
        <v>861</v>
      </c>
      <c r="Q641" s="56" t="s">
        <v>57</v>
      </c>
      <c r="R641" s="55"/>
      <c r="S641" s="56" t="s">
        <v>81</v>
      </c>
      <c r="T641" s="55" t="s">
        <v>81</v>
      </c>
      <c r="U641" s="57">
        <v>-999</v>
      </c>
      <c r="V641" s="57" t="s">
        <v>59</v>
      </c>
      <c r="W641" s="55" t="s">
        <v>2319</v>
      </c>
      <c r="X641" s="54" t="s">
        <v>4650</v>
      </c>
      <c r="Y641" s="52"/>
      <c r="Z641" s="1" t="s">
        <v>61</v>
      </c>
      <c r="AA641" s="3" t="s">
        <v>1603</v>
      </c>
      <c r="AB641" s="3"/>
      <c r="AC641" s="3"/>
      <c r="AD641" s="3" t="s">
        <v>62</v>
      </c>
      <c r="AE641" s="2" t="s">
        <v>1604</v>
      </c>
      <c r="AF641" s="1" t="s">
        <v>1605</v>
      </c>
      <c r="AG641" s="1" t="s">
        <v>1606</v>
      </c>
      <c r="AH641" s="2">
        <v>100</v>
      </c>
      <c r="AI641" s="2"/>
      <c r="AJ641" s="2"/>
      <c r="AK641" s="2"/>
      <c r="AL641" s="2"/>
      <c r="AM641" s="2"/>
      <c r="AN641" s="2"/>
      <c r="AO641" s="2"/>
      <c r="AP641" s="2"/>
      <c r="AQ641" s="2"/>
      <c r="AR641" s="2"/>
      <c r="AS641" s="2"/>
      <c r="AT641" s="2"/>
      <c r="AU641" s="2"/>
      <c r="AV641" s="2"/>
      <c r="AW641" s="2"/>
      <c r="AX641" s="2"/>
      <c r="AY641" s="2"/>
      <c r="AZ641" s="4" t="s">
        <v>857</v>
      </c>
      <c r="BA641" s="2"/>
      <c r="BB641" s="1"/>
      <c r="BC641" s="1"/>
    </row>
    <row r="642" spans="1:55" s="78" customFormat="1" ht="15" customHeight="1" x14ac:dyDescent="0.25">
      <c r="A642" s="52" t="s">
        <v>4651</v>
      </c>
      <c r="B642" s="34" t="s">
        <v>59</v>
      </c>
      <c r="C642" s="53">
        <v>2026</v>
      </c>
      <c r="D642" s="53">
        <v>2026</v>
      </c>
      <c r="E642" s="54" t="s">
        <v>3359</v>
      </c>
      <c r="F642" s="55" t="s">
        <v>50</v>
      </c>
      <c r="G642" s="55" t="s">
        <v>50</v>
      </c>
      <c r="H642" s="45" t="s">
        <v>1607</v>
      </c>
      <c r="I642" s="56" t="s">
        <v>52</v>
      </c>
      <c r="J642" s="56"/>
      <c r="K642" s="56" t="s">
        <v>1019</v>
      </c>
      <c r="L642" s="55" t="str">
        <f>IF(K642="Mine or Quarry","Mine","")</f>
        <v/>
      </c>
      <c r="M642" s="55"/>
      <c r="N642" s="56"/>
      <c r="O642" s="56" t="s">
        <v>1025</v>
      </c>
      <c r="P642" s="56" t="s">
        <v>89</v>
      </c>
      <c r="Q642" s="56" t="s">
        <v>89</v>
      </c>
      <c r="R642" s="55"/>
      <c r="S642" s="56" t="s">
        <v>81</v>
      </c>
      <c r="T642" s="55" t="s">
        <v>81</v>
      </c>
      <c r="U642" s="57">
        <v>-999</v>
      </c>
      <c r="V642" s="57" t="s">
        <v>59</v>
      </c>
      <c r="W642" s="55" t="s">
        <v>2319</v>
      </c>
      <c r="X642" s="54" t="s">
        <v>4651</v>
      </c>
      <c r="Y642" s="52"/>
      <c r="Z642" s="1" t="s">
        <v>61</v>
      </c>
      <c r="AA642" s="1" t="s">
        <v>1608</v>
      </c>
      <c r="AB642" s="1"/>
      <c r="AC642" s="1"/>
      <c r="AD642" s="3" t="s">
        <v>62</v>
      </c>
      <c r="AE642" s="1" t="s">
        <v>506</v>
      </c>
      <c r="AF642" s="1"/>
      <c r="AG642" s="1" t="s">
        <v>1027</v>
      </c>
      <c r="AH642" s="2">
        <v>100</v>
      </c>
      <c r="AI642" s="1"/>
      <c r="AJ642" s="1"/>
      <c r="AK642" s="1"/>
      <c r="AL642" s="1"/>
      <c r="AM642" s="1"/>
      <c r="AN642" s="1"/>
      <c r="AO642" s="1"/>
      <c r="AP642" s="1"/>
      <c r="AQ642" s="1"/>
      <c r="AR642" s="1"/>
      <c r="AS642" s="1"/>
      <c r="AT642" s="1"/>
      <c r="AU642" s="1"/>
      <c r="AV642" s="1"/>
      <c r="AW642" s="1"/>
      <c r="AX642" s="1"/>
      <c r="AY642" s="1"/>
      <c r="AZ642" s="4" t="s">
        <v>1017</v>
      </c>
      <c r="BA642" s="1"/>
      <c r="BB642" s="1"/>
      <c r="BC642" s="1"/>
    </row>
    <row r="643" spans="1:55" s="78" customFormat="1" ht="15" customHeight="1" x14ac:dyDescent="0.25">
      <c r="A643" s="52" t="s">
        <v>4652</v>
      </c>
      <c r="B643" s="34" t="s">
        <v>59</v>
      </c>
      <c r="C643" s="53">
        <v>2026</v>
      </c>
      <c r="D643" s="53">
        <v>2026</v>
      </c>
      <c r="E643" s="54" t="s">
        <v>3360</v>
      </c>
      <c r="F643" s="55" t="s">
        <v>50</v>
      </c>
      <c r="G643" s="55" t="s">
        <v>50</v>
      </c>
      <c r="H643" s="45" t="s">
        <v>1610</v>
      </c>
      <c r="I643" s="45" t="s">
        <v>52</v>
      </c>
      <c r="J643" s="56"/>
      <c r="K643" s="55" t="s">
        <v>210</v>
      </c>
      <c r="L643" s="55" t="s">
        <v>54</v>
      </c>
      <c r="M643" s="55" t="s">
        <v>211</v>
      </c>
      <c r="N643" s="55" t="s">
        <v>212</v>
      </c>
      <c r="O643" s="55"/>
      <c r="P643" s="55" t="s">
        <v>89</v>
      </c>
      <c r="Q643" s="55" t="s">
        <v>89</v>
      </c>
      <c r="R643" s="55"/>
      <c r="S643" s="56" t="s">
        <v>81</v>
      </c>
      <c r="T643" s="55" t="s">
        <v>81</v>
      </c>
      <c r="U643" s="57">
        <v>-999</v>
      </c>
      <c r="V643" s="57" t="s">
        <v>59</v>
      </c>
      <c r="W643" s="55" t="s">
        <v>2319</v>
      </c>
      <c r="X643" s="54" t="s">
        <v>4652</v>
      </c>
      <c r="Y643" s="52"/>
      <c r="Z643" s="3" t="s">
        <v>61</v>
      </c>
      <c r="AA643" s="1" t="s">
        <v>1611</v>
      </c>
      <c r="AB643" s="1"/>
      <c r="AC643" s="1"/>
      <c r="AD643" s="3" t="s">
        <v>62</v>
      </c>
      <c r="AE643" s="3" t="s">
        <v>1612</v>
      </c>
      <c r="AF643" s="3"/>
      <c r="AG643" s="1" t="s">
        <v>531</v>
      </c>
      <c r="AH643" s="2">
        <v>100</v>
      </c>
      <c r="AI643" s="1"/>
      <c r="AJ643" s="2"/>
      <c r="AK643" s="3"/>
      <c r="AL643" s="3"/>
      <c r="AM643" s="3"/>
      <c r="AN643" s="3"/>
      <c r="AO643" s="3"/>
      <c r="AP643" s="3"/>
      <c r="AQ643" s="3"/>
      <c r="AR643" s="3"/>
      <c r="AS643" s="3"/>
      <c r="AT643" s="3"/>
      <c r="AU643" s="3"/>
      <c r="AV643" s="3"/>
      <c r="AW643" s="3"/>
      <c r="AX643" s="3"/>
      <c r="AY643" s="3"/>
      <c r="AZ643" s="4" t="s">
        <v>1609</v>
      </c>
      <c r="BA643" s="3"/>
      <c r="BB643" s="1"/>
      <c r="BC643" s="1"/>
    </row>
    <row r="644" spans="1:55" s="78" customFormat="1" ht="15" customHeight="1" x14ac:dyDescent="0.25">
      <c r="A644" s="52" t="s">
        <v>4653</v>
      </c>
      <c r="B644" s="34" t="s">
        <v>59</v>
      </c>
      <c r="C644" s="53">
        <v>2026</v>
      </c>
      <c r="D644" s="53">
        <v>2026</v>
      </c>
      <c r="E644" s="54" t="s">
        <v>3361</v>
      </c>
      <c r="F644" s="55" t="s">
        <v>50</v>
      </c>
      <c r="G644" s="55" t="s">
        <v>50</v>
      </c>
      <c r="H644" s="45" t="s">
        <v>2877</v>
      </c>
      <c r="I644" s="56" t="s">
        <v>52</v>
      </c>
      <c r="J644" s="56"/>
      <c r="K644" s="56" t="s">
        <v>87</v>
      </c>
      <c r="L644" s="55"/>
      <c r="M644" s="55"/>
      <c r="N644" s="56"/>
      <c r="O644" s="56" t="s">
        <v>2896</v>
      </c>
      <c r="P644" s="56" t="s">
        <v>89</v>
      </c>
      <c r="Q644" s="56" t="s">
        <v>89</v>
      </c>
      <c r="R644" s="55"/>
      <c r="S644" s="56" t="s">
        <v>81</v>
      </c>
      <c r="T644" s="55" t="s">
        <v>58</v>
      </c>
      <c r="U644" s="57">
        <v>250000</v>
      </c>
      <c r="V644" s="57" t="s">
        <v>101</v>
      </c>
      <c r="W644" s="55" t="s">
        <v>2319</v>
      </c>
      <c r="X644" s="54" t="s">
        <v>4653</v>
      </c>
      <c r="Y644" s="52"/>
      <c r="Z644" s="1" t="s">
        <v>61</v>
      </c>
      <c r="AA644" s="1" t="s">
        <v>2878</v>
      </c>
      <c r="AB644" s="1"/>
      <c r="AC644" s="1"/>
      <c r="AD644" s="3" t="s">
        <v>62</v>
      </c>
      <c r="AE644" s="1" t="s">
        <v>1174</v>
      </c>
      <c r="AF644" s="1"/>
      <c r="AG644" s="1" t="s">
        <v>2879</v>
      </c>
      <c r="AH644" s="2">
        <v>100</v>
      </c>
      <c r="AI644" s="1"/>
      <c r="AJ644" s="1"/>
      <c r="AK644" s="1"/>
      <c r="AL644" s="1"/>
      <c r="AM644" s="1"/>
      <c r="AN644" s="1"/>
      <c r="AO644" s="1"/>
      <c r="AP644" s="1"/>
      <c r="AQ644" s="1"/>
      <c r="AR644" s="1"/>
      <c r="AS644" s="1"/>
      <c r="AT644" s="1"/>
      <c r="AU644" s="1"/>
      <c r="AV644" s="1"/>
      <c r="AW644" s="1"/>
      <c r="AX644" s="1"/>
      <c r="AY644" s="1"/>
      <c r="AZ644" s="4" t="s">
        <v>2880</v>
      </c>
      <c r="BA644" s="5"/>
      <c r="BB644" s="1"/>
      <c r="BC644" s="1"/>
    </row>
    <row r="645" spans="1:55" s="78" customFormat="1" ht="15" customHeight="1" x14ac:dyDescent="0.25">
      <c r="A645" s="52" t="s">
        <v>4654</v>
      </c>
      <c r="B645" s="34" t="s">
        <v>59</v>
      </c>
      <c r="C645" s="53">
        <v>2026</v>
      </c>
      <c r="D645" s="53">
        <v>2026</v>
      </c>
      <c r="E645" s="54" t="s">
        <v>3362</v>
      </c>
      <c r="F645" s="55" t="s">
        <v>50</v>
      </c>
      <c r="G645" s="55" t="s">
        <v>50</v>
      </c>
      <c r="H645" s="45" t="s">
        <v>1613</v>
      </c>
      <c r="I645" s="56" t="s">
        <v>52</v>
      </c>
      <c r="J645" s="56"/>
      <c r="K645" s="56" t="s">
        <v>1019</v>
      </c>
      <c r="L645" s="55"/>
      <c r="M645" s="55"/>
      <c r="N645" s="56"/>
      <c r="O645" s="56" t="s">
        <v>1025</v>
      </c>
      <c r="P645" s="56" t="s">
        <v>89</v>
      </c>
      <c r="Q645" s="56" t="s">
        <v>89</v>
      </c>
      <c r="R645" s="55"/>
      <c r="S645" s="56" t="s">
        <v>81</v>
      </c>
      <c r="T645" s="55" t="s">
        <v>81</v>
      </c>
      <c r="U645" s="57">
        <v>-999</v>
      </c>
      <c r="V645" s="57" t="s">
        <v>59</v>
      </c>
      <c r="W645" s="55"/>
      <c r="X645" s="54" t="s">
        <v>4654</v>
      </c>
      <c r="Y645" s="52"/>
      <c r="Z645" s="1" t="s">
        <v>61</v>
      </c>
      <c r="AA645" s="1" t="s">
        <v>1614</v>
      </c>
      <c r="AB645" s="1"/>
      <c r="AC645" s="1"/>
      <c r="AD645" s="3" t="s">
        <v>62</v>
      </c>
      <c r="AE645" s="1" t="s">
        <v>251</v>
      </c>
      <c r="AF645" s="1"/>
      <c r="AG645" s="1" t="s">
        <v>1615</v>
      </c>
      <c r="AH645" s="2">
        <v>100</v>
      </c>
      <c r="AI645" s="1"/>
      <c r="AJ645" s="1"/>
      <c r="AK645" s="1"/>
      <c r="AL645" s="1"/>
      <c r="AM645" s="1"/>
      <c r="AN645" s="1"/>
      <c r="AO645" s="1"/>
      <c r="AP645" s="1"/>
      <c r="AQ645" s="1"/>
      <c r="AR645" s="1"/>
      <c r="AS645" s="1"/>
      <c r="AT645" s="1"/>
      <c r="AU645" s="1"/>
      <c r="AV645" s="1"/>
      <c r="AW645" s="1"/>
      <c r="AX645" s="1"/>
      <c r="AY645" s="1"/>
      <c r="AZ645" s="4" t="s">
        <v>1017</v>
      </c>
      <c r="BA645" s="1" t="s">
        <v>3885</v>
      </c>
      <c r="BB645" s="1"/>
      <c r="BC645" s="1"/>
    </row>
    <row r="646" spans="1:55" s="78" customFormat="1" ht="15" customHeight="1" x14ac:dyDescent="0.25">
      <c r="A646" s="52" t="s">
        <v>4655</v>
      </c>
      <c r="B646" s="34" t="s">
        <v>59</v>
      </c>
      <c r="C646" s="53">
        <v>2026</v>
      </c>
      <c r="D646" s="53">
        <v>2026</v>
      </c>
      <c r="E646" s="54" t="s">
        <v>3363</v>
      </c>
      <c r="F646" s="55" t="s">
        <v>50</v>
      </c>
      <c r="G646" s="55" t="s">
        <v>50</v>
      </c>
      <c r="H646" s="45" t="s">
        <v>2999</v>
      </c>
      <c r="I646" s="56" t="s">
        <v>78</v>
      </c>
      <c r="J646" s="56"/>
      <c r="K646" s="56" t="s">
        <v>53</v>
      </c>
      <c r="L646" s="55"/>
      <c r="M646" s="55"/>
      <c r="N646" s="56" t="s">
        <v>5386</v>
      </c>
      <c r="O646" s="56"/>
      <c r="P646" s="55" t="s">
        <v>56</v>
      </c>
      <c r="Q646" s="55" t="s">
        <v>57</v>
      </c>
      <c r="R646" s="55"/>
      <c r="S646" s="56" t="s">
        <v>81</v>
      </c>
      <c r="T646" s="55" t="str">
        <f>IF(ISNUMBER(SEARCH(",",N646)),"Y","N")</f>
        <v>N</v>
      </c>
      <c r="U646" s="57">
        <v>-999</v>
      </c>
      <c r="V646" s="57" t="s">
        <v>59</v>
      </c>
      <c r="W646" s="55"/>
      <c r="X646" s="54" t="s">
        <v>4655</v>
      </c>
      <c r="Y646" s="52"/>
      <c r="Z646" s="1" t="s">
        <v>61</v>
      </c>
      <c r="AA646" s="3" t="s">
        <v>1532</v>
      </c>
      <c r="AB646" s="3"/>
      <c r="AC646" s="3"/>
      <c r="AD646" s="3" t="s">
        <v>62</v>
      </c>
      <c r="AE646" s="1" t="s">
        <v>251</v>
      </c>
      <c r="AF646" s="1" t="s">
        <v>1617</v>
      </c>
      <c r="AG646" s="1" t="s">
        <v>1618</v>
      </c>
      <c r="AH646" s="2">
        <v>100</v>
      </c>
      <c r="AI646" s="1"/>
      <c r="AJ646" s="1"/>
      <c r="AK646" s="1"/>
      <c r="AL646" s="1"/>
      <c r="AM646" s="1"/>
      <c r="AN646" s="1"/>
      <c r="AO646" s="1"/>
      <c r="AP646" s="1"/>
      <c r="AQ646" s="1"/>
      <c r="AR646" s="1"/>
      <c r="AS646" s="1"/>
      <c r="AT646" s="1"/>
      <c r="AU646" s="1"/>
      <c r="AV646" s="1"/>
      <c r="AW646" s="1"/>
      <c r="AX646" s="1"/>
      <c r="AY646" s="1"/>
      <c r="AZ646" s="4" t="s">
        <v>1616</v>
      </c>
      <c r="BA646" s="1"/>
      <c r="BB646" s="1"/>
      <c r="BC646" s="1"/>
    </row>
    <row r="647" spans="1:55" s="78" customFormat="1" ht="15" customHeight="1" x14ac:dyDescent="0.25">
      <c r="A647" s="52" t="s">
        <v>4656</v>
      </c>
      <c r="B647" s="34" t="s">
        <v>59</v>
      </c>
      <c r="C647" s="53">
        <v>2026</v>
      </c>
      <c r="D647" s="53">
        <v>2026</v>
      </c>
      <c r="E647" s="54" t="s">
        <v>3364</v>
      </c>
      <c r="F647" s="55" t="s">
        <v>50</v>
      </c>
      <c r="G647" s="55" t="s">
        <v>50</v>
      </c>
      <c r="H647" s="45" t="s">
        <v>3000</v>
      </c>
      <c r="I647" s="56" t="s">
        <v>52</v>
      </c>
      <c r="J647" s="56"/>
      <c r="K647" s="56" t="s">
        <v>53</v>
      </c>
      <c r="L647" s="55" t="str">
        <f>IF(K647="Mine or Quarry","Mine","")</f>
        <v/>
      </c>
      <c r="M647" s="55"/>
      <c r="N647" s="55" t="s">
        <v>327</v>
      </c>
      <c r="O647" s="56"/>
      <c r="P647" s="55" t="s">
        <v>56</v>
      </c>
      <c r="Q647" s="55" t="s">
        <v>57</v>
      </c>
      <c r="R647" s="55"/>
      <c r="S647" s="56" t="s">
        <v>81</v>
      </c>
      <c r="T647" s="55" t="str">
        <f>IF(ISNUMBER(SEARCH(",",N647)),"Y","N")</f>
        <v>N</v>
      </c>
      <c r="U647" s="57">
        <v>24500</v>
      </c>
      <c r="V647" s="57" t="s">
        <v>101</v>
      </c>
      <c r="W647" s="55"/>
      <c r="X647" s="54" t="s">
        <v>4656</v>
      </c>
      <c r="Y647" s="52"/>
      <c r="Z647" s="1" t="s">
        <v>61</v>
      </c>
      <c r="AA647" s="3" t="s">
        <v>1532</v>
      </c>
      <c r="AB647" s="3"/>
      <c r="AC647" s="3"/>
      <c r="AD647" s="3" t="s">
        <v>62</v>
      </c>
      <c r="AE647" s="1" t="s">
        <v>251</v>
      </c>
      <c r="AF647" s="1" t="s">
        <v>1617</v>
      </c>
      <c r="AG647" s="1" t="s">
        <v>1618</v>
      </c>
      <c r="AH647" s="2">
        <v>100</v>
      </c>
      <c r="AI647" s="1"/>
      <c r="AJ647" s="1"/>
      <c r="AK647" s="1"/>
      <c r="AL647" s="1"/>
      <c r="AM647" s="1"/>
      <c r="AN647" s="1"/>
      <c r="AO647" s="1"/>
      <c r="AP647" s="1"/>
      <c r="AQ647" s="1"/>
      <c r="AR647" s="1"/>
      <c r="AS647" s="1"/>
      <c r="AT647" s="1"/>
      <c r="AU647" s="1"/>
      <c r="AV647" s="1"/>
      <c r="AW647" s="1"/>
      <c r="AX647" s="1"/>
      <c r="AY647" s="1"/>
      <c r="AZ647" s="4" t="s">
        <v>1616</v>
      </c>
      <c r="BA647" s="1"/>
      <c r="BB647" s="1"/>
      <c r="BC647" s="1"/>
    </row>
    <row r="648" spans="1:55" s="78" customFormat="1" ht="15" customHeight="1" x14ac:dyDescent="0.25">
      <c r="A648" s="52" t="s">
        <v>4657</v>
      </c>
      <c r="B648" s="34" t="s">
        <v>59</v>
      </c>
      <c r="C648" s="53">
        <v>2026</v>
      </c>
      <c r="D648" s="53">
        <v>2026</v>
      </c>
      <c r="E648" s="54" t="s">
        <v>3365</v>
      </c>
      <c r="F648" s="55" t="s">
        <v>50</v>
      </c>
      <c r="G648" s="55" t="s">
        <v>50</v>
      </c>
      <c r="H648" s="45" t="s">
        <v>1620</v>
      </c>
      <c r="I648" s="56" t="s">
        <v>78</v>
      </c>
      <c r="J648" s="56"/>
      <c r="K648" s="56" t="s">
        <v>79</v>
      </c>
      <c r="L648" s="55" t="str">
        <f>IF(K648="Mine or Quarry","Mine","")</f>
        <v/>
      </c>
      <c r="M648" s="55"/>
      <c r="N648" s="56" t="s">
        <v>80</v>
      </c>
      <c r="O648" s="56"/>
      <c r="P648" s="56" t="s">
        <v>89</v>
      </c>
      <c r="Q648" s="56" t="s">
        <v>89</v>
      </c>
      <c r="R648" s="55"/>
      <c r="S648" s="56" t="s">
        <v>81</v>
      </c>
      <c r="T648" s="55" t="str">
        <f>IF(ISNUMBER(SEARCH(",",N648)),"Y","N")</f>
        <v>N</v>
      </c>
      <c r="U648" s="57">
        <v>-999</v>
      </c>
      <c r="V648" s="57" t="s">
        <v>59</v>
      </c>
      <c r="W648" s="55"/>
      <c r="X648" s="54" t="s">
        <v>4657</v>
      </c>
      <c r="Y648" s="52"/>
      <c r="Z648" s="1" t="s">
        <v>61</v>
      </c>
      <c r="AA648" s="1" t="s">
        <v>1621</v>
      </c>
      <c r="AB648" s="1"/>
      <c r="AC648" s="1"/>
      <c r="AD648" s="3" t="s">
        <v>62</v>
      </c>
      <c r="AE648" s="1" t="s">
        <v>251</v>
      </c>
      <c r="AF648" s="1"/>
      <c r="AG648" s="1" t="s">
        <v>938</v>
      </c>
      <c r="AH648" s="2">
        <v>100</v>
      </c>
      <c r="AI648" s="1"/>
      <c r="AJ648" s="1"/>
      <c r="AK648" s="1"/>
      <c r="AL648" s="1"/>
      <c r="AM648" s="1"/>
      <c r="AN648" s="1"/>
      <c r="AO648" s="1"/>
      <c r="AP648" s="1"/>
      <c r="AQ648" s="1"/>
      <c r="AR648" s="1"/>
      <c r="AS648" s="1"/>
      <c r="AT648" s="1"/>
      <c r="AU648" s="1"/>
      <c r="AV648" s="1"/>
      <c r="AW648" s="1"/>
      <c r="AX648" s="1"/>
      <c r="AY648" s="1"/>
      <c r="AZ648" s="4" t="s">
        <v>1619</v>
      </c>
      <c r="BA648" s="5"/>
      <c r="BB648" s="1"/>
      <c r="BC648" s="1"/>
    </row>
    <row r="649" spans="1:55" s="78" customFormat="1" ht="15" customHeight="1" x14ac:dyDescent="0.25">
      <c r="A649" s="52" t="s">
        <v>4658</v>
      </c>
      <c r="B649" s="34" t="s">
        <v>59</v>
      </c>
      <c r="C649" s="53">
        <v>2026</v>
      </c>
      <c r="D649" s="53">
        <v>2026</v>
      </c>
      <c r="E649" s="54" t="s">
        <v>3366</v>
      </c>
      <c r="F649" s="55" t="s">
        <v>50</v>
      </c>
      <c r="G649" s="55" t="s">
        <v>50</v>
      </c>
      <c r="H649" s="45" t="s">
        <v>1622</v>
      </c>
      <c r="I649" s="56" t="s">
        <v>52</v>
      </c>
      <c r="J649" s="56" t="s">
        <v>165</v>
      </c>
      <c r="K649" s="56" t="s">
        <v>597</v>
      </c>
      <c r="L649" s="55"/>
      <c r="M649" s="55" t="s">
        <v>113</v>
      </c>
      <c r="N649" s="56" t="s">
        <v>1623</v>
      </c>
      <c r="O649" s="56" t="s">
        <v>1624</v>
      </c>
      <c r="P649" s="61" t="s">
        <v>598</v>
      </c>
      <c r="Q649" s="55" t="s">
        <v>57</v>
      </c>
      <c r="R649" s="55"/>
      <c r="S649" s="56" t="s">
        <v>58</v>
      </c>
      <c r="T649" s="55" t="s">
        <v>81</v>
      </c>
      <c r="U649" s="57">
        <v>-999</v>
      </c>
      <c r="V649" s="57" t="s">
        <v>59</v>
      </c>
      <c r="W649" s="55" t="s">
        <v>2319</v>
      </c>
      <c r="X649" s="54" t="s">
        <v>4658</v>
      </c>
      <c r="Y649" s="52"/>
      <c r="Z649" s="3" t="s">
        <v>61</v>
      </c>
      <c r="AA649" s="1" t="s">
        <v>1625</v>
      </c>
      <c r="AB649" s="1"/>
      <c r="AC649" s="1"/>
      <c r="AD649" s="3" t="s">
        <v>62</v>
      </c>
      <c r="AE649" s="2" t="s">
        <v>221</v>
      </c>
      <c r="AF649" s="3" t="s">
        <v>1626</v>
      </c>
      <c r="AG649" s="3" t="s">
        <v>1627</v>
      </c>
      <c r="AH649" s="58">
        <v>50</v>
      </c>
      <c r="AI649" s="1" t="s">
        <v>1628</v>
      </c>
      <c r="AJ649" s="2">
        <v>50</v>
      </c>
      <c r="AK649" s="1"/>
      <c r="AL649" s="1"/>
      <c r="AM649" s="1"/>
      <c r="AN649" s="1"/>
      <c r="AO649" s="1"/>
      <c r="AP649" s="1"/>
      <c r="AQ649" s="1"/>
      <c r="AR649" s="1"/>
      <c r="AS649" s="1"/>
      <c r="AT649" s="1"/>
      <c r="AU649" s="1"/>
      <c r="AV649" s="1"/>
      <c r="AW649" s="1"/>
      <c r="AX649" s="1"/>
      <c r="AY649" s="1"/>
      <c r="AZ649" s="4" t="s">
        <v>3960</v>
      </c>
      <c r="BA649" s="1" t="s">
        <v>3886</v>
      </c>
      <c r="BB649" s="1"/>
      <c r="BC649" s="1"/>
    </row>
    <row r="650" spans="1:55" s="78" customFormat="1" ht="15" customHeight="1" x14ac:dyDescent="0.25">
      <c r="A650" s="52" t="s">
        <v>4659</v>
      </c>
      <c r="B650" s="34" t="s">
        <v>59</v>
      </c>
      <c r="C650" s="53">
        <v>2026</v>
      </c>
      <c r="D650" s="53">
        <v>2026</v>
      </c>
      <c r="E650" s="54" t="s">
        <v>3366</v>
      </c>
      <c r="F650" s="55" t="s">
        <v>50</v>
      </c>
      <c r="G650" s="55" t="s">
        <v>50</v>
      </c>
      <c r="H650" s="45" t="s">
        <v>1622</v>
      </c>
      <c r="I650" s="56" t="s">
        <v>52</v>
      </c>
      <c r="J650" s="56"/>
      <c r="K650" s="56" t="s">
        <v>313</v>
      </c>
      <c r="L650" s="55"/>
      <c r="M650" s="55" t="s">
        <v>113</v>
      </c>
      <c r="N650" s="56" t="s">
        <v>358</v>
      </c>
      <c r="O650" s="56" t="s">
        <v>351</v>
      </c>
      <c r="P650" s="61" t="s">
        <v>314</v>
      </c>
      <c r="Q650" s="61" t="s">
        <v>57</v>
      </c>
      <c r="R650" s="55"/>
      <c r="S650" s="56" t="s">
        <v>58</v>
      </c>
      <c r="T650" s="55" t="s">
        <v>81</v>
      </c>
      <c r="U650" s="57">
        <v>-999</v>
      </c>
      <c r="V650" s="57" t="s">
        <v>59</v>
      </c>
      <c r="W650" s="55" t="s">
        <v>2319</v>
      </c>
      <c r="X650" s="54" t="s">
        <v>4659</v>
      </c>
      <c r="Y650" s="52"/>
      <c r="Z650" s="3" t="s">
        <v>61</v>
      </c>
      <c r="AA650" s="1" t="s">
        <v>1625</v>
      </c>
      <c r="AB650" s="1"/>
      <c r="AC650" s="1"/>
      <c r="AD650" s="3" t="s">
        <v>62</v>
      </c>
      <c r="AE650" s="2" t="s">
        <v>221</v>
      </c>
      <c r="AF650" s="3" t="s">
        <v>1626</v>
      </c>
      <c r="AG650" s="3" t="s">
        <v>1627</v>
      </c>
      <c r="AH650" s="58">
        <v>50</v>
      </c>
      <c r="AI650" s="1" t="s">
        <v>1628</v>
      </c>
      <c r="AJ650" s="2">
        <v>50</v>
      </c>
      <c r="AK650" s="1"/>
      <c r="AL650" s="1"/>
      <c r="AM650" s="1"/>
      <c r="AN650" s="1"/>
      <c r="AO650" s="1"/>
      <c r="AP650" s="1"/>
      <c r="AQ650" s="1"/>
      <c r="AR650" s="1"/>
      <c r="AS650" s="1"/>
      <c r="AT650" s="1"/>
      <c r="AU650" s="1"/>
      <c r="AV650" s="1"/>
      <c r="AW650" s="1"/>
      <c r="AX650" s="1"/>
      <c r="AY650" s="1"/>
      <c r="AZ650" s="4" t="s">
        <v>3960</v>
      </c>
      <c r="BA650" s="1" t="s">
        <v>3886</v>
      </c>
      <c r="BB650" s="1"/>
      <c r="BC650" s="1"/>
    </row>
    <row r="651" spans="1:55" s="78" customFormat="1" ht="15" customHeight="1" x14ac:dyDescent="0.25">
      <c r="A651" s="52" t="s">
        <v>4660</v>
      </c>
      <c r="B651" s="34" t="s">
        <v>59</v>
      </c>
      <c r="C651" s="53">
        <v>2026</v>
      </c>
      <c r="D651" s="53">
        <v>2026</v>
      </c>
      <c r="E651" s="54" t="s">
        <v>3367</v>
      </c>
      <c r="F651" s="55" t="s">
        <v>50</v>
      </c>
      <c r="G651" s="55" t="s">
        <v>50</v>
      </c>
      <c r="H651" s="45" t="s">
        <v>1630</v>
      </c>
      <c r="I651" s="45" t="s">
        <v>52</v>
      </c>
      <c r="J651" s="56"/>
      <c r="K651" s="55" t="s">
        <v>71</v>
      </c>
      <c r="L651" s="55"/>
      <c r="M651" s="55"/>
      <c r="N651" s="55" t="s">
        <v>110</v>
      </c>
      <c r="O651" s="45" t="s">
        <v>296</v>
      </c>
      <c r="P651" s="55" t="s">
        <v>73</v>
      </c>
      <c r="Q651" s="55" t="s">
        <v>57</v>
      </c>
      <c r="R651" s="55"/>
      <c r="S651" s="56" t="s">
        <v>81</v>
      </c>
      <c r="T651" s="55" t="str">
        <f>IF(ISNUMBER(SEARCH(",",N651)),"Y","N")</f>
        <v>N</v>
      </c>
      <c r="U651" s="73">
        <v>5.67</v>
      </c>
      <c r="V651" s="57" t="s">
        <v>101</v>
      </c>
      <c r="W651" s="55" t="s">
        <v>2319</v>
      </c>
      <c r="X651" s="54" t="s">
        <v>4660</v>
      </c>
      <c r="Y651" s="52"/>
      <c r="Z651" s="3" t="s">
        <v>2005</v>
      </c>
      <c r="AA651" s="3" t="s">
        <v>1278</v>
      </c>
      <c r="AB651" s="3"/>
      <c r="AC651" s="3"/>
      <c r="AD651" s="3" t="s">
        <v>62</v>
      </c>
      <c r="AE651" s="3" t="s">
        <v>83</v>
      </c>
      <c r="AF651" s="3"/>
      <c r="AG651" s="3" t="s">
        <v>1279</v>
      </c>
      <c r="AH651" s="58">
        <v>100</v>
      </c>
      <c r="AI651" s="3"/>
      <c r="AJ651" s="3"/>
      <c r="AK651" s="3"/>
      <c r="AL651" s="3"/>
      <c r="AM651" s="3"/>
      <c r="AN651" s="3"/>
      <c r="AO651" s="3"/>
      <c r="AP651" s="3"/>
      <c r="AQ651" s="3"/>
      <c r="AR651" s="3"/>
      <c r="AS651" s="3"/>
      <c r="AT651" s="3"/>
      <c r="AU651" s="3"/>
      <c r="AV651" s="3"/>
      <c r="AW651" s="3"/>
      <c r="AX651" s="3"/>
      <c r="AY651" s="3"/>
      <c r="AZ651" s="4" t="s">
        <v>1629</v>
      </c>
      <c r="BA651" s="3"/>
      <c r="BB651" s="1"/>
      <c r="BC651" s="1"/>
    </row>
    <row r="652" spans="1:55" s="78" customFormat="1" ht="15" customHeight="1" x14ac:dyDescent="0.25">
      <c r="A652" s="52" t="s">
        <v>4661</v>
      </c>
      <c r="B652" s="34" t="s">
        <v>59</v>
      </c>
      <c r="C652" s="53">
        <v>2026</v>
      </c>
      <c r="D652" s="53">
        <v>2026</v>
      </c>
      <c r="E652" s="54" t="s">
        <v>3368</v>
      </c>
      <c r="F652" s="55" t="s">
        <v>50</v>
      </c>
      <c r="G652" s="55" t="s">
        <v>50</v>
      </c>
      <c r="H652" s="45" t="s">
        <v>1631</v>
      </c>
      <c r="I652" s="56" t="s">
        <v>52</v>
      </c>
      <c r="J652" s="56"/>
      <c r="K652" s="55" t="s">
        <v>74</v>
      </c>
      <c r="L652" s="55"/>
      <c r="M652" s="55"/>
      <c r="N652" s="55" t="s">
        <v>110</v>
      </c>
      <c r="O652" s="56" t="s">
        <v>296</v>
      </c>
      <c r="P652" s="55" t="s">
        <v>75</v>
      </c>
      <c r="Q652" s="55" t="s">
        <v>57</v>
      </c>
      <c r="R652" s="55"/>
      <c r="S652" s="56" t="s">
        <v>58</v>
      </c>
      <c r="T652" s="55" t="s">
        <v>81</v>
      </c>
      <c r="U652" s="73">
        <v>0.1</v>
      </c>
      <c r="V652" s="57" t="s">
        <v>101</v>
      </c>
      <c r="W652" s="55"/>
      <c r="X652" s="54" t="s">
        <v>4661</v>
      </c>
      <c r="Y652" s="52"/>
      <c r="Z652" s="3" t="s">
        <v>154</v>
      </c>
      <c r="AA652" s="3" t="s">
        <v>1632</v>
      </c>
      <c r="AB652" s="3"/>
      <c r="AC652" s="3"/>
      <c r="AD652" s="3" t="s">
        <v>62</v>
      </c>
      <c r="AE652" s="3" t="s">
        <v>83</v>
      </c>
      <c r="AF652" s="3" t="s">
        <v>431</v>
      </c>
      <c r="AG652" s="1" t="s">
        <v>432</v>
      </c>
      <c r="AH652" s="59">
        <v>61.5</v>
      </c>
      <c r="AI652" s="1" t="s">
        <v>433</v>
      </c>
      <c r="AJ652" s="59">
        <v>38.5</v>
      </c>
      <c r="AK652" s="3"/>
      <c r="AL652" s="53"/>
      <c r="AM652" s="3"/>
      <c r="AN652" s="53"/>
      <c r="AO652" s="3"/>
      <c r="AP652" s="53"/>
      <c r="AQ652" s="3"/>
      <c r="AR652" s="53"/>
      <c r="AS652" s="3"/>
      <c r="AT652" s="53"/>
      <c r="AU652" s="3"/>
      <c r="AV652" s="53"/>
      <c r="AW652" s="3"/>
      <c r="AX652" s="53"/>
      <c r="AY652" s="3"/>
      <c r="AZ652" s="4" t="s">
        <v>3961</v>
      </c>
      <c r="BA652" s="4" t="s">
        <v>3962</v>
      </c>
      <c r="BB652" s="1"/>
      <c r="BC652" s="1"/>
    </row>
    <row r="653" spans="1:55" s="78" customFormat="1" ht="15" customHeight="1" x14ac:dyDescent="0.25">
      <c r="A653" s="52" t="s">
        <v>4662</v>
      </c>
      <c r="B653" s="34" t="s">
        <v>59</v>
      </c>
      <c r="C653" s="53">
        <v>2026</v>
      </c>
      <c r="D653" s="53">
        <v>2026</v>
      </c>
      <c r="E653" s="54" t="s">
        <v>3368</v>
      </c>
      <c r="F653" s="55" t="s">
        <v>50</v>
      </c>
      <c r="G653" s="55" t="s">
        <v>50</v>
      </c>
      <c r="H653" s="45" t="s">
        <v>1631</v>
      </c>
      <c r="I653" s="56" t="s">
        <v>52</v>
      </c>
      <c r="J653" s="56"/>
      <c r="K653" s="55" t="s">
        <v>71</v>
      </c>
      <c r="L653" s="55"/>
      <c r="M653" s="55"/>
      <c r="N653" s="55" t="s">
        <v>110</v>
      </c>
      <c r="O653" s="45" t="s">
        <v>296</v>
      </c>
      <c r="P653" s="55" t="s">
        <v>73</v>
      </c>
      <c r="Q653" s="55" t="s">
        <v>57</v>
      </c>
      <c r="R653" s="55"/>
      <c r="S653" s="56" t="s">
        <v>58</v>
      </c>
      <c r="T653" s="55" t="str">
        <f>IF(ISNUMBER(SEARCH(",",N653)),"Y","N")</f>
        <v>N</v>
      </c>
      <c r="U653" s="57">
        <v>8</v>
      </c>
      <c r="V653" s="57" t="s">
        <v>101</v>
      </c>
      <c r="W653" s="55"/>
      <c r="X653" s="54" t="s">
        <v>4662</v>
      </c>
      <c r="Y653" s="52"/>
      <c r="Z653" s="3" t="s">
        <v>154</v>
      </c>
      <c r="AA653" s="3" t="s">
        <v>1632</v>
      </c>
      <c r="AB653" s="3"/>
      <c r="AC653" s="3"/>
      <c r="AD653" s="3" t="s">
        <v>62</v>
      </c>
      <c r="AE653" s="3" t="s">
        <v>83</v>
      </c>
      <c r="AF653" s="1" t="s">
        <v>431</v>
      </c>
      <c r="AG653" s="1" t="s">
        <v>432</v>
      </c>
      <c r="AH653" s="53">
        <v>61.5</v>
      </c>
      <c r="AI653" s="1" t="s">
        <v>433</v>
      </c>
      <c r="AJ653" s="59">
        <v>38.5</v>
      </c>
      <c r="AK653" s="3"/>
      <c r="AL653" s="53"/>
      <c r="AM653" s="3"/>
      <c r="AN653" s="53"/>
      <c r="AO653" s="3"/>
      <c r="AP653" s="53"/>
      <c r="AQ653" s="3"/>
      <c r="AR653" s="53"/>
      <c r="AS653" s="3"/>
      <c r="AT653" s="53"/>
      <c r="AU653" s="3"/>
      <c r="AV653" s="53"/>
      <c r="AW653" s="3"/>
      <c r="AX653" s="53"/>
      <c r="AY653" s="3"/>
      <c r="AZ653" s="4" t="s">
        <v>3961</v>
      </c>
      <c r="BA653" s="4" t="s">
        <v>3962</v>
      </c>
      <c r="BB653" s="1"/>
      <c r="BC653" s="1"/>
    </row>
    <row r="654" spans="1:55" s="78" customFormat="1" ht="15" customHeight="1" x14ac:dyDescent="0.25">
      <c r="A654" s="52" t="s">
        <v>4663</v>
      </c>
      <c r="B654" s="34" t="s">
        <v>59</v>
      </c>
      <c r="C654" s="53">
        <v>2026</v>
      </c>
      <c r="D654" s="53">
        <v>2026</v>
      </c>
      <c r="E654" s="54" t="s">
        <v>3369</v>
      </c>
      <c r="F654" s="55" t="s">
        <v>50</v>
      </c>
      <c r="G654" s="55" t="s">
        <v>50</v>
      </c>
      <c r="H654" s="45" t="s">
        <v>1633</v>
      </c>
      <c r="I654" s="56" t="s">
        <v>78</v>
      </c>
      <c r="J654" s="56"/>
      <c r="K654" s="55" t="s">
        <v>71</v>
      </c>
      <c r="L654" s="55" t="s">
        <v>88</v>
      </c>
      <c r="M654" s="55"/>
      <c r="N654" s="55" t="s">
        <v>181</v>
      </c>
      <c r="O654" s="55"/>
      <c r="P654" s="55" t="s">
        <v>73</v>
      </c>
      <c r="Q654" s="55" t="s">
        <v>57</v>
      </c>
      <c r="R654" s="55"/>
      <c r="S654" s="56" t="s">
        <v>58</v>
      </c>
      <c r="T654" s="55" t="str">
        <f>IF(ISNUMBER(SEARCH(",",N654)),"Y","N")</f>
        <v>N</v>
      </c>
      <c r="U654" s="57">
        <v>8</v>
      </c>
      <c r="V654" s="57" t="s">
        <v>101</v>
      </c>
      <c r="W654" s="55"/>
      <c r="X654" s="54" t="s">
        <v>4663</v>
      </c>
      <c r="Y654" s="52"/>
      <c r="Z654" s="3" t="s">
        <v>2005</v>
      </c>
      <c r="AA654" s="3" t="s">
        <v>1632</v>
      </c>
      <c r="AB654" s="3"/>
      <c r="AC654" s="3"/>
      <c r="AD654" s="3" t="s">
        <v>62</v>
      </c>
      <c r="AE654" s="3" t="s">
        <v>83</v>
      </c>
      <c r="AF654" s="1" t="s">
        <v>431</v>
      </c>
      <c r="AG654" s="1" t="s">
        <v>432</v>
      </c>
      <c r="AH654" s="53">
        <v>61.5</v>
      </c>
      <c r="AI654" s="1" t="s">
        <v>433</v>
      </c>
      <c r="AJ654" s="59">
        <v>38.5</v>
      </c>
      <c r="AK654" s="3"/>
      <c r="AL654" s="53"/>
      <c r="AM654" s="3"/>
      <c r="AN654" s="53"/>
      <c r="AO654" s="3"/>
      <c r="AP654" s="53"/>
      <c r="AQ654" s="3"/>
      <c r="AR654" s="53"/>
      <c r="AS654" s="3"/>
      <c r="AT654" s="53"/>
      <c r="AU654" s="3"/>
      <c r="AV654" s="53"/>
      <c r="AW654" s="3"/>
      <c r="AX654" s="53"/>
      <c r="AY654" s="3"/>
      <c r="AZ654" s="4" t="s">
        <v>3961</v>
      </c>
      <c r="BA654" s="4" t="s">
        <v>3963</v>
      </c>
      <c r="BB654" s="1"/>
      <c r="BC654" s="1"/>
    </row>
    <row r="655" spans="1:55" s="78" customFormat="1" ht="15" customHeight="1" x14ac:dyDescent="0.25">
      <c r="A655" s="52" t="s">
        <v>4664</v>
      </c>
      <c r="B655" s="34" t="s">
        <v>59</v>
      </c>
      <c r="C655" s="53">
        <v>2026</v>
      </c>
      <c r="D655" s="53">
        <v>2026</v>
      </c>
      <c r="E655" s="54" t="s">
        <v>3369</v>
      </c>
      <c r="F655" s="55" t="s">
        <v>50</v>
      </c>
      <c r="G655" s="55" t="s">
        <v>50</v>
      </c>
      <c r="H655" s="45" t="s">
        <v>1633</v>
      </c>
      <c r="I655" s="56" t="s">
        <v>78</v>
      </c>
      <c r="J655" s="56"/>
      <c r="K655" s="55" t="s">
        <v>74</v>
      </c>
      <c r="L655" s="55" t="s">
        <v>88</v>
      </c>
      <c r="M655" s="55"/>
      <c r="N655" s="55" t="s">
        <v>181</v>
      </c>
      <c r="O655" s="55"/>
      <c r="P655" s="55" t="s">
        <v>75</v>
      </c>
      <c r="Q655" s="56" t="s">
        <v>57</v>
      </c>
      <c r="R655" s="55"/>
      <c r="S655" s="56" t="s">
        <v>58</v>
      </c>
      <c r="T655" s="55" t="str">
        <f>IF(ISNUMBER(SEARCH(",",N655)),"Y","N")</f>
        <v>N</v>
      </c>
      <c r="U655" s="73">
        <v>0.1</v>
      </c>
      <c r="V655" s="57" t="s">
        <v>101</v>
      </c>
      <c r="W655" s="55"/>
      <c r="X655" s="54" t="s">
        <v>4664</v>
      </c>
      <c r="Y655" s="52"/>
      <c r="Z655" s="3" t="s">
        <v>2005</v>
      </c>
      <c r="AA655" s="3" t="s">
        <v>1632</v>
      </c>
      <c r="AB655" s="3"/>
      <c r="AC655" s="3"/>
      <c r="AD655" s="3" t="s">
        <v>62</v>
      </c>
      <c r="AE655" s="3" t="s">
        <v>83</v>
      </c>
      <c r="AF655" s="1" t="s">
        <v>431</v>
      </c>
      <c r="AG655" s="1" t="s">
        <v>432</v>
      </c>
      <c r="AH655" s="59">
        <v>61.5</v>
      </c>
      <c r="AI655" s="1" t="s">
        <v>433</v>
      </c>
      <c r="AJ655" s="59">
        <v>38.5</v>
      </c>
      <c r="AK655" s="3"/>
      <c r="AL655" s="53"/>
      <c r="AM655" s="3"/>
      <c r="AN655" s="53"/>
      <c r="AO655" s="3"/>
      <c r="AP655" s="53"/>
      <c r="AQ655" s="3"/>
      <c r="AR655" s="53"/>
      <c r="AS655" s="3"/>
      <c r="AT655" s="53"/>
      <c r="AU655" s="3"/>
      <c r="AV655" s="53"/>
      <c r="AW655" s="3"/>
      <c r="AX655" s="53"/>
      <c r="AY655" s="3"/>
      <c r="AZ655" s="4" t="s">
        <v>3961</v>
      </c>
      <c r="BA655" s="4" t="s">
        <v>3962</v>
      </c>
      <c r="BB655" s="1"/>
      <c r="BC655" s="1"/>
    </row>
    <row r="656" spans="1:55" s="78" customFormat="1" ht="15" customHeight="1" x14ac:dyDescent="0.25">
      <c r="A656" s="52" t="s">
        <v>4665</v>
      </c>
      <c r="B656" s="34" t="s">
        <v>59</v>
      </c>
      <c r="C656" s="53">
        <v>2026</v>
      </c>
      <c r="D656" s="53">
        <v>2026</v>
      </c>
      <c r="E656" s="54" t="s">
        <v>3370</v>
      </c>
      <c r="F656" s="55" t="s">
        <v>50</v>
      </c>
      <c r="G656" s="55" t="s">
        <v>50</v>
      </c>
      <c r="H656" s="45" t="s">
        <v>1635</v>
      </c>
      <c r="I656" s="45" t="s">
        <v>52</v>
      </c>
      <c r="J656" s="56"/>
      <c r="K656" s="55" t="s">
        <v>71</v>
      </c>
      <c r="L656" s="55" t="str">
        <f>IF(K656="Mine or Quarry","Mine","")</f>
        <v/>
      </c>
      <c r="M656" s="55"/>
      <c r="N656" s="55" t="s">
        <v>110</v>
      </c>
      <c r="O656" s="55"/>
      <c r="P656" s="55" t="s">
        <v>73</v>
      </c>
      <c r="Q656" s="55" t="s">
        <v>57</v>
      </c>
      <c r="R656" s="55"/>
      <c r="S656" s="56" t="s">
        <v>81</v>
      </c>
      <c r="T656" s="55" t="str">
        <f>IF(ISNUMBER(SEARCH(",",N656)),"Y","N")</f>
        <v>N</v>
      </c>
      <c r="U656" s="57">
        <v>-999</v>
      </c>
      <c r="V656" s="57" t="s">
        <v>59</v>
      </c>
      <c r="W656" s="55" t="s">
        <v>2319</v>
      </c>
      <c r="X656" s="54" t="s">
        <v>4665</v>
      </c>
      <c r="Y656" s="52"/>
      <c r="Z656" s="3" t="s">
        <v>61</v>
      </c>
      <c r="AA656" s="3" t="s">
        <v>1636</v>
      </c>
      <c r="AB656" s="3"/>
      <c r="AC656" s="3"/>
      <c r="AD656" s="3" t="s">
        <v>62</v>
      </c>
      <c r="AE656" s="3" t="s">
        <v>718</v>
      </c>
      <c r="AF656" s="3"/>
      <c r="AG656" s="3" t="s">
        <v>1637</v>
      </c>
      <c r="AH656" s="58">
        <v>100</v>
      </c>
      <c r="AI656" s="3"/>
      <c r="AJ656" s="3"/>
      <c r="AK656" s="3"/>
      <c r="AL656" s="3"/>
      <c r="AM656" s="3"/>
      <c r="AN656" s="3"/>
      <c r="AO656" s="3"/>
      <c r="AP656" s="3"/>
      <c r="AQ656" s="3"/>
      <c r="AR656" s="3"/>
      <c r="AS656" s="3"/>
      <c r="AT656" s="3"/>
      <c r="AU656" s="3"/>
      <c r="AV656" s="3"/>
      <c r="AW656" s="3"/>
      <c r="AX656" s="3"/>
      <c r="AY656" s="3"/>
      <c r="AZ656" s="4" t="s">
        <v>1634</v>
      </c>
      <c r="BA656" s="3"/>
      <c r="BB656" s="1"/>
      <c r="BC656" s="1"/>
    </row>
    <row r="657" spans="1:55" s="78" customFormat="1" ht="15" customHeight="1" x14ac:dyDescent="0.25">
      <c r="A657" s="52" t="s">
        <v>4666</v>
      </c>
      <c r="B657" s="34" t="s">
        <v>59</v>
      </c>
      <c r="C657" s="53">
        <v>2026</v>
      </c>
      <c r="D657" s="53">
        <v>2026</v>
      </c>
      <c r="E657" s="54" t="s">
        <v>3371</v>
      </c>
      <c r="F657" s="55" t="s">
        <v>50</v>
      </c>
      <c r="G657" s="55" t="s">
        <v>50</v>
      </c>
      <c r="H657" s="45" t="s">
        <v>1638</v>
      </c>
      <c r="I657" s="45" t="s">
        <v>52</v>
      </c>
      <c r="J657" s="56" t="s">
        <v>165</v>
      </c>
      <c r="K657" s="56" t="s">
        <v>166</v>
      </c>
      <c r="L657" s="55"/>
      <c r="M657" s="55"/>
      <c r="N657" s="56" t="s">
        <v>280</v>
      </c>
      <c r="O657" s="56"/>
      <c r="P657" s="56" t="s">
        <v>89</v>
      </c>
      <c r="Q657" s="56" t="s">
        <v>89</v>
      </c>
      <c r="R657" s="55"/>
      <c r="S657" s="56" t="s">
        <v>81</v>
      </c>
      <c r="T657" s="55" t="s">
        <v>81</v>
      </c>
      <c r="U657" s="57">
        <v>-999</v>
      </c>
      <c r="V657" s="57" t="s">
        <v>59</v>
      </c>
      <c r="W657" s="55" t="s">
        <v>2319</v>
      </c>
      <c r="X657" s="54" t="s">
        <v>4666</v>
      </c>
      <c r="Y657" s="52"/>
      <c r="Z657" s="1" t="s">
        <v>61</v>
      </c>
      <c r="AA657" s="1" t="s">
        <v>1639</v>
      </c>
      <c r="AB657" s="1"/>
      <c r="AC657" s="1"/>
      <c r="AD657" s="3" t="s">
        <v>62</v>
      </c>
      <c r="AE657" s="3" t="s">
        <v>464</v>
      </c>
      <c r="AF657" s="3" t="s">
        <v>282</v>
      </c>
      <c r="AG657" s="3" t="s">
        <v>283</v>
      </c>
      <c r="AH657" s="58">
        <v>100</v>
      </c>
      <c r="AI657" s="1"/>
      <c r="AJ657" s="1"/>
      <c r="AK657" s="1"/>
      <c r="AL657" s="1"/>
      <c r="AM657" s="1"/>
      <c r="AN657" s="1"/>
      <c r="AO657" s="1"/>
      <c r="AP657" s="1"/>
      <c r="AQ657" s="1"/>
      <c r="AR657" s="1"/>
      <c r="AS657" s="1"/>
      <c r="AT657" s="1"/>
      <c r="AU657" s="1"/>
      <c r="AV657" s="1"/>
      <c r="AW657" s="1"/>
      <c r="AX657" s="1"/>
      <c r="AY657" s="1"/>
      <c r="AZ657" s="4" t="s">
        <v>163</v>
      </c>
      <c r="BA657" s="1"/>
      <c r="BB657" s="1"/>
      <c r="BC657" s="1"/>
    </row>
    <row r="658" spans="1:55" s="78" customFormat="1" ht="15" customHeight="1" x14ac:dyDescent="0.25">
      <c r="A658" s="52" t="s">
        <v>4667</v>
      </c>
      <c r="B658" s="34" t="s">
        <v>59</v>
      </c>
      <c r="C658" s="53">
        <v>2026</v>
      </c>
      <c r="D658" s="53">
        <v>2026</v>
      </c>
      <c r="E658" s="54" t="s">
        <v>3372</v>
      </c>
      <c r="F658" s="55" t="s">
        <v>50</v>
      </c>
      <c r="G658" s="55" t="s">
        <v>50</v>
      </c>
      <c r="H658" s="45" t="s">
        <v>1641</v>
      </c>
      <c r="I658" s="45" t="s">
        <v>52</v>
      </c>
      <c r="J658" s="56"/>
      <c r="K658" s="55" t="s">
        <v>210</v>
      </c>
      <c r="L658" s="55" t="s">
        <v>54</v>
      </c>
      <c r="M658" s="55" t="s">
        <v>211</v>
      </c>
      <c r="N658" s="55" t="s">
        <v>212</v>
      </c>
      <c r="O658" s="55"/>
      <c r="P658" s="55" t="s">
        <v>89</v>
      </c>
      <c r="Q658" s="55" t="s">
        <v>89</v>
      </c>
      <c r="R658" s="55"/>
      <c r="S658" s="56" t="s">
        <v>81</v>
      </c>
      <c r="T658" s="55" t="s">
        <v>81</v>
      </c>
      <c r="U658" s="57">
        <v>-999</v>
      </c>
      <c r="V658" s="57" t="s">
        <v>59</v>
      </c>
      <c r="W658" s="55" t="s">
        <v>2319</v>
      </c>
      <c r="X658" s="54" t="s">
        <v>4667</v>
      </c>
      <c r="Y658" s="52"/>
      <c r="Z658" s="3" t="s">
        <v>61</v>
      </c>
      <c r="AA658" s="1" t="s">
        <v>1642</v>
      </c>
      <c r="AB658" s="1"/>
      <c r="AC658" s="1"/>
      <c r="AD658" s="3" t="s">
        <v>62</v>
      </c>
      <c r="AE658" s="3" t="s">
        <v>464</v>
      </c>
      <c r="AF658" s="3"/>
      <c r="AG658" s="1" t="s">
        <v>1549</v>
      </c>
      <c r="AH658" s="2">
        <v>100</v>
      </c>
      <c r="AI658" s="1"/>
      <c r="AJ658" s="2"/>
      <c r="AK658" s="3"/>
      <c r="AL658" s="3"/>
      <c r="AM658" s="3"/>
      <c r="AN658" s="3"/>
      <c r="AO658" s="3"/>
      <c r="AP658" s="3"/>
      <c r="AQ658" s="3"/>
      <c r="AR658" s="3"/>
      <c r="AS658" s="3"/>
      <c r="AT658" s="3"/>
      <c r="AU658" s="3"/>
      <c r="AV658" s="3"/>
      <c r="AW658" s="3"/>
      <c r="AX658" s="3"/>
      <c r="AY658" s="3"/>
      <c r="AZ658" s="4" t="s">
        <v>1640</v>
      </c>
      <c r="BA658" s="3"/>
      <c r="BB658" s="1"/>
      <c r="BC658" s="1"/>
    </row>
    <row r="659" spans="1:55" s="78" customFormat="1" ht="15" customHeight="1" x14ac:dyDescent="0.25">
      <c r="A659" s="52" t="s">
        <v>4668</v>
      </c>
      <c r="B659" s="34" t="s">
        <v>59</v>
      </c>
      <c r="C659" s="53">
        <v>2026</v>
      </c>
      <c r="D659" s="53">
        <v>2026</v>
      </c>
      <c r="E659" s="54" t="s">
        <v>3373</v>
      </c>
      <c r="F659" s="55" t="s">
        <v>50</v>
      </c>
      <c r="G659" s="55" t="s">
        <v>50</v>
      </c>
      <c r="H659" s="45" t="s">
        <v>1644</v>
      </c>
      <c r="I659" s="56" t="s">
        <v>78</v>
      </c>
      <c r="J659" s="56"/>
      <c r="K659" s="45" t="s">
        <v>180</v>
      </c>
      <c r="L659" s="55" t="str">
        <f>IF(K659="Mine or Quarry","Mine","")</f>
        <v/>
      </c>
      <c r="M659" s="55"/>
      <c r="N659" s="55" t="s">
        <v>110</v>
      </c>
      <c r="O659" s="55" t="s">
        <v>188</v>
      </c>
      <c r="P659" s="55" t="s">
        <v>182</v>
      </c>
      <c r="Q659" s="55" t="s">
        <v>5353</v>
      </c>
      <c r="R659" s="55"/>
      <c r="S659" s="56" t="s">
        <v>81</v>
      </c>
      <c r="T659" s="55" t="s">
        <v>81</v>
      </c>
      <c r="U659" s="57">
        <v>540</v>
      </c>
      <c r="V659" s="57" t="s">
        <v>101</v>
      </c>
      <c r="W659" s="55"/>
      <c r="X659" s="54" t="s">
        <v>4668</v>
      </c>
      <c r="Y659" s="60"/>
      <c r="Z659" s="1" t="s">
        <v>61</v>
      </c>
      <c r="AA659" s="3" t="s">
        <v>1645</v>
      </c>
      <c r="AB659" s="3"/>
      <c r="AC659" s="3"/>
      <c r="AD659" s="3" t="s">
        <v>62</v>
      </c>
      <c r="AE659" s="1" t="s">
        <v>387</v>
      </c>
      <c r="AF659" s="1"/>
      <c r="AG659" s="3" t="s">
        <v>1646</v>
      </c>
      <c r="AH659" s="58">
        <v>100</v>
      </c>
      <c r="AI659" s="3"/>
      <c r="AJ659" s="53"/>
      <c r="AK659" s="3"/>
      <c r="AL659" s="3"/>
      <c r="AM659" s="3"/>
      <c r="AN659" s="3"/>
      <c r="AO659" s="3"/>
      <c r="AP659" s="3"/>
      <c r="AQ659" s="3"/>
      <c r="AR659" s="3"/>
      <c r="AS659" s="3"/>
      <c r="AT659" s="3"/>
      <c r="AU659" s="3"/>
      <c r="AV659" s="3"/>
      <c r="AW659" s="3"/>
      <c r="AX659" s="3"/>
      <c r="AY659" s="3"/>
      <c r="AZ659" s="2" t="s">
        <v>1643</v>
      </c>
      <c r="BA659" s="3"/>
      <c r="BB659" s="1"/>
      <c r="BC659" s="1"/>
    </row>
    <row r="660" spans="1:55" s="78" customFormat="1" ht="15" customHeight="1" x14ac:dyDescent="0.25">
      <c r="A660" s="52" t="s">
        <v>4669</v>
      </c>
      <c r="B660" s="34" t="s">
        <v>59</v>
      </c>
      <c r="C660" s="53">
        <v>2026</v>
      </c>
      <c r="D660" s="53">
        <v>2026</v>
      </c>
      <c r="E660" s="54" t="s">
        <v>3374</v>
      </c>
      <c r="F660" s="55" t="s">
        <v>50</v>
      </c>
      <c r="G660" s="55" t="s">
        <v>50</v>
      </c>
      <c r="H660" s="45" t="s">
        <v>1647</v>
      </c>
      <c r="I660" s="56" t="s">
        <v>52</v>
      </c>
      <c r="J660" s="56"/>
      <c r="K660" s="45" t="s">
        <v>180</v>
      </c>
      <c r="L660" s="55" t="str">
        <f>IF(K660="Mine or Quarry","Mine","")</f>
        <v/>
      </c>
      <c r="M660" s="55"/>
      <c r="N660" s="56" t="s">
        <v>110</v>
      </c>
      <c r="O660" s="55" t="s">
        <v>188</v>
      </c>
      <c r="P660" s="55" t="s">
        <v>182</v>
      </c>
      <c r="Q660" s="55" t="s">
        <v>5353</v>
      </c>
      <c r="R660" s="55"/>
      <c r="S660" s="56" t="s">
        <v>81</v>
      </c>
      <c r="T660" s="55" t="str">
        <f>IF(ISNUMBER(SEARCH(",",N660)),"Y","N")</f>
        <v>N</v>
      </c>
      <c r="U660" s="57">
        <v>540</v>
      </c>
      <c r="V660" s="57" t="s">
        <v>101</v>
      </c>
      <c r="W660" s="55"/>
      <c r="X660" s="54" t="s">
        <v>4669</v>
      </c>
      <c r="Y660" s="60"/>
      <c r="Z660" s="2" t="s">
        <v>61</v>
      </c>
      <c r="AA660" s="3" t="s">
        <v>1645</v>
      </c>
      <c r="AB660" s="3"/>
      <c r="AC660" s="3"/>
      <c r="AD660" s="3" t="s">
        <v>62</v>
      </c>
      <c r="AE660" s="2" t="s">
        <v>387</v>
      </c>
      <c r="AF660" s="2"/>
      <c r="AG660" s="3" t="s">
        <v>1646</v>
      </c>
      <c r="AH660" s="58">
        <v>100</v>
      </c>
      <c r="AI660" s="1"/>
      <c r="AJ660" s="60"/>
      <c r="AK660" s="1"/>
      <c r="AL660" s="1"/>
      <c r="AM660" s="1"/>
      <c r="AN660" s="1"/>
      <c r="AO660" s="1"/>
      <c r="AP660" s="1"/>
      <c r="AQ660" s="1"/>
      <c r="AR660" s="1"/>
      <c r="AS660" s="1"/>
      <c r="AT660" s="1"/>
      <c r="AU660" s="1"/>
      <c r="AV660" s="1"/>
      <c r="AW660" s="1"/>
      <c r="AX660" s="1"/>
      <c r="AY660" s="1"/>
      <c r="AZ660" s="2" t="s">
        <v>1643</v>
      </c>
      <c r="BA660" s="1"/>
      <c r="BB660" s="1"/>
      <c r="BC660" s="1"/>
    </row>
    <row r="661" spans="1:55" s="78" customFormat="1" ht="15" customHeight="1" x14ac:dyDescent="0.25">
      <c r="A661" s="52" t="s">
        <v>4670</v>
      </c>
      <c r="B661" s="34" t="s">
        <v>59</v>
      </c>
      <c r="C661" s="53">
        <v>2026</v>
      </c>
      <c r="D661" s="53">
        <v>2026</v>
      </c>
      <c r="E661" s="54" t="s">
        <v>3375</v>
      </c>
      <c r="F661" s="55" t="s">
        <v>50</v>
      </c>
      <c r="G661" s="55" t="s">
        <v>50</v>
      </c>
      <c r="H661" s="45" t="s">
        <v>1649</v>
      </c>
      <c r="I661" s="56" t="s">
        <v>78</v>
      </c>
      <c r="J661" s="56"/>
      <c r="K661" s="56" t="s">
        <v>79</v>
      </c>
      <c r="L661" s="55" t="str">
        <f>IF(K661="Mine or Quarry","Mine","")</f>
        <v/>
      </c>
      <c r="M661" s="55"/>
      <c r="N661" s="56" t="s">
        <v>80</v>
      </c>
      <c r="O661" s="56"/>
      <c r="P661" s="56" t="s">
        <v>89</v>
      </c>
      <c r="Q661" s="56" t="s">
        <v>89</v>
      </c>
      <c r="R661" s="55"/>
      <c r="S661" s="56" t="s">
        <v>81</v>
      </c>
      <c r="T661" s="55" t="str">
        <f>IF(ISNUMBER(SEARCH(",",N661)),"Y","N")</f>
        <v>N</v>
      </c>
      <c r="U661" s="57">
        <v>-999</v>
      </c>
      <c r="V661" s="57" t="s">
        <v>59</v>
      </c>
      <c r="W661" s="55" t="s">
        <v>2319</v>
      </c>
      <c r="X661" s="54" t="s">
        <v>4670</v>
      </c>
      <c r="Y661" s="52"/>
      <c r="Z661" s="1" t="s">
        <v>61</v>
      </c>
      <c r="AA661" s="1" t="s">
        <v>1650</v>
      </c>
      <c r="AB661" s="1"/>
      <c r="AC661" s="1"/>
      <c r="AD661" s="3" t="s">
        <v>62</v>
      </c>
      <c r="AE661" s="1" t="s">
        <v>464</v>
      </c>
      <c r="AF661" s="1" t="s">
        <v>1651</v>
      </c>
      <c r="AG661" s="1" t="s">
        <v>1652</v>
      </c>
      <c r="AH661" s="1"/>
      <c r="AI661" s="1"/>
      <c r="AJ661" s="1"/>
      <c r="AK661" s="1"/>
      <c r="AL661" s="1"/>
      <c r="AM661" s="1"/>
      <c r="AN661" s="1"/>
      <c r="AO661" s="1"/>
      <c r="AP661" s="1"/>
      <c r="AQ661" s="1"/>
      <c r="AR661" s="1"/>
      <c r="AS661" s="1"/>
      <c r="AT661" s="1"/>
      <c r="AU661" s="1"/>
      <c r="AV661" s="1"/>
      <c r="AW661" s="1"/>
      <c r="AX661" s="1"/>
      <c r="AY661" s="1"/>
      <c r="AZ661" s="5" t="s">
        <v>1648</v>
      </c>
      <c r="BA661" s="5"/>
      <c r="BB661" s="1"/>
      <c r="BC661" s="1"/>
    </row>
    <row r="662" spans="1:55" s="78" customFormat="1" ht="15" customHeight="1" x14ac:dyDescent="0.25">
      <c r="A662" s="52" t="s">
        <v>4671</v>
      </c>
      <c r="B662" s="34" t="s">
        <v>59</v>
      </c>
      <c r="C662" s="53">
        <v>2026</v>
      </c>
      <c r="D662" s="53">
        <v>2026</v>
      </c>
      <c r="E662" s="54" t="s">
        <v>3376</v>
      </c>
      <c r="F662" s="55" t="s">
        <v>50</v>
      </c>
      <c r="G662" s="55" t="s">
        <v>50</v>
      </c>
      <c r="H662" s="45" t="s">
        <v>1654</v>
      </c>
      <c r="I662" s="56" t="s">
        <v>78</v>
      </c>
      <c r="J662" s="56"/>
      <c r="K662" s="56" t="s">
        <v>285</v>
      </c>
      <c r="L662" s="55" t="s">
        <v>88</v>
      </c>
      <c r="M662" s="55"/>
      <c r="N662" s="56" t="s">
        <v>181</v>
      </c>
      <c r="O662" s="56" t="s">
        <v>1655</v>
      </c>
      <c r="P662" s="56" t="s">
        <v>89</v>
      </c>
      <c r="Q662" s="56" t="s">
        <v>89</v>
      </c>
      <c r="R662" s="55"/>
      <c r="S662" s="56" t="s">
        <v>81</v>
      </c>
      <c r="T662" s="55" t="str">
        <f>IF(ISNUMBER(SEARCH(",",N662)),"Y","N")</f>
        <v>N</v>
      </c>
      <c r="U662" s="57">
        <v>56000</v>
      </c>
      <c r="V662" s="57" t="s">
        <v>101</v>
      </c>
      <c r="W662" s="55" t="s">
        <v>2319</v>
      </c>
      <c r="X662" s="54" t="s">
        <v>4671</v>
      </c>
      <c r="Y662" s="52"/>
      <c r="Z662" s="1" t="s">
        <v>154</v>
      </c>
      <c r="AA662" s="1" t="s">
        <v>946</v>
      </c>
      <c r="AB662" s="1"/>
      <c r="AC662" s="1"/>
      <c r="AD662" s="3" t="s">
        <v>62</v>
      </c>
      <c r="AE662" s="1" t="s">
        <v>251</v>
      </c>
      <c r="AF662" s="1"/>
      <c r="AG662" s="1" t="s">
        <v>1656</v>
      </c>
      <c r="AH662" s="2">
        <v>100</v>
      </c>
      <c r="AI662" s="1"/>
      <c r="AJ662" s="1"/>
      <c r="AK662" s="1"/>
      <c r="AL662" s="1"/>
      <c r="AM662" s="1"/>
      <c r="AN662" s="1"/>
      <c r="AO662" s="1"/>
      <c r="AP662" s="1"/>
      <c r="AQ662" s="1"/>
      <c r="AR662" s="1"/>
      <c r="AS662" s="1"/>
      <c r="AT662" s="1"/>
      <c r="AU662" s="1"/>
      <c r="AV662" s="1"/>
      <c r="AW662" s="1"/>
      <c r="AX662" s="1"/>
      <c r="AY662" s="1"/>
      <c r="AZ662" s="4" t="s">
        <v>1653</v>
      </c>
      <c r="BA662" s="1"/>
      <c r="BB662" s="1"/>
      <c r="BC662" s="1"/>
    </row>
    <row r="663" spans="1:55" s="78" customFormat="1" ht="15" customHeight="1" x14ac:dyDescent="0.25">
      <c r="A663" s="52" t="s">
        <v>4672</v>
      </c>
      <c r="B663" s="34" t="s">
        <v>59</v>
      </c>
      <c r="C663" s="53">
        <v>2026</v>
      </c>
      <c r="D663" s="53">
        <v>2026</v>
      </c>
      <c r="E663" s="54" t="s">
        <v>3377</v>
      </c>
      <c r="F663" s="55" t="s">
        <v>50</v>
      </c>
      <c r="G663" s="55" t="s">
        <v>50</v>
      </c>
      <c r="H663" s="45" t="s">
        <v>1658</v>
      </c>
      <c r="I663" s="56" t="s">
        <v>52</v>
      </c>
      <c r="J663" s="56"/>
      <c r="K663" s="55" t="s">
        <v>135</v>
      </c>
      <c r="L663" s="55" t="s">
        <v>54</v>
      </c>
      <c r="M663" s="55"/>
      <c r="N663" s="55" t="s">
        <v>201</v>
      </c>
      <c r="O663" s="55"/>
      <c r="P663" s="55" t="s">
        <v>136</v>
      </c>
      <c r="Q663" s="55" t="s">
        <v>57</v>
      </c>
      <c r="R663" s="55"/>
      <c r="S663" s="56" t="s">
        <v>81</v>
      </c>
      <c r="T663" s="55" t="s">
        <v>81</v>
      </c>
      <c r="U663" s="57">
        <v>20800</v>
      </c>
      <c r="V663" s="57" t="s">
        <v>101</v>
      </c>
      <c r="W663" s="55" t="s">
        <v>2319</v>
      </c>
      <c r="X663" s="54" t="s">
        <v>4672</v>
      </c>
      <c r="Y663" s="52"/>
      <c r="Z663" s="3" t="s">
        <v>154</v>
      </c>
      <c r="AA663" s="3" t="s">
        <v>1659</v>
      </c>
      <c r="AB663" s="3"/>
      <c r="AC663" s="3"/>
      <c r="AD663" s="3" t="s">
        <v>62</v>
      </c>
      <c r="AE663" s="1" t="s">
        <v>206</v>
      </c>
      <c r="AF663" s="1"/>
      <c r="AG663" s="1" t="s">
        <v>1660</v>
      </c>
      <c r="AH663" s="2">
        <v>100</v>
      </c>
      <c r="AI663" s="3"/>
      <c r="AJ663" s="3"/>
      <c r="AK663" s="3"/>
      <c r="AL663" s="3"/>
      <c r="AM663" s="3"/>
      <c r="AN663" s="3"/>
      <c r="AO663" s="3"/>
      <c r="AP663" s="3"/>
      <c r="AQ663" s="3"/>
      <c r="AR663" s="3"/>
      <c r="AS663" s="3"/>
      <c r="AT663" s="3"/>
      <c r="AU663" s="3"/>
      <c r="AV663" s="3"/>
      <c r="AW663" s="3"/>
      <c r="AX663" s="3"/>
      <c r="AY663" s="3"/>
      <c r="AZ663" s="4" t="s">
        <v>1657</v>
      </c>
      <c r="BA663" s="3"/>
      <c r="BB663" s="1"/>
      <c r="BC663" s="1"/>
    </row>
    <row r="664" spans="1:55" s="78" customFormat="1" ht="15" customHeight="1" x14ac:dyDescent="0.25">
      <c r="A664" s="52" t="s">
        <v>4673</v>
      </c>
      <c r="B664" s="34" t="s">
        <v>59</v>
      </c>
      <c r="C664" s="53">
        <v>2026</v>
      </c>
      <c r="D664" s="53">
        <v>2026</v>
      </c>
      <c r="E664" s="54" t="s">
        <v>3378</v>
      </c>
      <c r="F664" s="55" t="s">
        <v>50</v>
      </c>
      <c r="G664" s="55" t="s">
        <v>50</v>
      </c>
      <c r="H664" s="45" t="s">
        <v>1662</v>
      </c>
      <c r="I664" s="56" t="s">
        <v>52</v>
      </c>
      <c r="J664" s="56"/>
      <c r="K664" s="56" t="s">
        <v>79</v>
      </c>
      <c r="L664" s="55" t="str">
        <f>IF(K664="Mine or Quarry","Mine","")</f>
        <v/>
      </c>
      <c r="M664" s="55"/>
      <c r="N664" s="56" t="s">
        <v>80</v>
      </c>
      <c r="O664" s="56"/>
      <c r="P664" s="56" t="s">
        <v>89</v>
      </c>
      <c r="Q664" s="56" t="s">
        <v>89</v>
      </c>
      <c r="R664" s="55"/>
      <c r="S664" s="56" t="s">
        <v>81</v>
      </c>
      <c r="T664" s="55" t="str">
        <f t="shared" ref="T664:T669" si="9">IF(ISNUMBER(SEARCH(",",N664)),"Y","N")</f>
        <v>N</v>
      </c>
      <c r="U664" s="57">
        <v>-999</v>
      </c>
      <c r="V664" s="57" t="s">
        <v>59</v>
      </c>
      <c r="W664" s="55" t="s">
        <v>2319</v>
      </c>
      <c r="X664" s="54" t="s">
        <v>4673</v>
      </c>
      <c r="Y664" s="52"/>
      <c r="Z664" s="1" t="s">
        <v>61</v>
      </c>
      <c r="AA664" s="1" t="s">
        <v>1663</v>
      </c>
      <c r="AB664" s="1"/>
      <c r="AC664" s="1"/>
      <c r="AD664" s="3" t="s">
        <v>62</v>
      </c>
      <c r="AE664" s="1" t="s">
        <v>387</v>
      </c>
      <c r="AF664" s="1" t="s">
        <v>775</v>
      </c>
      <c r="AG664" s="1" t="s">
        <v>776</v>
      </c>
      <c r="AH664" s="59">
        <v>100</v>
      </c>
      <c r="AI664" s="1"/>
      <c r="AJ664" s="1"/>
      <c r="AK664" s="1"/>
      <c r="AL664" s="1"/>
      <c r="AM664" s="1"/>
      <c r="AN664" s="1"/>
      <c r="AO664" s="1"/>
      <c r="AP664" s="1"/>
      <c r="AQ664" s="1"/>
      <c r="AR664" s="1"/>
      <c r="AS664" s="1"/>
      <c r="AT664" s="1"/>
      <c r="AU664" s="1"/>
      <c r="AV664" s="1"/>
      <c r="AW664" s="1"/>
      <c r="AX664" s="1"/>
      <c r="AY664" s="1"/>
      <c r="AZ664" s="5" t="s">
        <v>1661</v>
      </c>
      <c r="BA664" s="5"/>
      <c r="BB664" s="1"/>
      <c r="BC664" s="1"/>
    </row>
    <row r="665" spans="1:55" s="78" customFormat="1" ht="15" customHeight="1" x14ac:dyDescent="0.25">
      <c r="A665" s="52" t="s">
        <v>4674</v>
      </c>
      <c r="B665" s="34" t="s">
        <v>59</v>
      </c>
      <c r="C665" s="53">
        <v>2026</v>
      </c>
      <c r="D665" s="53">
        <v>2026</v>
      </c>
      <c r="E665" s="54" t="s">
        <v>3379</v>
      </c>
      <c r="F665" s="55" t="s">
        <v>50</v>
      </c>
      <c r="G665" s="55" t="s">
        <v>50</v>
      </c>
      <c r="H665" s="45" t="s">
        <v>1665</v>
      </c>
      <c r="I665" s="56" t="s">
        <v>78</v>
      </c>
      <c r="J665" s="56"/>
      <c r="K665" s="56" t="s">
        <v>313</v>
      </c>
      <c r="L665" s="55" t="s">
        <v>88</v>
      </c>
      <c r="M665" s="55"/>
      <c r="N665" s="56" t="s">
        <v>110</v>
      </c>
      <c r="O665" s="56"/>
      <c r="P665" s="61" t="s">
        <v>314</v>
      </c>
      <c r="Q665" s="61" t="s">
        <v>57</v>
      </c>
      <c r="R665" s="55"/>
      <c r="S665" s="56" t="s">
        <v>58</v>
      </c>
      <c r="T665" s="55" t="str">
        <f t="shared" si="9"/>
        <v>N</v>
      </c>
      <c r="U665" s="57">
        <v>13539</v>
      </c>
      <c r="V665" s="57" t="s">
        <v>101</v>
      </c>
      <c r="W665" s="55" t="s">
        <v>2319</v>
      </c>
      <c r="X665" s="54" t="s">
        <v>4674</v>
      </c>
      <c r="Y665" s="52"/>
      <c r="Z665" s="1" t="s">
        <v>61</v>
      </c>
      <c r="AA665" s="1" t="s">
        <v>1666</v>
      </c>
      <c r="AB665" s="1"/>
      <c r="AC665" s="1"/>
      <c r="AD665" s="3" t="s">
        <v>62</v>
      </c>
      <c r="AE665" s="1" t="s">
        <v>336</v>
      </c>
      <c r="AF665" s="1" t="s">
        <v>1493</v>
      </c>
      <c r="AG665" s="1" t="s">
        <v>1493</v>
      </c>
      <c r="AH665" s="2">
        <v>100</v>
      </c>
      <c r="AI665" s="1"/>
      <c r="AJ665" s="1"/>
      <c r="AK665" s="1"/>
      <c r="AL665" s="1"/>
      <c r="AM665" s="1"/>
      <c r="AN665" s="1"/>
      <c r="AO665" s="1"/>
      <c r="AP665" s="1"/>
      <c r="AQ665" s="1"/>
      <c r="AR665" s="1"/>
      <c r="AS665" s="1"/>
      <c r="AT665" s="1"/>
      <c r="AU665" s="1"/>
      <c r="AV665" s="1"/>
      <c r="AW665" s="1"/>
      <c r="AX665" s="1"/>
      <c r="AY665" s="1"/>
      <c r="AZ665" s="4" t="s">
        <v>1664</v>
      </c>
      <c r="BA665" s="4"/>
      <c r="BB665" s="1"/>
      <c r="BC665" s="1"/>
    </row>
    <row r="666" spans="1:55" s="78" customFormat="1" ht="15" customHeight="1" x14ac:dyDescent="0.25">
      <c r="A666" s="52" t="s">
        <v>4675</v>
      </c>
      <c r="B666" s="34" t="s">
        <v>59</v>
      </c>
      <c r="C666" s="53">
        <v>2026</v>
      </c>
      <c r="D666" s="53">
        <v>2026</v>
      </c>
      <c r="E666" s="54" t="s">
        <v>3379</v>
      </c>
      <c r="F666" s="55" t="s">
        <v>50</v>
      </c>
      <c r="G666" s="55" t="s">
        <v>50</v>
      </c>
      <c r="H666" s="45" t="s">
        <v>1665</v>
      </c>
      <c r="I666" s="56" t="s">
        <v>78</v>
      </c>
      <c r="J666" s="56"/>
      <c r="K666" s="56" t="s">
        <v>582</v>
      </c>
      <c r="L666" s="55" t="s">
        <v>88</v>
      </c>
      <c r="M666" s="55"/>
      <c r="N666" s="56" t="s">
        <v>110</v>
      </c>
      <c r="O666" s="56"/>
      <c r="P666" s="61" t="s">
        <v>583</v>
      </c>
      <c r="Q666" s="61" t="s">
        <v>57</v>
      </c>
      <c r="R666" s="55"/>
      <c r="S666" s="56" t="s">
        <v>58</v>
      </c>
      <c r="T666" s="55" t="str">
        <f t="shared" si="9"/>
        <v>N</v>
      </c>
      <c r="U666" s="57">
        <v>31102</v>
      </c>
      <c r="V666" s="57" t="s">
        <v>101</v>
      </c>
      <c r="W666" s="55" t="s">
        <v>2319</v>
      </c>
      <c r="X666" s="54" t="s">
        <v>4675</v>
      </c>
      <c r="Y666" s="52"/>
      <c r="Z666" s="1" t="s">
        <v>61</v>
      </c>
      <c r="AA666" s="1" t="s">
        <v>1666</v>
      </c>
      <c r="AB666" s="1"/>
      <c r="AC666" s="1"/>
      <c r="AD666" s="3" t="s">
        <v>62</v>
      </c>
      <c r="AE666" s="1" t="s">
        <v>336</v>
      </c>
      <c r="AF666" s="1" t="s">
        <v>299</v>
      </c>
      <c r="AG666" s="1" t="s">
        <v>299</v>
      </c>
      <c r="AH666" s="53">
        <v>100</v>
      </c>
      <c r="AI666" s="3"/>
      <c r="AJ666" s="53"/>
      <c r="AK666" s="3"/>
      <c r="AL666" s="53"/>
      <c r="AM666" s="3"/>
      <c r="AN666" s="53"/>
      <c r="AO666" s="3"/>
      <c r="AP666" s="53"/>
      <c r="AQ666" s="3"/>
      <c r="AR666" s="53"/>
      <c r="AS666" s="3"/>
      <c r="AT666" s="53"/>
      <c r="AU666" s="3"/>
      <c r="AV666" s="53"/>
      <c r="AW666" s="3"/>
      <c r="AX666" s="53"/>
      <c r="AY666" s="1"/>
      <c r="AZ666" s="4" t="s">
        <v>1664</v>
      </c>
      <c r="BA666" s="4"/>
      <c r="BB666" s="1"/>
      <c r="BC666" s="1"/>
    </row>
    <row r="667" spans="1:55" s="78" customFormat="1" ht="15" customHeight="1" x14ac:dyDescent="0.25">
      <c r="A667" s="52" t="s">
        <v>4676</v>
      </c>
      <c r="B667" s="34" t="s">
        <v>59</v>
      </c>
      <c r="C667" s="53">
        <v>2026</v>
      </c>
      <c r="D667" s="53">
        <v>2026</v>
      </c>
      <c r="E667" s="54" t="s">
        <v>3379</v>
      </c>
      <c r="F667" s="55" t="s">
        <v>50</v>
      </c>
      <c r="G667" s="55" t="s">
        <v>50</v>
      </c>
      <c r="H667" s="45" t="s">
        <v>1665</v>
      </c>
      <c r="I667" s="56" t="s">
        <v>78</v>
      </c>
      <c r="J667" s="56"/>
      <c r="K667" s="56" t="s">
        <v>74</v>
      </c>
      <c r="L667" s="55" t="s">
        <v>88</v>
      </c>
      <c r="M667" s="55"/>
      <c r="N667" s="56" t="s">
        <v>110</v>
      </c>
      <c r="O667" s="56"/>
      <c r="P667" s="55" t="s">
        <v>75</v>
      </c>
      <c r="Q667" s="56" t="s">
        <v>57</v>
      </c>
      <c r="R667" s="55"/>
      <c r="S667" s="56" t="s">
        <v>58</v>
      </c>
      <c r="T667" s="55" t="str">
        <f t="shared" si="9"/>
        <v>N</v>
      </c>
      <c r="U667" s="72">
        <v>149.13800000000001</v>
      </c>
      <c r="V667" s="57" t="s">
        <v>101</v>
      </c>
      <c r="W667" s="55" t="s">
        <v>2319</v>
      </c>
      <c r="X667" s="54" t="s">
        <v>4676</v>
      </c>
      <c r="Y667" s="52"/>
      <c r="Z667" s="1" t="s">
        <v>61</v>
      </c>
      <c r="AA667" s="1" t="s">
        <v>1666</v>
      </c>
      <c r="AB667" s="1"/>
      <c r="AC667" s="1"/>
      <c r="AD667" s="3" t="s">
        <v>62</v>
      </c>
      <c r="AE667" s="1" t="s">
        <v>336</v>
      </c>
      <c r="AF667" s="1" t="s">
        <v>299</v>
      </c>
      <c r="AG667" s="1" t="s">
        <v>299</v>
      </c>
      <c r="AH667" s="53">
        <v>100</v>
      </c>
      <c r="AI667" s="3"/>
      <c r="AJ667" s="53"/>
      <c r="AK667" s="3"/>
      <c r="AL667" s="53"/>
      <c r="AM667" s="3"/>
      <c r="AN667" s="53"/>
      <c r="AO667" s="3"/>
      <c r="AP667" s="53"/>
      <c r="AQ667" s="3"/>
      <c r="AR667" s="53"/>
      <c r="AS667" s="3"/>
      <c r="AT667" s="53"/>
      <c r="AU667" s="3"/>
      <c r="AV667" s="53"/>
      <c r="AW667" s="3"/>
      <c r="AX667" s="53"/>
      <c r="AY667" s="1"/>
      <c r="AZ667" s="4" t="s">
        <v>1664</v>
      </c>
      <c r="BA667" s="4"/>
      <c r="BB667" s="1"/>
      <c r="BC667" s="1"/>
    </row>
    <row r="668" spans="1:55" s="78" customFormat="1" ht="15" customHeight="1" x14ac:dyDescent="0.25">
      <c r="A668" s="52" t="s">
        <v>4677</v>
      </c>
      <c r="B668" s="34" t="s">
        <v>59</v>
      </c>
      <c r="C668" s="53">
        <v>2026</v>
      </c>
      <c r="D668" s="53">
        <v>2026</v>
      </c>
      <c r="E668" s="54" t="s">
        <v>3380</v>
      </c>
      <c r="F668" s="55" t="s">
        <v>50</v>
      </c>
      <c r="G668" s="55" t="s">
        <v>50</v>
      </c>
      <c r="H668" s="45" t="s">
        <v>1668</v>
      </c>
      <c r="I668" s="45" t="s">
        <v>52</v>
      </c>
      <c r="J668" s="56"/>
      <c r="K668" s="55" t="s">
        <v>582</v>
      </c>
      <c r="L668" s="55" t="s">
        <v>54</v>
      </c>
      <c r="M668" s="55" t="s">
        <v>113</v>
      </c>
      <c r="N668" s="55" t="s">
        <v>141</v>
      </c>
      <c r="O668" s="55"/>
      <c r="P668" s="61" t="s">
        <v>583</v>
      </c>
      <c r="Q668" s="61" t="s">
        <v>57</v>
      </c>
      <c r="R668" s="55"/>
      <c r="S668" s="56" t="s">
        <v>81</v>
      </c>
      <c r="T668" s="55" t="str">
        <f t="shared" si="9"/>
        <v>N</v>
      </c>
      <c r="U668" s="57">
        <v>100000</v>
      </c>
      <c r="V668" s="57" t="s">
        <v>101</v>
      </c>
      <c r="W668" s="55"/>
      <c r="X668" s="54" t="s">
        <v>4677</v>
      </c>
      <c r="Y668" s="52"/>
      <c r="Z668" s="3" t="s">
        <v>61</v>
      </c>
      <c r="AA668" s="3" t="s">
        <v>1669</v>
      </c>
      <c r="AB668" s="3"/>
      <c r="AC668" s="3"/>
      <c r="AD668" s="3" t="s">
        <v>62</v>
      </c>
      <c r="AE668" s="3" t="s">
        <v>63</v>
      </c>
      <c r="AF668" s="3"/>
      <c r="AG668" s="3" t="s">
        <v>1670</v>
      </c>
      <c r="AH668" s="58">
        <v>100</v>
      </c>
      <c r="AI668" s="3"/>
      <c r="AJ668" s="3"/>
      <c r="AK668" s="3"/>
      <c r="AL668" s="3"/>
      <c r="AM668" s="3"/>
      <c r="AN668" s="3"/>
      <c r="AO668" s="3"/>
      <c r="AP668" s="3"/>
      <c r="AQ668" s="3"/>
      <c r="AR668" s="3"/>
      <c r="AS668" s="3"/>
      <c r="AT668" s="3"/>
      <c r="AU668" s="3"/>
      <c r="AV668" s="3"/>
      <c r="AW668" s="3"/>
      <c r="AX668" s="3"/>
      <c r="AY668" s="3"/>
      <c r="AZ668" s="4" t="s">
        <v>1667</v>
      </c>
      <c r="BA668" s="3"/>
      <c r="BB668" s="1"/>
      <c r="BC668" s="1"/>
    </row>
    <row r="669" spans="1:55" s="78" customFormat="1" ht="15" customHeight="1" x14ac:dyDescent="0.25">
      <c r="A669" s="52" t="s">
        <v>4678</v>
      </c>
      <c r="B669" s="34" t="s">
        <v>59</v>
      </c>
      <c r="C669" s="53">
        <v>2026</v>
      </c>
      <c r="D669" s="53">
        <v>2026</v>
      </c>
      <c r="E669" s="54" t="s">
        <v>3381</v>
      </c>
      <c r="F669" s="55" t="s">
        <v>50</v>
      </c>
      <c r="G669" s="55" t="s">
        <v>50</v>
      </c>
      <c r="H669" s="45" t="s">
        <v>1671</v>
      </c>
      <c r="I669" s="45" t="s">
        <v>52</v>
      </c>
      <c r="J669" s="56"/>
      <c r="K669" s="55" t="s">
        <v>582</v>
      </c>
      <c r="L669" s="55" t="s">
        <v>317</v>
      </c>
      <c r="M669" s="55" t="s">
        <v>113</v>
      </c>
      <c r="N669" s="55" t="s">
        <v>141</v>
      </c>
      <c r="O669" s="55"/>
      <c r="P669" s="61" t="s">
        <v>583</v>
      </c>
      <c r="Q669" s="61" t="s">
        <v>57</v>
      </c>
      <c r="R669" s="55"/>
      <c r="S669" s="56" t="s">
        <v>81</v>
      </c>
      <c r="T669" s="55" t="str">
        <f t="shared" si="9"/>
        <v>N</v>
      </c>
      <c r="U669" s="57">
        <v>100000</v>
      </c>
      <c r="V669" s="57" t="s">
        <v>101</v>
      </c>
      <c r="W669" s="55"/>
      <c r="X669" s="54" t="s">
        <v>4678</v>
      </c>
      <c r="Y669" s="52"/>
      <c r="Z669" s="3" t="s">
        <v>61</v>
      </c>
      <c r="AA669" s="3" t="s">
        <v>1669</v>
      </c>
      <c r="AB669" s="3"/>
      <c r="AC669" s="3"/>
      <c r="AD669" s="3" t="s">
        <v>62</v>
      </c>
      <c r="AE669" s="3" t="s">
        <v>63</v>
      </c>
      <c r="AF669" s="3"/>
      <c r="AG669" s="3" t="s">
        <v>1670</v>
      </c>
      <c r="AH669" s="58">
        <v>100</v>
      </c>
      <c r="AI669" s="3"/>
      <c r="AJ669" s="3"/>
      <c r="AK669" s="3"/>
      <c r="AL669" s="3"/>
      <c r="AM669" s="3"/>
      <c r="AN669" s="3"/>
      <c r="AO669" s="3"/>
      <c r="AP669" s="3"/>
      <c r="AQ669" s="3"/>
      <c r="AR669" s="3"/>
      <c r="AS669" s="3"/>
      <c r="AT669" s="3"/>
      <c r="AU669" s="3"/>
      <c r="AV669" s="3"/>
      <c r="AW669" s="3"/>
      <c r="AX669" s="3"/>
      <c r="AY669" s="3"/>
      <c r="AZ669" s="4" t="s">
        <v>1667</v>
      </c>
      <c r="BA669" s="3"/>
      <c r="BB669" s="1"/>
      <c r="BC669" s="1"/>
    </row>
    <row r="670" spans="1:55" s="78" customFormat="1" ht="15" customHeight="1" x14ac:dyDescent="0.25">
      <c r="A670" s="52" t="s">
        <v>4679</v>
      </c>
      <c r="B670" s="34" t="s">
        <v>59</v>
      </c>
      <c r="C670" s="53">
        <v>2026</v>
      </c>
      <c r="D670" s="53">
        <v>2026</v>
      </c>
      <c r="E670" s="54" t="s">
        <v>3382</v>
      </c>
      <c r="F670" s="55" t="s">
        <v>50</v>
      </c>
      <c r="G670" s="55" t="s">
        <v>50</v>
      </c>
      <c r="H670" s="45" t="s">
        <v>1673</v>
      </c>
      <c r="I670" s="45" t="s">
        <v>78</v>
      </c>
      <c r="J670" s="56"/>
      <c r="K670" s="45" t="s">
        <v>126</v>
      </c>
      <c r="L670" s="55" t="s">
        <v>88</v>
      </c>
      <c r="M670" s="55" t="s">
        <v>1674</v>
      </c>
      <c r="N670" s="55" t="s">
        <v>127</v>
      </c>
      <c r="O670" s="45"/>
      <c r="P670" s="55" t="s">
        <v>129</v>
      </c>
      <c r="Q670" s="56" t="s">
        <v>57</v>
      </c>
      <c r="R670" s="55"/>
      <c r="S670" s="56" t="s">
        <v>58</v>
      </c>
      <c r="T670" s="55" t="s">
        <v>81</v>
      </c>
      <c r="U670" s="57">
        <v>-999</v>
      </c>
      <c r="V670" s="57" t="s">
        <v>59</v>
      </c>
      <c r="W670" s="55" t="s">
        <v>2319</v>
      </c>
      <c r="X670" s="54" t="s">
        <v>4679</v>
      </c>
      <c r="Y670" s="52"/>
      <c r="Z670" s="1" t="s">
        <v>154</v>
      </c>
      <c r="AA670" s="2" t="s">
        <v>1675</v>
      </c>
      <c r="AB670" s="2"/>
      <c r="AC670" s="2"/>
      <c r="AD670" s="3" t="s">
        <v>62</v>
      </c>
      <c r="AE670" s="2" t="s">
        <v>524</v>
      </c>
      <c r="AF670" s="2"/>
      <c r="AG670" s="1" t="s">
        <v>1676</v>
      </c>
      <c r="AH670" s="2">
        <v>100</v>
      </c>
      <c r="AI670" s="2"/>
      <c r="AJ670" s="2"/>
      <c r="AK670" s="2"/>
      <c r="AL670" s="2"/>
      <c r="AM670" s="2"/>
      <c r="AN670" s="2"/>
      <c r="AO670" s="2"/>
      <c r="AP670" s="2"/>
      <c r="AQ670" s="2"/>
      <c r="AR670" s="2"/>
      <c r="AS670" s="2"/>
      <c r="AT670" s="2"/>
      <c r="AU670" s="2"/>
      <c r="AV670" s="2"/>
      <c r="AW670" s="2"/>
      <c r="AX670" s="2"/>
      <c r="AY670" s="2"/>
      <c r="AZ670" s="4" t="s">
        <v>1672</v>
      </c>
      <c r="BA670" s="2"/>
      <c r="BB670" s="1"/>
      <c r="BC670" s="1"/>
    </row>
    <row r="671" spans="1:55" s="78" customFormat="1" ht="15" customHeight="1" x14ac:dyDescent="0.25">
      <c r="A671" s="52" t="s">
        <v>4680</v>
      </c>
      <c r="B671" s="34" t="s">
        <v>59</v>
      </c>
      <c r="C671" s="53">
        <v>2026</v>
      </c>
      <c r="D671" s="53">
        <v>2026</v>
      </c>
      <c r="E671" s="54" t="s">
        <v>3382</v>
      </c>
      <c r="F671" s="55" t="s">
        <v>50</v>
      </c>
      <c r="G671" s="55" t="s">
        <v>50</v>
      </c>
      <c r="H671" s="45" t="s">
        <v>1673</v>
      </c>
      <c r="I671" s="45" t="s">
        <v>78</v>
      </c>
      <c r="J671" s="56"/>
      <c r="K671" s="45" t="s">
        <v>53</v>
      </c>
      <c r="L671" s="55" t="s">
        <v>88</v>
      </c>
      <c r="M671" s="55" t="s">
        <v>1674</v>
      </c>
      <c r="N671" s="45" t="s">
        <v>110</v>
      </c>
      <c r="O671" s="45"/>
      <c r="P671" s="55" t="s">
        <v>56</v>
      </c>
      <c r="Q671" s="55" t="s">
        <v>57</v>
      </c>
      <c r="R671" s="55"/>
      <c r="S671" s="56" t="s">
        <v>58</v>
      </c>
      <c r="T671" s="55" t="s">
        <v>81</v>
      </c>
      <c r="U671" s="57">
        <v>1000</v>
      </c>
      <c r="V671" s="57" t="s">
        <v>101</v>
      </c>
      <c r="W671" s="55" t="s">
        <v>2319</v>
      </c>
      <c r="X671" s="54" t="s">
        <v>4680</v>
      </c>
      <c r="Y671" s="52"/>
      <c r="Z671" s="1" t="s">
        <v>154</v>
      </c>
      <c r="AA671" s="2" t="s">
        <v>1675</v>
      </c>
      <c r="AB671" s="2"/>
      <c r="AC671" s="2"/>
      <c r="AD671" s="3" t="s">
        <v>62</v>
      </c>
      <c r="AE671" s="2" t="s">
        <v>524</v>
      </c>
      <c r="AF671" s="2"/>
      <c r="AG671" s="1" t="s">
        <v>1676</v>
      </c>
      <c r="AH671" s="2">
        <v>100</v>
      </c>
      <c r="AI671" s="2"/>
      <c r="AJ671" s="2"/>
      <c r="AK671" s="2"/>
      <c r="AL671" s="2"/>
      <c r="AM671" s="2"/>
      <c r="AN671" s="2"/>
      <c r="AO671" s="2"/>
      <c r="AP671" s="2"/>
      <c r="AQ671" s="2"/>
      <c r="AR671" s="2"/>
      <c r="AS671" s="2"/>
      <c r="AT671" s="2"/>
      <c r="AU671" s="2"/>
      <c r="AV671" s="2"/>
      <c r="AW671" s="2"/>
      <c r="AX671" s="2"/>
      <c r="AY671" s="2"/>
      <c r="AZ671" s="4" t="s">
        <v>1672</v>
      </c>
      <c r="BA671" s="2"/>
      <c r="BB671" s="1"/>
      <c r="BC671" s="1"/>
    </row>
    <row r="672" spans="1:55" s="78" customFormat="1" ht="15" customHeight="1" x14ac:dyDescent="0.25">
      <c r="A672" s="52" t="s">
        <v>4681</v>
      </c>
      <c r="B672" s="34" t="s">
        <v>59</v>
      </c>
      <c r="C672" s="53">
        <v>2026</v>
      </c>
      <c r="D672" s="53">
        <v>2026</v>
      </c>
      <c r="E672" s="54" t="s">
        <v>3382</v>
      </c>
      <c r="F672" s="55" t="s">
        <v>50</v>
      </c>
      <c r="G672" s="55" t="s">
        <v>50</v>
      </c>
      <c r="H672" s="45" t="s">
        <v>1673</v>
      </c>
      <c r="I672" s="45" t="s">
        <v>78</v>
      </c>
      <c r="J672" s="56"/>
      <c r="K672" s="45" t="s">
        <v>137</v>
      </c>
      <c r="L672" s="55" t="s">
        <v>88</v>
      </c>
      <c r="M672" s="55" t="s">
        <v>1674</v>
      </c>
      <c r="N672" s="45" t="s">
        <v>110</v>
      </c>
      <c r="O672" s="45"/>
      <c r="P672" s="55" t="s">
        <v>138</v>
      </c>
      <c r="Q672" s="55" t="s">
        <v>57</v>
      </c>
      <c r="R672" s="55"/>
      <c r="S672" s="56" t="s">
        <v>58</v>
      </c>
      <c r="T672" s="55" t="s">
        <v>81</v>
      </c>
      <c r="U672" s="57">
        <v>-999</v>
      </c>
      <c r="V672" s="57" t="s">
        <v>59</v>
      </c>
      <c r="W672" s="55" t="s">
        <v>2319</v>
      </c>
      <c r="X672" s="54" t="s">
        <v>4681</v>
      </c>
      <c r="Y672" s="52"/>
      <c r="Z672" s="1" t="s">
        <v>154</v>
      </c>
      <c r="AA672" s="2" t="s">
        <v>1675</v>
      </c>
      <c r="AB672" s="2"/>
      <c r="AC672" s="2"/>
      <c r="AD672" s="3" t="s">
        <v>62</v>
      </c>
      <c r="AE672" s="2" t="s">
        <v>524</v>
      </c>
      <c r="AF672" s="2"/>
      <c r="AG672" s="1" t="s">
        <v>1676</v>
      </c>
      <c r="AH672" s="2">
        <v>100</v>
      </c>
      <c r="AI672" s="2"/>
      <c r="AJ672" s="2"/>
      <c r="AK672" s="2"/>
      <c r="AL672" s="2"/>
      <c r="AM672" s="2"/>
      <c r="AN672" s="2"/>
      <c r="AO672" s="2"/>
      <c r="AP672" s="2"/>
      <c r="AQ672" s="2"/>
      <c r="AR672" s="2"/>
      <c r="AS672" s="2"/>
      <c r="AT672" s="2"/>
      <c r="AU672" s="2"/>
      <c r="AV672" s="2"/>
      <c r="AW672" s="2"/>
      <c r="AX672" s="2"/>
      <c r="AY672" s="2"/>
      <c r="AZ672" s="4" t="s">
        <v>1672</v>
      </c>
      <c r="BA672" s="2"/>
      <c r="BB672" s="1"/>
      <c r="BC672" s="1"/>
    </row>
    <row r="673" spans="1:55" s="78" customFormat="1" ht="15" customHeight="1" x14ac:dyDescent="0.25">
      <c r="A673" s="52" t="s">
        <v>4682</v>
      </c>
      <c r="B673" s="34" t="s">
        <v>59</v>
      </c>
      <c r="C673" s="53">
        <v>2026</v>
      </c>
      <c r="D673" s="53">
        <v>2026</v>
      </c>
      <c r="E673" s="54" t="s">
        <v>3383</v>
      </c>
      <c r="F673" s="55" t="s">
        <v>50</v>
      </c>
      <c r="G673" s="55" t="s">
        <v>50</v>
      </c>
      <c r="H673" s="45" t="s">
        <v>1677</v>
      </c>
      <c r="I673" s="56" t="s">
        <v>78</v>
      </c>
      <c r="J673" s="56"/>
      <c r="K673" s="56" t="s">
        <v>1678</v>
      </c>
      <c r="L673" s="55"/>
      <c r="M673" s="55"/>
      <c r="N673" s="56"/>
      <c r="O673" s="56"/>
      <c r="P673" s="56" t="s">
        <v>745</v>
      </c>
      <c r="Q673" s="56" t="s">
        <v>57</v>
      </c>
      <c r="R673" s="55"/>
      <c r="S673" s="56" t="s">
        <v>81</v>
      </c>
      <c r="T673" s="55" t="s">
        <v>58</v>
      </c>
      <c r="U673" s="57">
        <f>U674+U675</f>
        <v>148000</v>
      </c>
      <c r="V673" s="57" t="s">
        <v>101</v>
      </c>
      <c r="W673" s="55" t="s">
        <v>106</v>
      </c>
      <c r="X673" s="54" t="s">
        <v>4682</v>
      </c>
      <c r="Y673" s="52"/>
      <c r="Z673" s="3" t="s">
        <v>61</v>
      </c>
      <c r="AA673" s="1" t="s">
        <v>3971</v>
      </c>
      <c r="AB673" s="1"/>
      <c r="AC673" s="1"/>
      <c r="AD673" s="3" t="s">
        <v>62</v>
      </c>
      <c r="AE673" s="3" t="s">
        <v>366</v>
      </c>
      <c r="AF673" s="3"/>
      <c r="AG673" s="1" t="s">
        <v>1523</v>
      </c>
      <c r="AH673" s="58">
        <v>100</v>
      </c>
      <c r="AI673" s="1"/>
      <c r="AJ673" s="1"/>
      <c r="AK673" s="1"/>
      <c r="AL673" s="1"/>
      <c r="AM673" s="1"/>
      <c r="AN673" s="1"/>
      <c r="AO673" s="1"/>
      <c r="AP673" s="1"/>
      <c r="AQ673" s="1"/>
      <c r="AR673" s="1"/>
      <c r="AS673" s="1"/>
      <c r="AT673" s="1"/>
      <c r="AU673" s="1"/>
      <c r="AV673" s="1"/>
      <c r="AW673" s="1"/>
      <c r="AX673" s="1"/>
      <c r="AY673" s="1"/>
      <c r="AZ673" s="4" t="s">
        <v>742</v>
      </c>
      <c r="BA673" s="1"/>
      <c r="BB673" s="1"/>
      <c r="BC673" s="1"/>
    </row>
    <row r="674" spans="1:55" s="78" customFormat="1" ht="15" customHeight="1" x14ac:dyDescent="0.25">
      <c r="A674" s="52" t="s">
        <v>4683</v>
      </c>
      <c r="B674" s="34" t="s">
        <v>59</v>
      </c>
      <c r="C674" s="53">
        <v>2026</v>
      </c>
      <c r="D674" s="53">
        <v>2026</v>
      </c>
      <c r="E674" s="54" t="s">
        <v>3384</v>
      </c>
      <c r="F674" s="55" t="s">
        <v>50</v>
      </c>
      <c r="G674" s="55" t="s">
        <v>50</v>
      </c>
      <c r="H674" s="45" t="s">
        <v>1680</v>
      </c>
      <c r="I674" s="56" t="s">
        <v>52</v>
      </c>
      <c r="J674" s="56"/>
      <c r="K674" s="55" t="s">
        <v>1678</v>
      </c>
      <c r="L674" s="55" t="str">
        <f>IF(K674="Mine or Quarry","Mine","")</f>
        <v/>
      </c>
      <c r="M674" s="55"/>
      <c r="N674" s="56"/>
      <c r="O674" s="56"/>
      <c r="P674" s="56" t="s">
        <v>745</v>
      </c>
      <c r="Q674" s="56" t="s">
        <v>57</v>
      </c>
      <c r="R674" s="55"/>
      <c r="S674" s="56" t="s">
        <v>81</v>
      </c>
      <c r="T674" s="55" t="s">
        <v>58</v>
      </c>
      <c r="U674" s="57">
        <v>74000</v>
      </c>
      <c r="V674" s="57" t="s">
        <v>101</v>
      </c>
      <c r="W674" s="55"/>
      <c r="X674" s="54" t="s">
        <v>4683</v>
      </c>
      <c r="Y674" s="52"/>
      <c r="Z674" s="1" t="s">
        <v>61</v>
      </c>
      <c r="AA674" s="1" t="s">
        <v>3971</v>
      </c>
      <c r="AB674" s="1"/>
      <c r="AC674" s="1"/>
      <c r="AD674" s="3" t="s">
        <v>62</v>
      </c>
      <c r="AE674" s="1" t="s">
        <v>366</v>
      </c>
      <c r="AF674" s="1"/>
      <c r="AG674" s="1" t="s">
        <v>1523</v>
      </c>
      <c r="AH674" s="2">
        <v>100</v>
      </c>
      <c r="AI674" s="1"/>
      <c r="AJ674" s="1"/>
      <c r="AK674" s="1"/>
      <c r="AL674" s="1"/>
      <c r="AM674" s="1"/>
      <c r="AN674" s="1"/>
      <c r="AO674" s="1"/>
      <c r="AP674" s="1"/>
      <c r="AQ674" s="1"/>
      <c r="AR674" s="1"/>
      <c r="AS674" s="1"/>
      <c r="AT674" s="1"/>
      <c r="AU674" s="1"/>
      <c r="AV674" s="1"/>
      <c r="AW674" s="1"/>
      <c r="AX674" s="1"/>
      <c r="AY674" s="1"/>
      <c r="AZ674" s="4" t="s">
        <v>1679</v>
      </c>
      <c r="BA674" s="1"/>
      <c r="BB674" s="1"/>
      <c r="BC674" s="1"/>
    </row>
    <row r="675" spans="1:55" s="78" customFormat="1" ht="15" customHeight="1" x14ac:dyDescent="0.25">
      <c r="A675" s="52" t="s">
        <v>4684</v>
      </c>
      <c r="B675" s="34" t="s">
        <v>59</v>
      </c>
      <c r="C675" s="53">
        <v>2026</v>
      </c>
      <c r="D675" s="53">
        <v>2026</v>
      </c>
      <c r="E675" s="54" t="s">
        <v>3385</v>
      </c>
      <c r="F675" s="55" t="s">
        <v>50</v>
      </c>
      <c r="G675" s="55" t="s">
        <v>50</v>
      </c>
      <c r="H675" s="45" t="s">
        <v>1681</v>
      </c>
      <c r="I675" s="56" t="s">
        <v>52</v>
      </c>
      <c r="J675" s="56"/>
      <c r="K675" s="55" t="s">
        <v>1678</v>
      </c>
      <c r="L675" s="55" t="str">
        <f>IF(K675="Mine or Quarry","Mine","")</f>
        <v/>
      </c>
      <c r="M675" s="55"/>
      <c r="N675" s="56"/>
      <c r="O675" s="56"/>
      <c r="P675" s="56" t="s">
        <v>745</v>
      </c>
      <c r="Q675" s="56" t="s">
        <v>57</v>
      </c>
      <c r="R675" s="55"/>
      <c r="S675" s="56" t="s">
        <v>81</v>
      </c>
      <c r="T675" s="55" t="str">
        <f>IF(ISNUMBER(SEARCH(",",N675)),"Y","N")</f>
        <v>N</v>
      </c>
      <c r="U675" s="57">
        <v>74000</v>
      </c>
      <c r="V675" s="57" t="s">
        <v>101</v>
      </c>
      <c r="W675" s="55"/>
      <c r="X675" s="54" t="s">
        <v>4684</v>
      </c>
      <c r="Y675" s="52"/>
      <c r="Z675" s="1" t="s">
        <v>61</v>
      </c>
      <c r="AA675" s="1" t="s">
        <v>3971</v>
      </c>
      <c r="AB675" s="1"/>
      <c r="AC675" s="1"/>
      <c r="AD675" s="3" t="s">
        <v>62</v>
      </c>
      <c r="AE675" s="1" t="s">
        <v>366</v>
      </c>
      <c r="AF675" s="1"/>
      <c r="AG675" s="1" t="s">
        <v>1523</v>
      </c>
      <c r="AH675" s="2">
        <v>100</v>
      </c>
      <c r="AI675" s="1"/>
      <c r="AJ675" s="1"/>
      <c r="AK675" s="1"/>
      <c r="AL675" s="1"/>
      <c r="AM675" s="1"/>
      <c r="AN675" s="1"/>
      <c r="AO675" s="1"/>
      <c r="AP675" s="1"/>
      <c r="AQ675" s="1"/>
      <c r="AR675" s="1"/>
      <c r="AS675" s="1"/>
      <c r="AT675" s="1"/>
      <c r="AU675" s="1"/>
      <c r="AV675" s="1"/>
      <c r="AW675" s="1"/>
      <c r="AX675" s="1"/>
      <c r="AY675" s="1"/>
      <c r="AZ675" s="4" t="s">
        <v>1679</v>
      </c>
      <c r="BA675" s="1"/>
      <c r="BB675" s="1"/>
      <c r="BC675" s="1"/>
    </row>
    <row r="676" spans="1:55" s="78" customFormat="1" ht="15" customHeight="1" x14ac:dyDescent="0.25">
      <c r="A676" s="52" t="s">
        <v>4685</v>
      </c>
      <c r="B676" s="34" t="s">
        <v>59</v>
      </c>
      <c r="C676" s="53">
        <v>2026</v>
      </c>
      <c r="D676" s="53">
        <v>2026</v>
      </c>
      <c r="E676" s="54" t="s">
        <v>3386</v>
      </c>
      <c r="F676" s="55" t="s">
        <v>50</v>
      </c>
      <c r="G676" s="55" t="s">
        <v>50</v>
      </c>
      <c r="H676" s="45" t="s">
        <v>3001</v>
      </c>
      <c r="I676" s="56" t="s">
        <v>52</v>
      </c>
      <c r="J676" s="56"/>
      <c r="K676" s="56" t="s">
        <v>71</v>
      </c>
      <c r="L676" s="55"/>
      <c r="M676" s="55"/>
      <c r="N676" s="55" t="s">
        <v>110</v>
      </c>
      <c r="O676" s="45" t="s">
        <v>296</v>
      </c>
      <c r="P676" s="55" t="s">
        <v>73</v>
      </c>
      <c r="Q676" s="55" t="s">
        <v>57</v>
      </c>
      <c r="R676" s="55"/>
      <c r="S676" s="56" t="s">
        <v>58</v>
      </c>
      <c r="T676" s="55" t="str">
        <f>IF(ISNUMBER(SEARCH(",",N676)),"Y","N")</f>
        <v>N</v>
      </c>
      <c r="U676" s="57">
        <v>1.276</v>
      </c>
      <c r="V676" s="57" t="s">
        <v>101</v>
      </c>
      <c r="W676" s="55"/>
      <c r="X676" s="54" t="s">
        <v>4685</v>
      </c>
      <c r="Y676" s="53"/>
      <c r="Z676" s="1" t="s">
        <v>61</v>
      </c>
      <c r="AA676" s="3" t="s">
        <v>1251</v>
      </c>
      <c r="AB676" s="3"/>
      <c r="AC676" s="3"/>
      <c r="AD676" s="3" t="s">
        <v>62</v>
      </c>
      <c r="AE676" s="1" t="s">
        <v>108</v>
      </c>
      <c r="AF676" s="1" t="s">
        <v>1743</v>
      </c>
      <c r="AG676" s="1" t="s">
        <v>1743</v>
      </c>
      <c r="AH676" s="2"/>
      <c r="AI676" s="1"/>
      <c r="AJ676" s="1"/>
      <c r="AK676" s="1"/>
      <c r="AL676" s="1"/>
      <c r="AM676" s="1"/>
      <c r="AN676" s="1"/>
      <c r="AO676" s="1"/>
      <c r="AP676" s="1"/>
      <c r="AQ676" s="1"/>
      <c r="AR676" s="1"/>
      <c r="AS676" s="1"/>
      <c r="AT676" s="1"/>
      <c r="AU676" s="1"/>
      <c r="AV676" s="1"/>
      <c r="AW676" s="1"/>
      <c r="AX676" s="1"/>
      <c r="AY676" s="1"/>
      <c r="AZ676" s="4" t="s">
        <v>1742</v>
      </c>
      <c r="BA676" s="5"/>
      <c r="BB676" s="1"/>
      <c r="BC676" s="1"/>
    </row>
    <row r="677" spans="1:55" s="78" customFormat="1" ht="15" customHeight="1" x14ac:dyDescent="0.25">
      <c r="A677" s="52" t="s">
        <v>4686</v>
      </c>
      <c r="B677" s="34" t="s">
        <v>59</v>
      </c>
      <c r="C677" s="53">
        <v>2026</v>
      </c>
      <c r="D677" s="53">
        <v>2026</v>
      </c>
      <c r="E677" s="54" t="s">
        <v>3386</v>
      </c>
      <c r="F677" s="55" t="s">
        <v>50</v>
      </c>
      <c r="G677" s="55" t="s">
        <v>50</v>
      </c>
      <c r="H677" s="45" t="s">
        <v>3001</v>
      </c>
      <c r="I677" s="56" t="s">
        <v>52</v>
      </c>
      <c r="J677" s="56"/>
      <c r="K677" s="56" t="s">
        <v>74</v>
      </c>
      <c r="L677" s="55"/>
      <c r="M677" s="55"/>
      <c r="N677" s="55" t="s">
        <v>110</v>
      </c>
      <c r="O677" s="56" t="s">
        <v>296</v>
      </c>
      <c r="P677" s="55" t="s">
        <v>75</v>
      </c>
      <c r="Q677" s="56" t="s">
        <v>57</v>
      </c>
      <c r="R677" s="55"/>
      <c r="S677" s="56" t="s">
        <v>58</v>
      </c>
      <c r="T677" s="55" t="str">
        <f>IF(ISNUMBER(SEARCH(",",N677)),"Y","N")</f>
        <v>N</v>
      </c>
      <c r="U677" s="57">
        <v>10.773</v>
      </c>
      <c r="V677" s="57" t="s">
        <v>101</v>
      </c>
      <c r="W677" s="55"/>
      <c r="X677" s="54" t="s">
        <v>4686</v>
      </c>
      <c r="Y677" s="53"/>
      <c r="Z677" s="1" t="s">
        <v>61</v>
      </c>
      <c r="AA677" s="3" t="s">
        <v>1251</v>
      </c>
      <c r="AB677" s="3"/>
      <c r="AC677" s="3"/>
      <c r="AD677" s="3" t="s">
        <v>62</v>
      </c>
      <c r="AE677" s="1" t="s">
        <v>108</v>
      </c>
      <c r="AF677" s="1" t="s">
        <v>1743</v>
      </c>
      <c r="AG677" s="1" t="s">
        <v>1743</v>
      </c>
      <c r="AH677" s="2"/>
      <c r="AI677" s="1"/>
      <c r="AJ677" s="1"/>
      <c r="AK677" s="1"/>
      <c r="AL677" s="1"/>
      <c r="AM677" s="1"/>
      <c r="AN677" s="1"/>
      <c r="AO677" s="1"/>
      <c r="AP677" s="1"/>
      <c r="AQ677" s="1"/>
      <c r="AR677" s="1"/>
      <c r="AS677" s="1"/>
      <c r="AT677" s="1"/>
      <c r="AU677" s="1"/>
      <c r="AV677" s="1"/>
      <c r="AW677" s="1"/>
      <c r="AX677" s="1"/>
      <c r="AY677" s="1"/>
      <c r="AZ677" s="4" t="s">
        <v>1742</v>
      </c>
      <c r="BA677" s="5"/>
      <c r="BB677" s="1"/>
      <c r="BC677" s="1"/>
    </row>
    <row r="678" spans="1:55" s="78" customFormat="1" ht="15" customHeight="1" x14ac:dyDescent="0.25">
      <c r="A678" s="52" t="s">
        <v>4687</v>
      </c>
      <c r="B678" s="34" t="s">
        <v>59</v>
      </c>
      <c r="C678" s="53">
        <v>2026</v>
      </c>
      <c r="D678" s="53">
        <v>2026</v>
      </c>
      <c r="E678" s="54" t="s">
        <v>3387</v>
      </c>
      <c r="F678" s="55" t="s">
        <v>50</v>
      </c>
      <c r="G678" s="55" t="s">
        <v>50</v>
      </c>
      <c r="H678" s="45" t="s">
        <v>1683</v>
      </c>
      <c r="I678" s="56" t="s">
        <v>78</v>
      </c>
      <c r="J678" s="56"/>
      <c r="K678" s="56" t="s">
        <v>71</v>
      </c>
      <c r="L678" s="55" t="s">
        <v>88</v>
      </c>
      <c r="M678" s="55"/>
      <c r="N678" s="56" t="s">
        <v>181</v>
      </c>
      <c r="O678" s="56"/>
      <c r="P678" s="55" t="s">
        <v>73</v>
      </c>
      <c r="Q678" s="55" t="s">
        <v>57</v>
      </c>
      <c r="R678" s="55"/>
      <c r="S678" s="56" t="s">
        <v>81</v>
      </c>
      <c r="T678" s="55" t="str">
        <f>IF(ISNUMBER(SEARCH(",",N678)),"Y","N")</f>
        <v>N</v>
      </c>
      <c r="U678" s="57">
        <v>3.3450000000000002</v>
      </c>
      <c r="V678" s="57" t="s">
        <v>101</v>
      </c>
      <c r="W678" s="55"/>
      <c r="X678" s="54" t="s">
        <v>4687</v>
      </c>
      <c r="Y678" s="60"/>
      <c r="Z678" s="1" t="s">
        <v>61</v>
      </c>
      <c r="AA678" s="1" t="s">
        <v>1684</v>
      </c>
      <c r="AB678" s="1"/>
      <c r="AC678" s="1"/>
      <c r="AD678" s="3" t="s">
        <v>62</v>
      </c>
      <c r="AE678" s="2" t="s">
        <v>519</v>
      </c>
      <c r="AF678" s="3"/>
      <c r="AG678" s="3" t="s">
        <v>331</v>
      </c>
      <c r="AH678" s="53">
        <v>70</v>
      </c>
      <c r="AI678" s="1" t="s">
        <v>1685</v>
      </c>
      <c r="AJ678" s="59">
        <v>30</v>
      </c>
      <c r="AK678" s="1"/>
      <c r="AL678" s="60"/>
      <c r="AM678" s="1"/>
      <c r="AN678" s="60"/>
      <c r="AO678" s="1"/>
      <c r="AP678" s="60"/>
      <c r="AQ678" s="1"/>
      <c r="AR678" s="60"/>
      <c r="AS678" s="1"/>
      <c r="AT678" s="60"/>
      <c r="AU678" s="1"/>
      <c r="AV678" s="60"/>
      <c r="AW678" s="1"/>
      <c r="AX678" s="60"/>
      <c r="AY678" s="1"/>
      <c r="AZ678" s="4" t="s">
        <v>1682</v>
      </c>
      <c r="BA678" s="1"/>
      <c r="BB678" s="1"/>
      <c r="BC678" s="1"/>
    </row>
    <row r="679" spans="1:55" s="78" customFormat="1" ht="15" customHeight="1" x14ac:dyDescent="0.25">
      <c r="A679" s="52" t="s">
        <v>4688</v>
      </c>
      <c r="B679" s="34" t="s">
        <v>59</v>
      </c>
      <c r="C679" s="53">
        <v>2026</v>
      </c>
      <c r="D679" s="53">
        <v>2026</v>
      </c>
      <c r="E679" s="54" t="s">
        <v>3388</v>
      </c>
      <c r="F679" s="55" t="s">
        <v>50</v>
      </c>
      <c r="G679" s="55" t="s">
        <v>50</v>
      </c>
      <c r="H679" s="45" t="s">
        <v>1686</v>
      </c>
      <c r="I679" s="45" t="s">
        <v>52</v>
      </c>
      <c r="J679" s="56"/>
      <c r="K679" s="55" t="s">
        <v>218</v>
      </c>
      <c r="L679" s="55"/>
      <c r="M679" s="55"/>
      <c r="N679" s="55" t="s">
        <v>1687</v>
      </c>
      <c r="O679" s="55"/>
      <c r="P679" s="55" t="s">
        <v>811</v>
      </c>
      <c r="Q679" s="55" t="s">
        <v>5353</v>
      </c>
      <c r="R679" s="55"/>
      <c r="S679" s="56" t="s">
        <v>81</v>
      </c>
      <c r="T679" s="55" t="s">
        <v>58</v>
      </c>
      <c r="U679" s="57">
        <v>275000</v>
      </c>
      <c r="V679" s="57" t="s">
        <v>101</v>
      </c>
      <c r="W679" s="55" t="s">
        <v>2319</v>
      </c>
      <c r="X679" s="54" t="s">
        <v>4688</v>
      </c>
      <c r="Y679" s="52"/>
      <c r="Z679" s="3" t="s">
        <v>61</v>
      </c>
      <c r="AA679" s="3" t="s">
        <v>1688</v>
      </c>
      <c r="AB679" s="3"/>
      <c r="AC679" s="3"/>
      <c r="AD679" s="3" t="s">
        <v>62</v>
      </c>
      <c r="AE679" s="3" t="s">
        <v>306</v>
      </c>
      <c r="AF679" s="3"/>
      <c r="AG679" s="1" t="s">
        <v>1211</v>
      </c>
      <c r="AH679" s="58">
        <v>100</v>
      </c>
      <c r="AI679" s="3"/>
      <c r="AJ679" s="3"/>
      <c r="AK679" s="3"/>
      <c r="AL679" s="3"/>
      <c r="AM679" s="3"/>
      <c r="AN679" s="3"/>
      <c r="AO679" s="3"/>
      <c r="AP679" s="3"/>
      <c r="AQ679" s="3"/>
      <c r="AR679" s="3"/>
      <c r="AS679" s="3"/>
      <c r="AT679" s="3"/>
      <c r="AU679" s="3"/>
      <c r="AV679" s="3"/>
      <c r="AW679" s="3"/>
      <c r="AX679" s="3"/>
      <c r="AY679" s="3"/>
      <c r="AZ679" s="4" t="s">
        <v>1207</v>
      </c>
      <c r="BA679" s="3"/>
      <c r="BB679" s="1"/>
      <c r="BC679" s="1"/>
    </row>
    <row r="680" spans="1:55" s="78" customFormat="1" ht="15" customHeight="1" x14ac:dyDescent="0.25">
      <c r="A680" s="52" t="s">
        <v>4689</v>
      </c>
      <c r="B680" s="34" t="s">
        <v>59</v>
      </c>
      <c r="C680" s="53">
        <v>2026</v>
      </c>
      <c r="D680" s="53">
        <v>2026</v>
      </c>
      <c r="E680" s="54" t="s">
        <v>3389</v>
      </c>
      <c r="F680" s="55" t="s">
        <v>50</v>
      </c>
      <c r="G680" s="55" t="s">
        <v>50</v>
      </c>
      <c r="H680" s="45" t="s">
        <v>1690</v>
      </c>
      <c r="I680" s="56" t="s">
        <v>52</v>
      </c>
      <c r="J680" s="56"/>
      <c r="K680" s="56" t="s">
        <v>87</v>
      </c>
      <c r="L680" s="55" t="str">
        <f>IF(K680="Mine or Quarry","Mine","")</f>
        <v/>
      </c>
      <c r="M680" s="55"/>
      <c r="N680" s="56"/>
      <c r="O680" s="56" t="s">
        <v>2985</v>
      </c>
      <c r="P680" s="56" t="s">
        <v>89</v>
      </c>
      <c r="Q680" s="56" t="s">
        <v>89</v>
      </c>
      <c r="R680" s="55"/>
      <c r="S680" s="56" t="s">
        <v>81</v>
      </c>
      <c r="T680" s="55" t="s">
        <v>58</v>
      </c>
      <c r="U680" s="57">
        <v>-999</v>
      </c>
      <c r="V680" s="57" t="s">
        <v>59</v>
      </c>
      <c r="W680" s="55" t="s">
        <v>2319</v>
      </c>
      <c r="X680" s="54" t="s">
        <v>4689</v>
      </c>
      <c r="Y680" s="52"/>
      <c r="Z680" s="1" t="s">
        <v>61</v>
      </c>
      <c r="AA680" s="1" t="s">
        <v>1691</v>
      </c>
      <c r="AB680" s="1"/>
      <c r="AC680" s="1"/>
      <c r="AD680" s="3" t="s">
        <v>62</v>
      </c>
      <c r="AE680" s="1" t="s">
        <v>115</v>
      </c>
      <c r="AF680" s="1" t="s">
        <v>227</v>
      </c>
      <c r="AG680" s="1" t="s">
        <v>228</v>
      </c>
      <c r="AH680" s="2">
        <v>100</v>
      </c>
      <c r="AI680" s="1"/>
      <c r="AJ680" s="1"/>
      <c r="AK680" s="1"/>
      <c r="AL680" s="1"/>
      <c r="AM680" s="1"/>
      <c r="AN680" s="1"/>
      <c r="AO680" s="1"/>
      <c r="AP680" s="1"/>
      <c r="AQ680" s="1"/>
      <c r="AR680" s="1"/>
      <c r="AS680" s="1"/>
      <c r="AT680" s="1"/>
      <c r="AU680" s="1"/>
      <c r="AV680" s="1"/>
      <c r="AW680" s="1"/>
      <c r="AX680" s="1"/>
      <c r="AY680" s="1"/>
      <c r="AZ680" s="5" t="s">
        <v>1689</v>
      </c>
      <c r="BA680" s="5"/>
      <c r="BB680" s="1"/>
      <c r="BC680" s="1"/>
    </row>
    <row r="681" spans="1:55" s="78" customFormat="1" ht="15" customHeight="1" x14ac:dyDescent="0.25">
      <c r="A681" s="52" t="s">
        <v>4690</v>
      </c>
      <c r="B681" s="34" t="s">
        <v>59</v>
      </c>
      <c r="C681" s="53">
        <v>2026</v>
      </c>
      <c r="D681" s="53">
        <v>2026</v>
      </c>
      <c r="E681" s="54" t="s">
        <v>3390</v>
      </c>
      <c r="F681" s="55" t="s">
        <v>50</v>
      </c>
      <c r="G681" s="55" t="s">
        <v>50</v>
      </c>
      <c r="H681" s="45" t="s">
        <v>1692</v>
      </c>
      <c r="I681" s="56" t="s">
        <v>52</v>
      </c>
      <c r="J681" s="56"/>
      <c r="K681" s="56" t="s">
        <v>204</v>
      </c>
      <c r="L681" s="55"/>
      <c r="M681" s="55"/>
      <c r="N681" s="56"/>
      <c r="O681" s="56"/>
      <c r="P681" s="55" t="s">
        <v>89</v>
      </c>
      <c r="Q681" s="55" t="s">
        <v>89</v>
      </c>
      <c r="R681" s="55"/>
      <c r="S681" s="56" t="s">
        <v>81</v>
      </c>
      <c r="T681" s="55" t="s">
        <v>81</v>
      </c>
      <c r="U681" s="57">
        <v>150000</v>
      </c>
      <c r="V681" s="57" t="s">
        <v>101</v>
      </c>
      <c r="W681" s="55" t="s">
        <v>2319</v>
      </c>
      <c r="X681" s="54" t="s">
        <v>4690</v>
      </c>
      <c r="Y681" s="52"/>
      <c r="Z681" s="2" t="s">
        <v>61</v>
      </c>
      <c r="AA681" s="1" t="s">
        <v>1693</v>
      </c>
      <c r="AB681" s="1"/>
      <c r="AC681" s="1"/>
      <c r="AD681" s="3" t="s">
        <v>62</v>
      </c>
      <c r="AE681" s="2" t="s">
        <v>115</v>
      </c>
      <c r="AF681" s="3" t="s">
        <v>765</v>
      </c>
      <c r="AG681" s="3" t="s">
        <v>766</v>
      </c>
      <c r="AH681" s="58"/>
      <c r="AI681" s="1"/>
      <c r="AJ681" s="1"/>
      <c r="AK681" s="1"/>
      <c r="AL681" s="1"/>
      <c r="AM681" s="1"/>
      <c r="AN681" s="1"/>
      <c r="AO681" s="1"/>
      <c r="AP681" s="1"/>
      <c r="AQ681" s="1"/>
      <c r="AR681" s="1"/>
      <c r="AS681" s="1"/>
      <c r="AT681" s="1"/>
      <c r="AU681" s="1"/>
      <c r="AV681" s="1"/>
      <c r="AW681" s="1"/>
      <c r="AX681" s="1"/>
      <c r="AY681" s="1"/>
      <c r="AZ681" s="4" t="s">
        <v>202</v>
      </c>
      <c r="BA681" s="1"/>
      <c r="BB681" s="1"/>
      <c r="BC681" s="1"/>
    </row>
    <row r="682" spans="1:55" s="78" customFormat="1" ht="15" customHeight="1" x14ac:dyDescent="0.25">
      <c r="A682" s="52" t="s">
        <v>4691</v>
      </c>
      <c r="B682" s="34" t="s">
        <v>59</v>
      </c>
      <c r="C682" s="53">
        <v>2026</v>
      </c>
      <c r="D682" s="53">
        <v>2026</v>
      </c>
      <c r="E682" s="54" t="s">
        <v>3391</v>
      </c>
      <c r="F682" s="55" t="s">
        <v>50</v>
      </c>
      <c r="G682" s="55" t="s">
        <v>50</v>
      </c>
      <c r="H682" s="45" t="s">
        <v>1694</v>
      </c>
      <c r="I682" s="56" t="s">
        <v>52</v>
      </c>
      <c r="J682" s="56"/>
      <c r="K682" s="55" t="s">
        <v>442</v>
      </c>
      <c r="L682" s="55" t="s">
        <v>317</v>
      </c>
      <c r="M682" s="55"/>
      <c r="N682" s="55" t="s">
        <v>1591</v>
      </c>
      <c r="O682" s="55" t="s">
        <v>5385</v>
      </c>
      <c r="P682" s="55" t="s">
        <v>136</v>
      </c>
      <c r="Q682" s="55" t="s">
        <v>57</v>
      </c>
      <c r="R682" s="55"/>
      <c r="S682" s="56" t="s">
        <v>81</v>
      </c>
      <c r="T682" s="55" t="s">
        <v>58</v>
      </c>
      <c r="U682" s="57">
        <v>50000</v>
      </c>
      <c r="V682" s="57" t="s">
        <v>101</v>
      </c>
      <c r="W682" s="55" t="s">
        <v>2319</v>
      </c>
      <c r="X682" s="54" t="s">
        <v>4691</v>
      </c>
      <c r="Y682" s="52"/>
      <c r="Z682" s="3" t="s">
        <v>61</v>
      </c>
      <c r="AA682" s="3" t="s">
        <v>1695</v>
      </c>
      <c r="AB682" s="3"/>
      <c r="AC682" s="3"/>
      <c r="AD682" s="3" t="s">
        <v>62</v>
      </c>
      <c r="AE682" s="3" t="s">
        <v>115</v>
      </c>
      <c r="AF682" s="1"/>
      <c r="AG682" s="1" t="s">
        <v>1696</v>
      </c>
      <c r="AH682" s="2">
        <v>100</v>
      </c>
      <c r="AI682" s="3"/>
      <c r="AJ682" s="3"/>
      <c r="AK682" s="3"/>
      <c r="AL682" s="3"/>
      <c r="AM682" s="3"/>
      <c r="AN682" s="3"/>
      <c r="AO682" s="3"/>
      <c r="AP682" s="3"/>
      <c r="AQ682" s="3"/>
      <c r="AR682" s="3"/>
      <c r="AS682" s="3"/>
      <c r="AT682" s="3"/>
      <c r="AU682" s="3"/>
      <c r="AV682" s="3"/>
      <c r="AW682" s="3"/>
      <c r="AX682" s="3"/>
      <c r="AY682" s="3"/>
      <c r="AZ682" s="4" t="s">
        <v>339</v>
      </c>
      <c r="BA682" s="3"/>
      <c r="BB682" s="1"/>
      <c r="BC682" s="1"/>
    </row>
    <row r="683" spans="1:55" s="78" customFormat="1" ht="15" customHeight="1" x14ac:dyDescent="0.25">
      <c r="A683" s="52" t="s">
        <v>4692</v>
      </c>
      <c r="B683" s="34" t="s">
        <v>59</v>
      </c>
      <c r="C683" s="53">
        <v>2026</v>
      </c>
      <c r="D683" s="53">
        <v>2026</v>
      </c>
      <c r="E683" s="54" t="s">
        <v>3391</v>
      </c>
      <c r="F683" s="55" t="s">
        <v>50</v>
      </c>
      <c r="G683" s="55" t="s">
        <v>50</v>
      </c>
      <c r="H683" s="45" t="s">
        <v>1694</v>
      </c>
      <c r="I683" s="56" t="s">
        <v>52</v>
      </c>
      <c r="J683" s="56"/>
      <c r="K683" s="55" t="s">
        <v>442</v>
      </c>
      <c r="L683" s="55" t="s">
        <v>317</v>
      </c>
      <c r="M683" s="55"/>
      <c r="N683" s="55" t="s">
        <v>1595</v>
      </c>
      <c r="O683" s="55" t="s">
        <v>1697</v>
      </c>
      <c r="P683" s="55" t="s">
        <v>136</v>
      </c>
      <c r="Q683" s="55" t="s">
        <v>57</v>
      </c>
      <c r="R683" s="55"/>
      <c r="S683" s="56" t="s">
        <v>81</v>
      </c>
      <c r="T683" s="55" t="s">
        <v>58</v>
      </c>
      <c r="U683" s="57">
        <v>70000</v>
      </c>
      <c r="V683" s="57" t="s">
        <v>101</v>
      </c>
      <c r="W683" s="55" t="s">
        <v>2319</v>
      </c>
      <c r="X683" s="54" t="s">
        <v>4692</v>
      </c>
      <c r="Y683" s="52"/>
      <c r="Z683" s="3" t="s">
        <v>61</v>
      </c>
      <c r="AA683" s="3" t="s">
        <v>1695</v>
      </c>
      <c r="AB683" s="3"/>
      <c r="AC683" s="3"/>
      <c r="AD683" s="3" t="s">
        <v>62</v>
      </c>
      <c r="AE683" s="3" t="s">
        <v>115</v>
      </c>
      <c r="AF683" s="1"/>
      <c r="AG683" s="1" t="s">
        <v>1696</v>
      </c>
      <c r="AH683" s="2">
        <v>100</v>
      </c>
      <c r="AI683" s="3"/>
      <c r="AJ683" s="3"/>
      <c r="AK683" s="3"/>
      <c r="AL683" s="3"/>
      <c r="AM683" s="3"/>
      <c r="AN683" s="3"/>
      <c r="AO683" s="3"/>
      <c r="AP683" s="3"/>
      <c r="AQ683" s="3"/>
      <c r="AR683" s="3"/>
      <c r="AS683" s="3"/>
      <c r="AT683" s="3"/>
      <c r="AU683" s="3"/>
      <c r="AV683" s="3"/>
      <c r="AW683" s="3"/>
      <c r="AX683" s="3"/>
      <c r="AY683" s="3"/>
      <c r="AZ683" s="4" t="s">
        <v>339</v>
      </c>
      <c r="BA683" s="3"/>
      <c r="BB683" s="1"/>
      <c r="BC683" s="1"/>
    </row>
    <row r="684" spans="1:55" s="78" customFormat="1" ht="15" customHeight="1" x14ac:dyDescent="0.25">
      <c r="A684" s="52" t="s">
        <v>4693</v>
      </c>
      <c r="B684" s="34" t="s">
        <v>59</v>
      </c>
      <c r="C684" s="53">
        <v>2026</v>
      </c>
      <c r="D684" s="53">
        <v>2026</v>
      </c>
      <c r="E684" s="54" t="s">
        <v>3391</v>
      </c>
      <c r="F684" s="55" t="s">
        <v>50</v>
      </c>
      <c r="G684" s="55" t="s">
        <v>50</v>
      </c>
      <c r="H684" s="45" t="s">
        <v>1694</v>
      </c>
      <c r="I684" s="45" t="s">
        <v>52</v>
      </c>
      <c r="J684" s="56"/>
      <c r="K684" s="55" t="s">
        <v>442</v>
      </c>
      <c r="L684" s="55" t="str">
        <f>IF(K684="Mine or Quarry","Mine","")</f>
        <v/>
      </c>
      <c r="M684" s="55"/>
      <c r="N684" s="55" t="s">
        <v>1591</v>
      </c>
      <c r="O684" s="55"/>
      <c r="P684" s="55" t="s">
        <v>136</v>
      </c>
      <c r="Q684" s="55" t="s">
        <v>57</v>
      </c>
      <c r="R684" s="55"/>
      <c r="S684" s="56" t="s">
        <v>81</v>
      </c>
      <c r="T684" s="55" t="s">
        <v>58</v>
      </c>
      <c r="U684" s="57">
        <v>50000</v>
      </c>
      <c r="V684" s="57" t="s">
        <v>101</v>
      </c>
      <c r="W684" s="55" t="s">
        <v>2319</v>
      </c>
      <c r="X684" s="54" t="s">
        <v>4693</v>
      </c>
      <c r="Y684" s="52"/>
      <c r="Z684" s="3" t="s">
        <v>61</v>
      </c>
      <c r="AA684" s="3" t="s">
        <v>1695</v>
      </c>
      <c r="AB684" s="3"/>
      <c r="AC684" s="3"/>
      <c r="AD684" s="3" t="s">
        <v>62</v>
      </c>
      <c r="AE684" s="3" t="s">
        <v>115</v>
      </c>
      <c r="AF684" s="3"/>
      <c r="AG684" s="1" t="s">
        <v>1696</v>
      </c>
      <c r="AH684" s="58">
        <v>100</v>
      </c>
      <c r="AI684" s="3"/>
      <c r="AJ684" s="3"/>
      <c r="AK684" s="3"/>
      <c r="AL684" s="3"/>
      <c r="AM684" s="3"/>
      <c r="AN684" s="3"/>
      <c r="AO684" s="3"/>
      <c r="AP684" s="3"/>
      <c r="AQ684" s="3"/>
      <c r="AR684" s="3"/>
      <c r="AS684" s="3"/>
      <c r="AT684" s="3"/>
      <c r="AU684" s="3"/>
      <c r="AV684" s="3"/>
      <c r="AW684" s="3"/>
      <c r="AX684" s="3"/>
      <c r="AY684" s="3"/>
      <c r="AZ684" s="4" t="s">
        <v>339</v>
      </c>
      <c r="BA684" s="3" t="s">
        <v>3887</v>
      </c>
      <c r="BB684" s="1"/>
      <c r="BC684" s="1"/>
    </row>
    <row r="685" spans="1:55" s="78" customFormat="1" ht="15" customHeight="1" x14ac:dyDescent="0.25">
      <c r="A685" s="52" t="s">
        <v>4694</v>
      </c>
      <c r="B685" s="34" t="s">
        <v>59</v>
      </c>
      <c r="C685" s="53">
        <v>2026</v>
      </c>
      <c r="D685" s="53">
        <v>2026</v>
      </c>
      <c r="E685" s="54" t="s">
        <v>3391</v>
      </c>
      <c r="F685" s="55" t="s">
        <v>50</v>
      </c>
      <c r="G685" s="55" t="s">
        <v>50</v>
      </c>
      <c r="H685" s="45" t="s">
        <v>1694</v>
      </c>
      <c r="I685" s="45" t="s">
        <v>52</v>
      </c>
      <c r="J685" s="56"/>
      <c r="K685" s="55" t="s">
        <v>442</v>
      </c>
      <c r="L685" s="55"/>
      <c r="M685" s="55"/>
      <c r="N685" s="55" t="s">
        <v>1595</v>
      </c>
      <c r="O685" s="55" t="s">
        <v>1698</v>
      </c>
      <c r="P685" s="55" t="s">
        <v>136</v>
      </c>
      <c r="Q685" s="55" t="s">
        <v>57</v>
      </c>
      <c r="R685" s="55"/>
      <c r="S685" s="56" t="s">
        <v>81</v>
      </c>
      <c r="T685" s="55" t="s">
        <v>58</v>
      </c>
      <c r="U685" s="57">
        <v>70000</v>
      </c>
      <c r="V685" s="57" t="s">
        <v>101</v>
      </c>
      <c r="W685" s="55" t="s">
        <v>2319</v>
      </c>
      <c r="X685" s="54" t="s">
        <v>4694</v>
      </c>
      <c r="Y685" s="52"/>
      <c r="Z685" s="3" t="s">
        <v>61</v>
      </c>
      <c r="AA685" s="3" t="s">
        <v>1695</v>
      </c>
      <c r="AB685" s="3"/>
      <c r="AC685" s="3"/>
      <c r="AD685" s="3" t="s">
        <v>62</v>
      </c>
      <c r="AE685" s="3" t="s">
        <v>115</v>
      </c>
      <c r="AF685" s="3"/>
      <c r="AG685" s="1" t="s">
        <v>1696</v>
      </c>
      <c r="AH685" s="58">
        <v>100</v>
      </c>
      <c r="AI685" s="3"/>
      <c r="AJ685" s="3"/>
      <c r="AK685" s="3"/>
      <c r="AL685" s="3"/>
      <c r="AM685" s="3"/>
      <c r="AN685" s="3"/>
      <c r="AO685" s="3"/>
      <c r="AP685" s="3"/>
      <c r="AQ685" s="3"/>
      <c r="AR685" s="3"/>
      <c r="AS685" s="3"/>
      <c r="AT685" s="3"/>
      <c r="AU685" s="3"/>
      <c r="AV685" s="3"/>
      <c r="AW685" s="3"/>
      <c r="AX685" s="3"/>
      <c r="AY685" s="3"/>
      <c r="AZ685" s="4" t="s">
        <v>339</v>
      </c>
      <c r="BA685" s="3" t="s">
        <v>3887</v>
      </c>
      <c r="BB685" s="1"/>
      <c r="BC685" s="1"/>
    </row>
    <row r="686" spans="1:55" s="78" customFormat="1" ht="15" customHeight="1" x14ac:dyDescent="0.25">
      <c r="A686" s="52" t="s">
        <v>4695</v>
      </c>
      <c r="B686" s="34" t="s">
        <v>59</v>
      </c>
      <c r="C686" s="53">
        <v>2026</v>
      </c>
      <c r="D686" s="53">
        <v>2026</v>
      </c>
      <c r="E686" s="54" t="s">
        <v>3392</v>
      </c>
      <c r="F686" s="55" t="s">
        <v>50</v>
      </c>
      <c r="G686" s="55" t="s">
        <v>50</v>
      </c>
      <c r="H686" s="45" t="s">
        <v>1700</v>
      </c>
      <c r="I686" s="45" t="s">
        <v>52</v>
      </c>
      <c r="J686" s="56"/>
      <c r="K686" s="55" t="s">
        <v>135</v>
      </c>
      <c r="L686" s="55"/>
      <c r="M686" s="55"/>
      <c r="N686" s="55" t="s">
        <v>400</v>
      </c>
      <c r="O686" s="55"/>
      <c r="P686" s="55" t="s">
        <v>136</v>
      </c>
      <c r="Q686" s="55" t="s">
        <v>57</v>
      </c>
      <c r="R686" s="55"/>
      <c r="S686" s="56" t="s">
        <v>81</v>
      </c>
      <c r="T686" s="55" t="s">
        <v>58</v>
      </c>
      <c r="U686" s="57">
        <v>-999</v>
      </c>
      <c r="V686" s="57" t="s">
        <v>59</v>
      </c>
      <c r="W686" s="55" t="s">
        <v>2319</v>
      </c>
      <c r="X686" s="54" t="s">
        <v>4695</v>
      </c>
      <c r="Y686" s="52"/>
      <c r="Z686" s="3" t="s">
        <v>61</v>
      </c>
      <c r="AA686" s="3" t="s">
        <v>1695</v>
      </c>
      <c r="AB686" s="3"/>
      <c r="AC686" s="3"/>
      <c r="AD686" s="3" t="s">
        <v>62</v>
      </c>
      <c r="AE686" s="3" t="s">
        <v>115</v>
      </c>
      <c r="AF686" s="3"/>
      <c r="AG686" s="3" t="s">
        <v>1701</v>
      </c>
      <c r="AH686" s="58">
        <v>100</v>
      </c>
      <c r="AI686" s="3"/>
      <c r="AJ686" s="3"/>
      <c r="AK686" s="3"/>
      <c r="AL686" s="3"/>
      <c r="AM686" s="3"/>
      <c r="AN686" s="3"/>
      <c r="AO686" s="3"/>
      <c r="AP686" s="3"/>
      <c r="AQ686" s="3"/>
      <c r="AR686" s="3"/>
      <c r="AS686" s="3"/>
      <c r="AT686" s="3"/>
      <c r="AU686" s="3"/>
      <c r="AV686" s="3"/>
      <c r="AW686" s="3"/>
      <c r="AX686" s="3"/>
      <c r="AY686" s="3"/>
      <c r="AZ686" s="4" t="s">
        <v>1699</v>
      </c>
      <c r="BA686" s="3"/>
      <c r="BB686" s="1"/>
      <c r="BC686" s="1"/>
    </row>
    <row r="687" spans="1:55" s="78" customFormat="1" ht="15" customHeight="1" x14ac:dyDescent="0.25">
      <c r="A687" s="52" t="s">
        <v>4696</v>
      </c>
      <c r="B687" s="34" t="s">
        <v>59</v>
      </c>
      <c r="C687" s="53">
        <v>2026</v>
      </c>
      <c r="D687" s="53">
        <v>2026</v>
      </c>
      <c r="E687" s="54" t="s">
        <v>3393</v>
      </c>
      <c r="F687" s="55" t="s">
        <v>50</v>
      </c>
      <c r="G687" s="55" t="s">
        <v>50</v>
      </c>
      <c r="H687" s="45" t="s">
        <v>1703</v>
      </c>
      <c r="I687" s="56" t="s">
        <v>78</v>
      </c>
      <c r="J687" s="56"/>
      <c r="K687" s="56" t="s">
        <v>71</v>
      </c>
      <c r="L687" s="55" t="str">
        <f>IF(K687="Mine or Quarry","Mine","")</f>
        <v/>
      </c>
      <c r="M687" s="55"/>
      <c r="N687" s="56" t="s">
        <v>181</v>
      </c>
      <c r="O687" s="56"/>
      <c r="P687" s="55" t="s">
        <v>73</v>
      </c>
      <c r="Q687" s="55" t="s">
        <v>57</v>
      </c>
      <c r="R687" s="55"/>
      <c r="S687" s="56" t="s">
        <v>58</v>
      </c>
      <c r="T687" s="55" t="str">
        <f>IF(ISNUMBER(SEARCH(",",N687)),"Y","N")</f>
        <v>N</v>
      </c>
      <c r="U687" s="57">
        <v>-999</v>
      </c>
      <c r="V687" s="57" t="s">
        <v>59</v>
      </c>
      <c r="W687" s="55" t="s">
        <v>2797</v>
      </c>
      <c r="X687" s="54" t="s">
        <v>4696</v>
      </c>
      <c r="Y687" s="52"/>
      <c r="Z687" s="1" t="s">
        <v>61</v>
      </c>
      <c r="AA687" s="1" t="s">
        <v>1704</v>
      </c>
      <c r="AB687" s="1"/>
      <c r="AC687" s="1"/>
      <c r="AD687" s="3" t="s">
        <v>62</v>
      </c>
      <c r="AE687" s="1" t="s">
        <v>83</v>
      </c>
      <c r="AF687" s="1" t="s">
        <v>951</v>
      </c>
      <c r="AG687" s="1" t="s">
        <v>951</v>
      </c>
      <c r="AH687" s="58">
        <v>100</v>
      </c>
      <c r="AI687" s="1"/>
      <c r="AJ687" s="1"/>
      <c r="AK687" s="1"/>
      <c r="AL687" s="1"/>
      <c r="AM687" s="1"/>
      <c r="AN687" s="1"/>
      <c r="AO687" s="1"/>
      <c r="AP687" s="1"/>
      <c r="AQ687" s="1"/>
      <c r="AR687" s="1"/>
      <c r="AS687" s="1"/>
      <c r="AT687" s="1"/>
      <c r="AU687" s="1"/>
      <c r="AV687" s="1"/>
      <c r="AW687" s="1"/>
      <c r="AX687" s="1"/>
      <c r="AY687" s="1"/>
      <c r="AZ687" s="4" t="s">
        <v>1702</v>
      </c>
      <c r="BA687" s="5"/>
      <c r="BB687" s="1"/>
      <c r="BC687" s="1"/>
    </row>
    <row r="688" spans="1:55" s="78" customFormat="1" ht="15" customHeight="1" x14ac:dyDescent="0.25">
      <c r="A688" s="52" t="s">
        <v>4697</v>
      </c>
      <c r="B688" s="34" t="s">
        <v>59</v>
      </c>
      <c r="C688" s="53">
        <v>2026</v>
      </c>
      <c r="D688" s="53">
        <v>2026</v>
      </c>
      <c r="E688" s="54" t="s">
        <v>3393</v>
      </c>
      <c r="F688" s="55" t="s">
        <v>50</v>
      </c>
      <c r="G688" s="55" t="s">
        <v>50</v>
      </c>
      <c r="H688" s="45" t="s">
        <v>1703</v>
      </c>
      <c r="I688" s="56" t="s">
        <v>78</v>
      </c>
      <c r="J688" s="56"/>
      <c r="K688" s="56" t="s">
        <v>74</v>
      </c>
      <c r="L688" s="55" t="str">
        <f>IF(K688="Mines and Quarries","Mine","")</f>
        <v/>
      </c>
      <c r="M688" s="55"/>
      <c r="N688" s="56" t="s">
        <v>181</v>
      </c>
      <c r="O688" s="56"/>
      <c r="P688" s="55" t="s">
        <v>75</v>
      </c>
      <c r="Q688" s="56" t="s">
        <v>57</v>
      </c>
      <c r="R688" s="55"/>
      <c r="S688" s="56" t="s">
        <v>58</v>
      </c>
      <c r="T688" s="55" t="str">
        <f>IF(ISNUMBER(SEARCH(",",N688)),"Y","N")</f>
        <v>N</v>
      </c>
      <c r="U688" s="57">
        <v>-999</v>
      </c>
      <c r="V688" s="57" t="s">
        <v>59</v>
      </c>
      <c r="W688" s="55" t="s">
        <v>2797</v>
      </c>
      <c r="X688" s="54" t="s">
        <v>4697</v>
      </c>
      <c r="Y688" s="52"/>
      <c r="Z688" s="1" t="s">
        <v>61</v>
      </c>
      <c r="AA688" s="1" t="s">
        <v>1704</v>
      </c>
      <c r="AB688" s="1"/>
      <c r="AC688" s="1"/>
      <c r="AD688" s="3" t="s">
        <v>62</v>
      </c>
      <c r="AE688" s="1" t="s">
        <v>83</v>
      </c>
      <c r="AF688" s="1" t="s">
        <v>951</v>
      </c>
      <c r="AG688" s="1" t="s">
        <v>951</v>
      </c>
      <c r="AH688" s="58">
        <v>100</v>
      </c>
      <c r="AI688" s="1"/>
      <c r="AJ688" s="1"/>
      <c r="AK688" s="1"/>
      <c r="AL688" s="1"/>
      <c r="AM688" s="1"/>
      <c r="AN688" s="1"/>
      <c r="AO688" s="1"/>
      <c r="AP688" s="1"/>
      <c r="AQ688" s="1"/>
      <c r="AR688" s="1"/>
      <c r="AS688" s="1"/>
      <c r="AT688" s="1"/>
      <c r="AU688" s="1"/>
      <c r="AV688" s="1"/>
      <c r="AW688" s="1"/>
      <c r="AX688" s="1"/>
      <c r="AY688" s="1"/>
      <c r="AZ688" s="4" t="s">
        <v>295</v>
      </c>
      <c r="BA688" s="5"/>
      <c r="BB688" s="1"/>
      <c r="BC688" s="1"/>
    </row>
    <row r="689" spans="1:55" s="78" customFormat="1" ht="15" customHeight="1" x14ac:dyDescent="0.25">
      <c r="A689" s="52" t="s">
        <v>4698</v>
      </c>
      <c r="B689" s="34" t="s">
        <v>59</v>
      </c>
      <c r="C689" s="53">
        <v>2026</v>
      </c>
      <c r="D689" s="53">
        <v>2026</v>
      </c>
      <c r="E689" s="54" t="s">
        <v>3394</v>
      </c>
      <c r="F689" s="55" t="s">
        <v>50</v>
      </c>
      <c r="G689" s="55" t="s">
        <v>50</v>
      </c>
      <c r="H689" s="45" t="s">
        <v>1706</v>
      </c>
      <c r="I689" s="56" t="s">
        <v>52</v>
      </c>
      <c r="J689" s="56"/>
      <c r="K689" s="56" t="s">
        <v>74</v>
      </c>
      <c r="L689" s="55" t="str">
        <f>IF(K689="Mines and Quarries","Mine","")</f>
        <v/>
      </c>
      <c r="M689" s="55"/>
      <c r="N689" s="55" t="s">
        <v>110</v>
      </c>
      <c r="O689" s="56" t="s">
        <v>296</v>
      </c>
      <c r="P689" s="55" t="s">
        <v>75</v>
      </c>
      <c r="Q689" s="56" t="s">
        <v>57</v>
      </c>
      <c r="R689" s="55"/>
      <c r="S689" s="56" t="s">
        <v>58</v>
      </c>
      <c r="T689" s="55" t="str">
        <f>IF(ISNUMBER(SEARCH(",",N689)),"Y","N")</f>
        <v>N</v>
      </c>
      <c r="U689" s="57">
        <v>-999</v>
      </c>
      <c r="V689" s="57" t="s">
        <v>59</v>
      </c>
      <c r="W689" s="55" t="s">
        <v>2797</v>
      </c>
      <c r="X689" s="54" t="s">
        <v>4698</v>
      </c>
      <c r="Y689" s="52"/>
      <c r="Z689" s="1" t="s">
        <v>61</v>
      </c>
      <c r="AA689" s="1" t="s">
        <v>1704</v>
      </c>
      <c r="AB689" s="1"/>
      <c r="AC689" s="1"/>
      <c r="AD689" s="3" t="s">
        <v>62</v>
      </c>
      <c r="AE689" s="1" t="s">
        <v>83</v>
      </c>
      <c r="AF689" s="1" t="s">
        <v>951</v>
      </c>
      <c r="AG689" s="1" t="s">
        <v>951</v>
      </c>
      <c r="AH689" s="58">
        <v>100</v>
      </c>
      <c r="AI689" s="1"/>
      <c r="AJ689" s="1"/>
      <c r="AK689" s="1"/>
      <c r="AL689" s="1"/>
      <c r="AM689" s="1"/>
      <c r="AN689" s="1"/>
      <c r="AO689" s="1"/>
      <c r="AP689" s="1"/>
      <c r="AQ689" s="1"/>
      <c r="AR689" s="1"/>
      <c r="AS689" s="1"/>
      <c r="AT689" s="1"/>
      <c r="AU689" s="1"/>
      <c r="AV689" s="1"/>
      <c r="AW689" s="1"/>
      <c r="AX689" s="1"/>
      <c r="AY689" s="1"/>
      <c r="AZ689" s="5" t="s">
        <v>1705</v>
      </c>
      <c r="BA689" s="5"/>
      <c r="BB689" s="1"/>
      <c r="BC689" s="1"/>
    </row>
    <row r="690" spans="1:55" s="78" customFormat="1" ht="15" customHeight="1" x14ac:dyDescent="0.25">
      <c r="A690" s="52" t="s">
        <v>4699</v>
      </c>
      <c r="B690" s="34" t="s">
        <v>59</v>
      </c>
      <c r="C690" s="53">
        <v>2026</v>
      </c>
      <c r="D690" s="53">
        <v>2026</v>
      </c>
      <c r="E690" s="54" t="s">
        <v>3394</v>
      </c>
      <c r="F690" s="55" t="s">
        <v>50</v>
      </c>
      <c r="G690" s="55" t="s">
        <v>50</v>
      </c>
      <c r="H690" s="45" t="s">
        <v>1706</v>
      </c>
      <c r="I690" s="56" t="s">
        <v>52</v>
      </c>
      <c r="J690" s="56"/>
      <c r="K690" s="56" t="s">
        <v>71</v>
      </c>
      <c r="L690" s="55" t="str">
        <f>IF(K690="Mine or Quarry","Mine","")</f>
        <v/>
      </c>
      <c r="M690" s="55"/>
      <c r="N690" s="55" t="s">
        <v>110</v>
      </c>
      <c r="O690" s="45" t="s">
        <v>296</v>
      </c>
      <c r="P690" s="55" t="s">
        <v>73</v>
      </c>
      <c r="Q690" s="55" t="s">
        <v>57</v>
      </c>
      <c r="R690" s="55"/>
      <c r="S690" s="56" t="s">
        <v>58</v>
      </c>
      <c r="T690" s="55" t="str">
        <f>IF(ISNUMBER(SEARCH(",",N690)),"Y","N")</f>
        <v>N</v>
      </c>
      <c r="U690" s="73">
        <v>6.01</v>
      </c>
      <c r="V690" s="57" t="s">
        <v>101</v>
      </c>
      <c r="W690" s="55"/>
      <c r="X690" s="54" t="s">
        <v>4699</v>
      </c>
      <c r="Y690" s="52"/>
      <c r="Z690" s="1" t="s">
        <v>61</v>
      </c>
      <c r="AA690" s="1" t="s">
        <v>1704</v>
      </c>
      <c r="AB690" s="1"/>
      <c r="AC690" s="1"/>
      <c r="AD690" s="3" t="s">
        <v>62</v>
      </c>
      <c r="AE690" s="1" t="s">
        <v>83</v>
      </c>
      <c r="AF690" s="1" t="s">
        <v>951</v>
      </c>
      <c r="AG690" s="1" t="s">
        <v>951</v>
      </c>
      <c r="AH690" s="58">
        <v>100</v>
      </c>
      <c r="AI690" s="1"/>
      <c r="AJ690" s="1"/>
      <c r="AK690" s="1"/>
      <c r="AL690" s="1"/>
      <c r="AM690" s="1"/>
      <c r="AN690" s="1"/>
      <c r="AO690" s="1"/>
      <c r="AP690" s="1"/>
      <c r="AQ690" s="1"/>
      <c r="AR690" s="1"/>
      <c r="AS690" s="1"/>
      <c r="AT690" s="1"/>
      <c r="AU690" s="1"/>
      <c r="AV690" s="1"/>
      <c r="AW690" s="1"/>
      <c r="AX690" s="1"/>
      <c r="AY690" s="1"/>
      <c r="AZ690" s="4" t="s">
        <v>1702</v>
      </c>
      <c r="BA690" s="5"/>
      <c r="BB690" s="1"/>
      <c r="BC690" s="1"/>
    </row>
    <row r="691" spans="1:55" s="78" customFormat="1" ht="15" customHeight="1" x14ac:dyDescent="0.25">
      <c r="A691" s="52" t="s">
        <v>4700</v>
      </c>
      <c r="B691" s="34" t="s">
        <v>59</v>
      </c>
      <c r="C691" s="53">
        <v>2026</v>
      </c>
      <c r="D691" s="53">
        <v>2026</v>
      </c>
      <c r="E691" s="54" t="s">
        <v>3395</v>
      </c>
      <c r="F691" s="55" t="s">
        <v>50</v>
      </c>
      <c r="G691" s="55" t="s">
        <v>50</v>
      </c>
      <c r="H691" s="45" t="s">
        <v>1708</v>
      </c>
      <c r="I691" s="56" t="s">
        <v>52</v>
      </c>
      <c r="J691" s="55" t="s">
        <v>384</v>
      </c>
      <c r="K691" s="55" t="s">
        <v>384</v>
      </c>
      <c r="L691" s="55" t="s">
        <v>54</v>
      </c>
      <c r="M691" s="55" t="s">
        <v>491</v>
      </c>
      <c r="N691" s="56" t="s">
        <v>400</v>
      </c>
      <c r="O691" s="56"/>
      <c r="P691" s="56" t="s">
        <v>385</v>
      </c>
      <c r="Q691" s="55" t="s">
        <v>5353</v>
      </c>
      <c r="R691" s="55"/>
      <c r="S691" s="56" t="s">
        <v>81</v>
      </c>
      <c r="T691" s="55" t="s">
        <v>81</v>
      </c>
      <c r="U691" s="57">
        <v>16000</v>
      </c>
      <c r="V691" s="57" t="s">
        <v>101</v>
      </c>
      <c r="W691" s="55" t="s">
        <v>2319</v>
      </c>
      <c r="X691" s="54" t="s">
        <v>4700</v>
      </c>
      <c r="Y691" s="52"/>
      <c r="Z691" s="2" t="s">
        <v>61</v>
      </c>
      <c r="AA691" s="1" t="s">
        <v>1709</v>
      </c>
      <c r="AB691" s="1"/>
      <c r="AC691" s="1"/>
      <c r="AD691" s="3" t="s">
        <v>62</v>
      </c>
      <c r="AE691" s="2" t="s">
        <v>221</v>
      </c>
      <c r="AF691" s="2"/>
      <c r="AG691" s="1" t="s">
        <v>1710</v>
      </c>
      <c r="AH691" s="2">
        <v>100</v>
      </c>
      <c r="AI691" s="1"/>
      <c r="AJ691" s="1"/>
      <c r="AK691" s="1"/>
      <c r="AL691" s="1"/>
      <c r="AM691" s="1"/>
      <c r="AN691" s="1"/>
      <c r="AO691" s="1"/>
      <c r="AP691" s="1"/>
      <c r="AQ691" s="1"/>
      <c r="AR691" s="1"/>
      <c r="AS691" s="1"/>
      <c r="AT691" s="1"/>
      <c r="AU691" s="1"/>
      <c r="AV691" s="1"/>
      <c r="AW691" s="1"/>
      <c r="AX691" s="1"/>
      <c r="AY691" s="1"/>
      <c r="AZ691" s="4" t="s">
        <v>1707</v>
      </c>
      <c r="BA691" s="1"/>
      <c r="BB691" s="1"/>
      <c r="BC691" s="1"/>
    </row>
    <row r="692" spans="1:55" s="78" customFormat="1" ht="15" customHeight="1" x14ac:dyDescent="0.25">
      <c r="A692" s="52" t="s">
        <v>4701</v>
      </c>
      <c r="B692" s="34" t="s">
        <v>59</v>
      </c>
      <c r="C692" s="53">
        <v>2026</v>
      </c>
      <c r="D692" s="53">
        <v>2026</v>
      </c>
      <c r="E692" s="54" t="s">
        <v>3396</v>
      </c>
      <c r="F692" s="55" t="s">
        <v>50</v>
      </c>
      <c r="G692" s="55" t="s">
        <v>50</v>
      </c>
      <c r="H692" s="45" t="s">
        <v>1712</v>
      </c>
      <c r="I692" s="45" t="s">
        <v>52</v>
      </c>
      <c r="J692" s="56"/>
      <c r="K692" s="55" t="s">
        <v>210</v>
      </c>
      <c r="L692" s="55" t="s">
        <v>54</v>
      </c>
      <c r="M692" s="55" t="s">
        <v>211</v>
      </c>
      <c r="N692" s="55" t="s">
        <v>212</v>
      </c>
      <c r="O692" s="55"/>
      <c r="P692" s="55" t="s">
        <v>89</v>
      </c>
      <c r="Q692" s="55" t="s">
        <v>89</v>
      </c>
      <c r="R692" s="55"/>
      <c r="S692" s="56" t="s">
        <v>81</v>
      </c>
      <c r="T692" s="55" t="s">
        <v>81</v>
      </c>
      <c r="U692" s="57">
        <v>669410</v>
      </c>
      <c r="V692" s="57" t="s">
        <v>101</v>
      </c>
      <c r="W692" s="55" t="s">
        <v>2319</v>
      </c>
      <c r="X692" s="54" t="s">
        <v>4701</v>
      </c>
      <c r="Y692" s="52"/>
      <c r="Z692" s="3" t="s">
        <v>61</v>
      </c>
      <c r="AA692" s="1" t="s">
        <v>1713</v>
      </c>
      <c r="AB692" s="1"/>
      <c r="AC692" s="1"/>
      <c r="AD692" s="3" t="s">
        <v>62</v>
      </c>
      <c r="AE692" s="3" t="s">
        <v>464</v>
      </c>
      <c r="AF692" s="3"/>
      <c r="AG692" s="1" t="s">
        <v>374</v>
      </c>
      <c r="AH692" s="2">
        <v>100</v>
      </c>
      <c r="AI692" s="1"/>
      <c r="AJ692" s="2"/>
      <c r="AK692" s="3"/>
      <c r="AL692" s="3"/>
      <c r="AM692" s="3"/>
      <c r="AN692" s="3"/>
      <c r="AO692" s="3"/>
      <c r="AP692" s="3"/>
      <c r="AQ692" s="3"/>
      <c r="AR692" s="3"/>
      <c r="AS692" s="3"/>
      <c r="AT692" s="3"/>
      <c r="AU692" s="3"/>
      <c r="AV692" s="3"/>
      <c r="AW692" s="3"/>
      <c r="AX692" s="3"/>
      <c r="AY692" s="3"/>
      <c r="AZ692" s="4" t="s">
        <v>1711</v>
      </c>
      <c r="BA692" s="3"/>
      <c r="BB692" s="1"/>
      <c r="BC692" s="1"/>
    </row>
    <row r="693" spans="1:55" s="78" customFormat="1" ht="15" customHeight="1" x14ac:dyDescent="0.25">
      <c r="A693" s="52" t="s">
        <v>4702</v>
      </c>
      <c r="B693" s="34" t="s">
        <v>59</v>
      </c>
      <c r="C693" s="53">
        <v>2026</v>
      </c>
      <c r="D693" s="53">
        <v>2026</v>
      </c>
      <c r="E693" s="54" t="s">
        <v>3397</v>
      </c>
      <c r="F693" s="55" t="s">
        <v>50</v>
      </c>
      <c r="G693" s="55" t="s">
        <v>50</v>
      </c>
      <c r="H693" s="45" t="s">
        <v>3019</v>
      </c>
      <c r="I693" s="45" t="s">
        <v>52</v>
      </c>
      <c r="J693" s="56" t="s">
        <v>316</v>
      </c>
      <c r="K693" s="55" t="s">
        <v>316</v>
      </c>
      <c r="L693" s="55" t="s">
        <v>317</v>
      </c>
      <c r="M693" s="55"/>
      <c r="N693" s="55" t="s">
        <v>55</v>
      </c>
      <c r="O693" s="55" t="s">
        <v>1714</v>
      </c>
      <c r="P693" s="55" t="s">
        <v>318</v>
      </c>
      <c r="Q693" s="55" t="s">
        <v>57</v>
      </c>
      <c r="R693" s="55"/>
      <c r="S693" s="56" t="s">
        <v>81</v>
      </c>
      <c r="T693" s="55" t="s">
        <v>58</v>
      </c>
      <c r="U693" s="57">
        <v>125000</v>
      </c>
      <c r="V693" s="57" t="s">
        <v>101</v>
      </c>
      <c r="W693" s="55" t="s">
        <v>2319</v>
      </c>
      <c r="X693" s="54" t="s">
        <v>4702</v>
      </c>
      <c r="Y693" s="52"/>
      <c r="Z693" s="3" t="s">
        <v>61</v>
      </c>
      <c r="AA693" s="3" t="s">
        <v>1715</v>
      </c>
      <c r="AB693" s="3"/>
      <c r="AC693" s="3"/>
      <c r="AD693" s="3" t="s">
        <v>62</v>
      </c>
      <c r="AE693" s="3" t="s">
        <v>605</v>
      </c>
      <c r="AF693" s="3"/>
      <c r="AG693" s="3" t="s">
        <v>319</v>
      </c>
      <c r="AH693" s="58">
        <v>100</v>
      </c>
      <c r="AI693" s="3"/>
      <c r="AJ693" s="3"/>
      <c r="AK693" s="3"/>
      <c r="AL693" s="3"/>
      <c r="AM693" s="3"/>
      <c r="AN693" s="3"/>
      <c r="AO693" s="3"/>
      <c r="AP693" s="3"/>
      <c r="AQ693" s="3"/>
      <c r="AR693" s="3"/>
      <c r="AS693" s="3"/>
      <c r="AT693" s="3"/>
      <c r="AU693" s="3"/>
      <c r="AV693" s="3"/>
      <c r="AW693" s="3"/>
      <c r="AX693" s="3"/>
      <c r="AY693" s="3"/>
      <c r="AZ693" s="4" t="s">
        <v>3888</v>
      </c>
      <c r="BA693" s="3" t="s">
        <v>3889</v>
      </c>
      <c r="BB693" s="1"/>
      <c r="BC693" s="1"/>
    </row>
    <row r="694" spans="1:55" s="78" customFormat="1" ht="15" customHeight="1" x14ac:dyDescent="0.25">
      <c r="A694" s="52" t="s">
        <v>4703</v>
      </c>
      <c r="B694" s="34" t="s">
        <v>59</v>
      </c>
      <c r="C694" s="53">
        <v>2026</v>
      </c>
      <c r="D694" s="53">
        <v>2026</v>
      </c>
      <c r="E694" s="54" t="s">
        <v>3398</v>
      </c>
      <c r="F694" s="55" t="s">
        <v>50</v>
      </c>
      <c r="G694" s="55" t="s">
        <v>50</v>
      </c>
      <c r="H694" s="45" t="s">
        <v>1717</v>
      </c>
      <c r="I694" s="45" t="s">
        <v>52</v>
      </c>
      <c r="J694" s="56"/>
      <c r="K694" s="55" t="s">
        <v>71</v>
      </c>
      <c r="L694" s="55" t="str">
        <f>IF(K694="Mine or Quarry","Mine","")</f>
        <v/>
      </c>
      <c r="M694" s="55"/>
      <c r="N694" s="61" t="s">
        <v>55</v>
      </c>
      <c r="O694" s="61" t="s">
        <v>160</v>
      </c>
      <c r="P694" s="55" t="s">
        <v>73</v>
      </c>
      <c r="Q694" s="55" t="s">
        <v>57</v>
      </c>
      <c r="R694" s="55"/>
      <c r="S694" s="56" t="s">
        <v>81</v>
      </c>
      <c r="T694" s="55" t="str">
        <f>IF(ISNUMBER(SEARCH(",",N694)),"Y","N")</f>
        <v>N</v>
      </c>
      <c r="U694" s="57">
        <v>-999</v>
      </c>
      <c r="V694" s="57" t="s">
        <v>59</v>
      </c>
      <c r="W694" s="55" t="s">
        <v>2319</v>
      </c>
      <c r="X694" s="54" t="s">
        <v>4703</v>
      </c>
      <c r="Y694" s="52"/>
      <c r="Z694" s="3" t="s">
        <v>61</v>
      </c>
      <c r="AA694" s="1" t="s">
        <v>604</v>
      </c>
      <c r="AB694" s="1"/>
      <c r="AC694" s="1"/>
      <c r="AD694" s="3" t="s">
        <v>62</v>
      </c>
      <c r="AE694" s="3" t="s">
        <v>605</v>
      </c>
      <c r="AF694" s="3"/>
      <c r="AG694" s="3" t="s">
        <v>1718</v>
      </c>
      <c r="AH694" s="58">
        <v>100</v>
      </c>
      <c r="AI694" s="65"/>
      <c r="AJ694" s="65"/>
      <c r="AK694" s="65"/>
      <c r="AL694" s="65"/>
      <c r="AM694" s="65"/>
      <c r="AN694" s="65"/>
      <c r="AO694" s="65"/>
      <c r="AP694" s="65"/>
      <c r="AQ694" s="65"/>
      <c r="AR694" s="65"/>
      <c r="AS694" s="65"/>
      <c r="AT694" s="65"/>
      <c r="AU694" s="65"/>
      <c r="AV694" s="65"/>
      <c r="AW694" s="65"/>
      <c r="AX694" s="65"/>
      <c r="AY694" s="65"/>
      <c r="AZ694" s="4" t="s">
        <v>1716</v>
      </c>
      <c r="BA694" s="65"/>
      <c r="BB694" s="1"/>
      <c r="BC694" s="1"/>
    </row>
    <row r="695" spans="1:55" s="78" customFormat="1" ht="15" customHeight="1" x14ac:dyDescent="0.25">
      <c r="A695" s="52" t="s">
        <v>4704</v>
      </c>
      <c r="B695" s="34" t="s">
        <v>59</v>
      </c>
      <c r="C695" s="53">
        <v>2026</v>
      </c>
      <c r="D695" s="53">
        <v>2026</v>
      </c>
      <c r="E695" s="54" t="s">
        <v>3399</v>
      </c>
      <c r="F695" s="55" t="s">
        <v>50</v>
      </c>
      <c r="G695" s="55" t="s">
        <v>50</v>
      </c>
      <c r="H695" s="45" t="s">
        <v>1720</v>
      </c>
      <c r="I695" s="61" t="s">
        <v>52</v>
      </c>
      <c r="J695" s="56"/>
      <c r="K695" s="45" t="s">
        <v>180</v>
      </c>
      <c r="L695" s="55"/>
      <c r="M695" s="55"/>
      <c r="N695" s="55" t="s">
        <v>110</v>
      </c>
      <c r="O695" s="55"/>
      <c r="P695" s="55" t="s">
        <v>182</v>
      </c>
      <c r="Q695" s="55" t="s">
        <v>5353</v>
      </c>
      <c r="R695" s="55"/>
      <c r="S695" s="56" t="s">
        <v>58</v>
      </c>
      <c r="T695" s="55" t="str">
        <f>IF(ISNUMBER(SEARCH(",",N695)),"Y","N")</f>
        <v>N</v>
      </c>
      <c r="U695" s="57">
        <v>-999</v>
      </c>
      <c r="V695" s="57" t="s">
        <v>59</v>
      </c>
      <c r="W695" s="55"/>
      <c r="X695" s="54" t="s">
        <v>4704</v>
      </c>
      <c r="Y695" s="52"/>
      <c r="Z695" s="3" t="s">
        <v>154</v>
      </c>
      <c r="AA695" s="3" t="s">
        <v>1721</v>
      </c>
      <c r="AB695" s="3"/>
      <c r="AC695" s="3"/>
      <c r="AD695" s="3" t="s">
        <v>62</v>
      </c>
      <c r="AE695" s="3" t="s">
        <v>251</v>
      </c>
      <c r="AF695" s="3"/>
      <c r="AG695" s="3" t="s">
        <v>1722</v>
      </c>
      <c r="AH695" s="58">
        <v>100</v>
      </c>
      <c r="AI695" s="3"/>
      <c r="AJ695" s="53"/>
      <c r="AK695" s="3"/>
      <c r="AL695" s="3"/>
      <c r="AM695" s="3"/>
      <c r="AN695" s="3"/>
      <c r="AO695" s="3"/>
      <c r="AP695" s="3"/>
      <c r="AQ695" s="3"/>
      <c r="AR695" s="3"/>
      <c r="AS695" s="3"/>
      <c r="AT695" s="3"/>
      <c r="AU695" s="3"/>
      <c r="AV695" s="3"/>
      <c r="AW695" s="3"/>
      <c r="AX695" s="3"/>
      <c r="AY695" s="3"/>
      <c r="AZ695" s="4" t="s">
        <v>1719</v>
      </c>
      <c r="BA695" s="3"/>
      <c r="BB695" s="1"/>
      <c r="BC695" s="1"/>
    </row>
    <row r="696" spans="1:55" s="78" customFormat="1" ht="15" customHeight="1" x14ac:dyDescent="0.25">
      <c r="A696" s="52" t="s">
        <v>4705</v>
      </c>
      <c r="B696" s="34" t="s">
        <v>59</v>
      </c>
      <c r="C696" s="53">
        <v>2026</v>
      </c>
      <c r="D696" s="53">
        <v>2026</v>
      </c>
      <c r="E696" s="54" t="s">
        <v>3399</v>
      </c>
      <c r="F696" s="55" t="s">
        <v>50</v>
      </c>
      <c r="G696" s="55" t="s">
        <v>50</v>
      </c>
      <c r="H696" s="45" t="s">
        <v>1720</v>
      </c>
      <c r="I696" s="61" t="s">
        <v>52</v>
      </c>
      <c r="J696" s="56"/>
      <c r="K696" s="45" t="s">
        <v>392</v>
      </c>
      <c r="L696" s="55"/>
      <c r="M696" s="55"/>
      <c r="N696" s="55" t="s">
        <v>110</v>
      </c>
      <c r="O696" s="55"/>
      <c r="P696" s="55" t="s">
        <v>394</v>
      </c>
      <c r="Q696" s="55" t="s">
        <v>57</v>
      </c>
      <c r="R696" s="55"/>
      <c r="S696" s="56" t="s">
        <v>58</v>
      </c>
      <c r="T696" s="55" t="str">
        <f>IF(ISNUMBER(SEARCH(",",N696)),"Y","N")</f>
        <v>N</v>
      </c>
      <c r="U696" s="57">
        <v>-999</v>
      </c>
      <c r="V696" s="57" t="s">
        <v>59</v>
      </c>
      <c r="W696" s="55"/>
      <c r="X696" s="54" t="s">
        <v>4705</v>
      </c>
      <c r="Y696" s="52"/>
      <c r="Z696" s="3" t="s">
        <v>154</v>
      </c>
      <c r="AA696" s="3" t="s">
        <v>1721</v>
      </c>
      <c r="AB696" s="3"/>
      <c r="AC696" s="3"/>
      <c r="AD696" s="3" t="s">
        <v>62</v>
      </c>
      <c r="AE696" s="3" t="s">
        <v>251</v>
      </c>
      <c r="AF696" s="3"/>
      <c r="AG696" s="3" t="s">
        <v>1722</v>
      </c>
      <c r="AH696" s="58">
        <v>100</v>
      </c>
      <c r="AI696" s="3"/>
      <c r="AJ696" s="53"/>
      <c r="AK696" s="3"/>
      <c r="AL696" s="3"/>
      <c r="AM696" s="3"/>
      <c r="AN696" s="3"/>
      <c r="AO696" s="3"/>
      <c r="AP696" s="3"/>
      <c r="AQ696" s="3"/>
      <c r="AR696" s="3"/>
      <c r="AS696" s="3"/>
      <c r="AT696" s="3"/>
      <c r="AU696" s="3"/>
      <c r="AV696" s="3"/>
      <c r="AW696" s="3"/>
      <c r="AX696" s="3"/>
      <c r="AY696" s="3"/>
      <c r="AZ696" s="4" t="s">
        <v>1719</v>
      </c>
      <c r="BA696" s="3"/>
      <c r="BB696" s="1"/>
      <c r="BC696" s="1"/>
    </row>
    <row r="697" spans="1:55" s="78" customFormat="1" ht="15" customHeight="1" x14ac:dyDescent="0.25">
      <c r="A697" s="52" t="s">
        <v>4706</v>
      </c>
      <c r="B697" s="34" t="s">
        <v>59</v>
      </c>
      <c r="C697" s="53">
        <v>2026</v>
      </c>
      <c r="D697" s="53">
        <v>2026</v>
      </c>
      <c r="E697" s="54" t="s">
        <v>3400</v>
      </c>
      <c r="F697" s="55" t="s">
        <v>50</v>
      </c>
      <c r="G697" s="55" t="s">
        <v>50</v>
      </c>
      <c r="H697" s="45" t="s">
        <v>1724</v>
      </c>
      <c r="I697" s="56" t="s">
        <v>52</v>
      </c>
      <c r="J697" s="56"/>
      <c r="K697" s="55" t="s">
        <v>313</v>
      </c>
      <c r="L697" s="55"/>
      <c r="M697" s="55" t="s">
        <v>113</v>
      </c>
      <c r="N697" s="56" t="s">
        <v>55</v>
      </c>
      <c r="O697" s="56" t="s">
        <v>699</v>
      </c>
      <c r="P697" s="56" t="s">
        <v>314</v>
      </c>
      <c r="Q697" s="61" t="s">
        <v>57</v>
      </c>
      <c r="R697" s="55"/>
      <c r="S697" s="56" t="s">
        <v>81</v>
      </c>
      <c r="T697" s="55" t="s">
        <v>81</v>
      </c>
      <c r="U697" s="57">
        <v>-999</v>
      </c>
      <c r="V697" s="57" t="s">
        <v>59</v>
      </c>
      <c r="W697" s="55" t="s">
        <v>2319</v>
      </c>
      <c r="X697" s="54" t="s">
        <v>4706</v>
      </c>
      <c r="Y697" s="52"/>
      <c r="Z697" s="2" t="s">
        <v>61</v>
      </c>
      <c r="AA697" s="1" t="s">
        <v>1725</v>
      </c>
      <c r="AB697" s="1"/>
      <c r="AC697" s="1"/>
      <c r="AD697" s="3" t="s">
        <v>62</v>
      </c>
      <c r="AE697" s="2" t="s">
        <v>605</v>
      </c>
      <c r="AF697" s="2"/>
      <c r="AG697" s="1" t="s">
        <v>1723</v>
      </c>
      <c r="AH697" s="2">
        <v>100</v>
      </c>
      <c r="AI697" s="1"/>
      <c r="AJ697" s="1"/>
      <c r="AK697" s="1"/>
      <c r="AL697" s="1"/>
      <c r="AM697" s="1"/>
      <c r="AN697" s="1"/>
      <c r="AO697" s="1"/>
      <c r="AP697" s="1"/>
      <c r="AQ697" s="1"/>
      <c r="AR697" s="1"/>
      <c r="AS697" s="1"/>
      <c r="AT697" s="1"/>
      <c r="AU697" s="1"/>
      <c r="AV697" s="1"/>
      <c r="AW697" s="1"/>
      <c r="AX697" s="1"/>
      <c r="AY697" s="1"/>
      <c r="AZ697" s="4" t="s">
        <v>1723</v>
      </c>
      <c r="BA697" s="1"/>
      <c r="BB697" s="1"/>
      <c r="BC697" s="1"/>
    </row>
    <row r="698" spans="1:55" s="78" customFormat="1" ht="15" customHeight="1" x14ac:dyDescent="0.25">
      <c r="A698" s="52" t="s">
        <v>4707</v>
      </c>
      <c r="B698" s="34" t="s">
        <v>59</v>
      </c>
      <c r="C698" s="53">
        <v>2026</v>
      </c>
      <c r="D698" s="53">
        <v>2026</v>
      </c>
      <c r="E698" s="54" t="s">
        <v>3401</v>
      </c>
      <c r="F698" s="55" t="s">
        <v>50</v>
      </c>
      <c r="G698" s="55" t="s">
        <v>50</v>
      </c>
      <c r="H698" s="45" t="s">
        <v>1727</v>
      </c>
      <c r="I698" s="45" t="s">
        <v>52</v>
      </c>
      <c r="J698" s="56"/>
      <c r="K698" s="55" t="s">
        <v>582</v>
      </c>
      <c r="L698" s="55" t="s">
        <v>54</v>
      </c>
      <c r="M698" s="55" t="s">
        <v>113</v>
      </c>
      <c r="N698" s="55" t="s">
        <v>141</v>
      </c>
      <c r="O698" s="55"/>
      <c r="P698" s="61" t="s">
        <v>583</v>
      </c>
      <c r="Q698" s="61" t="s">
        <v>57</v>
      </c>
      <c r="R698" s="55"/>
      <c r="S698" s="56" t="s">
        <v>81</v>
      </c>
      <c r="T698" s="55" t="str">
        <f>IF(ISNUMBER(SEARCH(",",N698)),"Y","N")</f>
        <v>N</v>
      </c>
      <c r="U698" s="57">
        <v>58000</v>
      </c>
      <c r="V698" s="57" t="s">
        <v>101</v>
      </c>
      <c r="W698" s="55"/>
      <c r="X698" s="54" t="s">
        <v>4707</v>
      </c>
      <c r="Y698" s="52"/>
      <c r="Z698" s="3" t="s">
        <v>2005</v>
      </c>
      <c r="AA698" s="3" t="s">
        <v>1728</v>
      </c>
      <c r="AB698" s="3"/>
      <c r="AC698" s="3"/>
      <c r="AD698" s="3" t="s">
        <v>62</v>
      </c>
      <c r="AE698" s="3" t="s">
        <v>83</v>
      </c>
      <c r="AF698" s="3"/>
      <c r="AG698" s="3" t="s">
        <v>1729</v>
      </c>
      <c r="AH698" s="58">
        <v>100</v>
      </c>
      <c r="AI698" s="3"/>
      <c r="AJ698" s="3"/>
      <c r="AK698" s="3"/>
      <c r="AL698" s="3"/>
      <c r="AM698" s="3"/>
      <c r="AN698" s="3"/>
      <c r="AO698" s="3"/>
      <c r="AP698" s="3"/>
      <c r="AQ698" s="3"/>
      <c r="AR698" s="3"/>
      <c r="AS698" s="3"/>
      <c r="AT698" s="3"/>
      <c r="AU698" s="3"/>
      <c r="AV698" s="3"/>
      <c r="AW698" s="3"/>
      <c r="AX698" s="3"/>
      <c r="AY698" s="3"/>
      <c r="AZ698" s="4" t="s">
        <v>1726</v>
      </c>
      <c r="BA698" s="3"/>
      <c r="BB698" s="1"/>
      <c r="BC698" s="1"/>
    </row>
    <row r="699" spans="1:55" s="78" customFormat="1" ht="15" customHeight="1" x14ac:dyDescent="0.25">
      <c r="A699" s="52" t="s">
        <v>4708</v>
      </c>
      <c r="B699" s="34" t="s">
        <v>59</v>
      </c>
      <c r="C699" s="53">
        <v>2026</v>
      </c>
      <c r="D699" s="53">
        <v>2026</v>
      </c>
      <c r="E699" s="54" t="s">
        <v>3402</v>
      </c>
      <c r="F699" s="55" t="s">
        <v>50</v>
      </c>
      <c r="G699" s="55" t="s">
        <v>50</v>
      </c>
      <c r="H699" s="45" t="s">
        <v>1730</v>
      </c>
      <c r="I699" s="45" t="s">
        <v>52</v>
      </c>
      <c r="J699" s="56"/>
      <c r="K699" s="55" t="s">
        <v>582</v>
      </c>
      <c r="L699" s="55" t="s">
        <v>317</v>
      </c>
      <c r="M699" s="55" t="s">
        <v>113</v>
      </c>
      <c r="N699" s="55" t="s">
        <v>141</v>
      </c>
      <c r="O699" s="55"/>
      <c r="P699" s="61" t="s">
        <v>583</v>
      </c>
      <c r="Q699" s="61" t="s">
        <v>57</v>
      </c>
      <c r="R699" s="55"/>
      <c r="S699" s="56" t="s">
        <v>81</v>
      </c>
      <c r="T699" s="55" t="str">
        <f>IF(ISNUMBER(SEARCH(",",N699)),"Y","N")</f>
        <v>N</v>
      </c>
      <c r="U699" s="57">
        <v>58000</v>
      </c>
      <c r="V699" s="57" t="s">
        <v>101</v>
      </c>
      <c r="W699" s="55"/>
      <c r="X699" s="54" t="s">
        <v>4708</v>
      </c>
      <c r="Y699" s="52"/>
      <c r="Z699" s="3" t="s">
        <v>2005</v>
      </c>
      <c r="AA699" s="3" t="s">
        <v>1728</v>
      </c>
      <c r="AB699" s="3"/>
      <c r="AC699" s="3"/>
      <c r="AD699" s="3" t="s">
        <v>62</v>
      </c>
      <c r="AE699" s="3" t="s">
        <v>83</v>
      </c>
      <c r="AF699" s="3"/>
      <c r="AG699" s="3" t="s">
        <v>1729</v>
      </c>
      <c r="AH699" s="58">
        <v>100</v>
      </c>
      <c r="AI699" s="3"/>
      <c r="AJ699" s="3"/>
      <c r="AK699" s="3"/>
      <c r="AL699" s="3"/>
      <c r="AM699" s="3"/>
      <c r="AN699" s="3"/>
      <c r="AO699" s="3"/>
      <c r="AP699" s="3"/>
      <c r="AQ699" s="3"/>
      <c r="AR699" s="3"/>
      <c r="AS699" s="3"/>
      <c r="AT699" s="3"/>
      <c r="AU699" s="3"/>
      <c r="AV699" s="3"/>
      <c r="AW699" s="3"/>
      <c r="AX699" s="3"/>
      <c r="AY699" s="3"/>
      <c r="AZ699" s="4" t="s">
        <v>1726</v>
      </c>
      <c r="BA699" s="3"/>
      <c r="BB699" s="1"/>
      <c r="BC699" s="1"/>
    </row>
    <row r="700" spans="1:55" s="78" customFormat="1" ht="15" customHeight="1" x14ac:dyDescent="0.25">
      <c r="A700" s="52" t="s">
        <v>4709</v>
      </c>
      <c r="B700" s="34" t="s">
        <v>59</v>
      </c>
      <c r="C700" s="53">
        <v>2026</v>
      </c>
      <c r="D700" s="53">
        <v>2026</v>
      </c>
      <c r="E700" s="54" t="s">
        <v>3403</v>
      </c>
      <c r="F700" s="55" t="s">
        <v>50</v>
      </c>
      <c r="G700" s="55" t="s">
        <v>50</v>
      </c>
      <c r="H700" s="45" t="s">
        <v>1732</v>
      </c>
      <c r="I700" s="45" t="s">
        <v>52</v>
      </c>
      <c r="J700" s="56"/>
      <c r="K700" s="55" t="s">
        <v>210</v>
      </c>
      <c r="L700" s="55" t="s">
        <v>54</v>
      </c>
      <c r="M700" s="55" t="s">
        <v>211</v>
      </c>
      <c r="N700" s="55" t="s">
        <v>212</v>
      </c>
      <c r="O700" s="55"/>
      <c r="P700" s="55" t="s">
        <v>89</v>
      </c>
      <c r="Q700" s="55" t="s">
        <v>89</v>
      </c>
      <c r="R700" s="55"/>
      <c r="S700" s="56" t="s">
        <v>81</v>
      </c>
      <c r="T700" s="55" t="s">
        <v>81</v>
      </c>
      <c r="U700" s="57">
        <v>36500</v>
      </c>
      <c r="V700" s="57" t="s">
        <v>101</v>
      </c>
      <c r="W700" s="55" t="s">
        <v>2319</v>
      </c>
      <c r="X700" s="54" t="s">
        <v>4709</v>
      </c>
      <c r="Y700" s="52"/>
      <c r="Z700" s="3" t="s">
        <v>61</v>
      </c>
      <c r="AA700" s="1" t="s">
        <v>1733</v>
      </c>
      <c r="AB700" s="1"/>
      <c r="AC700" s="1"/>
      <c r="AD700" s="3" t="s">
        <v>62</v>
      </c>
      <c r="AE700" s="3" t="s">
        <v>184</v>
      </c>
      <c r="AF700" s="3"/>
      <c r="AG700" s="1" t="s">
        <v>1734</v>
      </c>
      <c r="AH700" s="2">
        <v>100</v>
      </c>
      <c r="AI700" s="1"/>
      <c r="AJ700" s="2"/>
      <c r="AK700" s="3"/>
      <c r="AL700" s="3"/>
      <c r="AM700" s="3"/>
      <c r="AN700" s="3"/>
      <c r="AO700" s="3"/>
      <c r="AP700" s="3"/>
      <c r="AQ700" s="3"/>
      <c r="AR700" s="3"/>
      <c r="AS700" s="3"/>
      <c r="AT700" s="3"/>
      <c r="AU700" s="3"/>
      <c r="AV700" s="3"/>
      <c r="AW700" s="3"/>
      <c r="AX700" s="3"/>
      <c r="AY700" s="3"/>
      <c r="AZ700" s="4" t="s">
        <v>1731</v>
      </c>
      <c r="BA700" s="3"/>
      <c r="BB700" s="1"/>
      <c r="BC700" s="1"/>
    </row>
    <row r="701" spans="1:55" s="78" customFormat="1" ht="15" customHeight="1" x14ac:dyDescent="0.25">
      <c r="A701" s="52" t="s">
        <v>4710</v>
      </c>
      <c r="B701" s="34" t="s">
        <v>59</v>
      </c>
      <c r="C701" s="53">
        <v>2026</v>
      </c>
      <c r="D701" s="53">
        <v>2026</v>
      </c>
      <c r="E701" s="54" t="s">
        <v>3404</v>
      </c>
      <c r="F701" s="55" t="s">
        <v>50</v>
      </c>
      <c r="G701" s="55" t="s">
        <v>50</v>
      </c>
      <c r="H701" s="45" t="s">
        <v>1736</v>
      </c>
      <c r="I701" s="56" t="s">
        <v>52</v>
      </c>
      <c r="J701" s="56"/>
      <c r="K701" s="45" t="s">
        <v>79</v>
      </c>
      <c r="L701" s="55"/>
      <c r="M701" s="55"/>
      <c r="N701" s="55" t="s">
        <v>80</v>
      </c>
      <c r="O701" s="55"/>
      <c r="P701" s="55" t="s">
        <v>89</v>
      </c>
      <c r="Q701" s="55" t="s">
        <v>89</v>
      </c>
      <c r="R701" s="55"/>
      <c r="S701" s="56" t="s">
        <v>81</v>
      </c>
      <c r="T701" s="55" t="s">
        <v>81</v>
      </c>
      <c r="U701" s="57">
        <v>-999</v>
      </c>
      <c r="V701" s="57" t="s">
        <v>59</v>
      </c>
      <c r="W701" s="55" t="s">
        <v>2319</v>
      </c>
      <c r="X701" s="54" t="s">
        <v>4710</v>
      </c>
      <c r="Y701" s="52"/>
      <c r="Z701" s="3" t="s">
        <v>61</v>
      </c>
      <c r="AA701" s="3" t="s">
        <v>1737</v>
      </c>
      <c r="AB701" s="3"/>
      <c r="AC701" s="3"/>
      <c r="AD701" s="3" t="s">
        <v>62</v>
      </c>
      <c r="AE701" s="3" t="s">
        <v>506</v>
      </c>
      <c r="AF701" s="3"/>
      <c r="AG701" s="1" t="s">
        <v>1483</v>
      </c>
      <c r="AH701" s="2">
        <v>100</v>
      </c>
      <c r="AI701" s="3"/>
      <c r="AJ701" s="53"/>
      <c r="AK701" s="3"/>
      <c r="AL701" s="3"/>
      <c r="AM701" s="3"/>
      <c r="AN701" s="3"/>
      <c r="AO701" s="3"/>
      <c r="AP701" s="3"/>
      <c r="AQ701" s="3"/>
      <c r="AR701" s="3"/>
      <c r="AS701" s="3"/>
      <c r="AT701" s="3"/>
      <c r="AU701" s="3"/>
      <c r="AV701" s="3"/>
      <c r="AW701" s="3"/>
      <c r="AX701" s="3"/>
      <c r="AY701" s="3"/>
      <c r="AZ701" s="5" t="s">
        <v>1735</v>
      </c>
      <c r="BA701" s="3"/>
      <c r="BB701" s="1"/>
      <c r="BC701" s="1"/>
    </row>
    <row r="702" spans="1:55" s="78" customFormat="1" ht="15" customHeight="1" x14ac:dyDescent="0.25">
      <c r="A702" s="52" t="s">
        <v>4711</v>
      </c>
      <c r="B702" s="34" t="s">
        <v>59</v>
      </c>
      <c r="C702" s="53">
        <v>2026</v>
      </c>
      <c r="D702" s="53">
        <v>2026</v>
      </c>
      <c r="E702" s="54" t="s">
        <v>3405</v>
      </c>
      <c r="F702" s="55" t="s">
        <v>50</v>
      </c>
      <c r="G702" s="55" t="s">
        <v>50</v>
      </c>
      <c r="H702" s="45" t="s">
        <v>1738</v>
      </c>
      <c r="I702" s="56" t="s">
        <v>78</v>
      </c>
      <c r="J702" s="56"/>
      <c r="K702" s="56" t="s">
        <v>74</v>
      </c>
      <c r="L702" s="55" t="s">
        <v>88</v>
      </c>
      <c r="M702" s="55"/>
      <c r="N702" s="55" t="s">
        <v>181</v>
      </c>
      <c r="O702" s="55"/>
      <c r="P702" s="55" t="s">
        <v>75</v>
      </c>
      <c r="Q702" s="56" t="s">
        <v>57</v>
      </c>
      <c r="R702" s="55"/>
      <c r="S702" s="56" t="s">
        <v>58</v>
      </c>
      <c r="T702" s="55" t="str">
        <f>IF(ISNUMBER(SEARCH(",",N702)),"Y","N")</f>
        <v>N</v>
      </c>
      <c r="U702" s="73">
        <v>0.68</v>
      </c>
      <c r="V702" s="57" t="s">
        <v>101</v>
      </c>
      <c r="W702" s="55"/>
      <c r="X702" s="54" t="s">
        <v>4711</v>
      </c>
      <c r="Y702" s="52"/>
      <c r="Z702" s="1" t="s">
        <v>61</v>
      </c>
      <c r="AA702" s="3" t="s">
        <v>1739</v>
      </c>
      <c r="AB702" s="3"/>
      <c r="AC702" s="3"/>
      <c r="AD702" s="3" t="s">
        <v>62</v>
      </c>
      <c r="AE702" s="3" t="s">
        <v>83</v>
      </c>
      <c r="AF702" s="1" t="s">
        <v>431</v>
      </c>
      <c r="AG702" s="1" t="s">
        <v>432</v>
      </c>
      <c r="AH702" s="59">
        <v>61.5</v>
      </c>
      <c r="AI702" s="1" t="s">
        <v>433</v>
      </c>
      <c r="AJ702" s="59">
        <v>38.5</v>
      </c>
      <c r="AK702" s="3"/>
      <c r="AL702" s="53"/>
      <c r="AM702" s="3"/>
      <c r="AN702" s="53"/>
      <c r="AO702" s="3"/>
      <c r="AP702" s="53"/>
      <c r="AQ702" s="3"/>
      <c r="AR702" s="53"/>
      <c r="AS702" s="3"/>
      <c r="AT702" s="53"/>
      <c r="AU702" s="3"/>
      <c r="AV702" s="53"/>
      <c r="AW702" s="3"/>
      <c r="AX702" s="53"/>
      <c r="AY702" s="3"/>
      <c r="AZ702" s="4" t="s">
        <v>295</v>
      </c>
      <c r="BA702" s="5"/>
      <c r="BB702" s="1"/>
      <c r="BC702" s="1"/>
    </row>
    <row r="703" spans="1:55" s="78" customFormat="1" ht="15" customHeight="1" x14ac:dyDescent="0.25">
      <c r="A703" s="52" t="s">
        <v>4712</v>
      </c>
      <c r="B703" s="34" t="s">
        <v>59</v>
      </c>
      <c r="C703" s="53">
        <v>2026</v>
      </c>
      <c r="D703" s="53">
        <v>2026</v>
      </c>
      <c r="E703" s="54" t="s">
        <v>3405</v>
      </c>
      <c r="F703" s="55" t="s">
        <v>50</v>
      </c>
      <c r="G703" s="55" t="s">
        <v>50</v>
      </c>
      <c r="H703" s="45" t="s">
        <v>1738</v>
      </c>
      <c r="I703" s="56" t="s">
        <v>78</v>
      </c>
      <c r="J703" s="56"/>
      <c r="K703" s="56" t="s">
        <v>71</v>
      </c>
      <c r="L703" s="55" t="s">
        <v>88</v>
      </c>
      <c r="M703" s="55"/>
      <c r="N703" s="55" t="s">
        <v>181</v>
      </c>
      <c r="O703" s="55"/>
      <c r="P703" s="55" t="s">
        <v>73</v>
      </c>
      <c r="Q703" s="55" t="s">
        <v>57</v>
      </c>
      <c r="R703" s="55"/>
      <c r="S703" s="56" t="s">
        <v>58</v>
      </c>
      <c r="T703" s="55" t="str">
        <f>IF(ISNUMBER(SEARCH(",",N703)),"Y","N")</f>
        <v>N</v>
      </c>
      <c r="U703" s="57">
        <v>9.2420000000000009</v>
      </c>
      <c r="V703" s="57" t="s">
        <v>101</v>
      </c>
      <c r="W703" s="55"/>
      <c r="X703" s="54" t="s">
        <v>4712</v>
      </c>
      <c r="Y703" s="52"/>
      <c r="Z703" s="1" t="s">
        <v>61</v>
      </c>
      <c r="AA703" s="3" t="s">
        <v>1739</v>
      </c>
      <c r="AB703" s="3"/>
      <c r="AC703" s="3"/>
      <c r="AD703" s="3" t="s">
        <v>62</v>
      </c>
      <c r="AE703" s="1" t="s">
        <v>83</v>
      </c>
      <c r="AF703" s="1" t="s">
        <v>431</v>
      </c>
      <c r="AG703" s="1" t="s">
        <v>432</v>
      </c>
      <c r="AH703" s="53">
        <v>61.5</v>
      </c>
      <c r="AI703" s="1" t="s">
        <v>433</v>
      </c>
      <c r="AJ703" s="59">
        <v>38.5</v>
      </c>
      <c r="AK703" s="3"/>
      <c r="AL703" s="53"/>
      <c r="AM703" s="3"/>
      <c r="AN703" s="53"/>
      <c r="AO703" s="3"/>
      <c r="AP703" s="53"/>
      <c r="AQ703" s="3"/>
      <c r="AR703" s="53"/>
      <c r="AS703" s="3"/>
      <c r="AT703" s="53"/>
      <c r="AU703" s="3"/>
      <c r="AV703" s="53"/>
      <c r="AW703" s="3"/>
      <c r="AX703" s="53"/>
      <c r="AY703" s="3"/>
      <c r="AZ703" s="4" t="s">
        <v>295</v>
      </c>
      <c r="BA703" s="5"/>
      <c r="BB703" s="1"/>
      <c r="BC703" s="1"/>
    </row>
    <row r="704" spans="1:55" s="78" customFormat="1" ht="15" customHeight="1" x14ac:dyDescent="0.25">
      <c r="A704" s="52" t="s">
        <v>4713</v>
      </c>
      <c r="B704" s="34" t="s">
        <v>59</v>
      </c>
      <c r="C704" s="53">
        <v>2026</v>
      </c>
      <c r="D704" s="53">
        <v>2026</v>
      </c>
      <c r="E704" s="54" t="s">
        <v>3406</v>
      </c>
      <c r="F704" s="55" t="s">
        <v>50</v>
      </c>
      <c r="G704" s="55" t="s">
        <v>50</v>
      </c>
      <c r="H704" s="45" t="s">
        <v>1740</v>
      </c>
      <c r="I704" s="45" t="s">
        <v>52</v>
      </c>
      <c r="J704" s="56"/>
      <c r="K704" s="55" t="s">
        <v>210</v>
      </c>
      <c r="L704" s="55" t="s">
        <v>54</v>
      </c>
      <c r="M704" s="55" t="s">
        <v>211</v>
      </c>
      <c r="N704" s="55" t="s">
        <v>212</v>
      </c>
      <c r="O704" s="55"/>
      <c r="P704" s="55" t="s">
        <v>89</v>
      </c>
      <c r="Q704" s="55" t="s">
        <v>89</v>
      </c>
      <c r="R704" s="55"/>
      <c r="S704" s="56" t="s">
        <v>81</v>
      </c>
      <c r="T704" s="55" t="s">
        <v>81</v>
      </c>
      <c r="U704" s="57">
        <v>248000</v>
      </c>
      <c r="V704" s="57" t="s">
        <v>101</v>
      </c>
      <c r="W704" s="55" t="s">
        <v>2319</v>
      </c>
      <c r="X704" s="54" t="s">
        <v>4713</v>
      </c>
      <c r="Y704" s="52"/>
      <c r="Z704" s="3" t="s">
        <v>61</v>
      </c>
      <c r="AA704" s="1" t="s">
        <v>1741</v>
      </c>
      <c r="AB704" s="1"/>
      <c r="AC704" s="1"/>
      <c r="AD704" s="3" t="s">
        <v>62</v>
      </c>
      <c r="AE704" s="3" t="s">
        <v>695</v>
      </c>
      <c r="AF704" s="3"/>
      <c r="AG704" s="1" t="s">
        <v>410</v>
      </c>
      <c r="AH704" s="2">
        <v>100</v>
      </c>
      <c r="AI704" s="1"/>
      <c r="AJ704" s="2"/>
      <c r="AK704" s="3"/>
      <c r="AL704" s="3"/>
      <c r="AM704" s="3"/>
      <c r="AN704" s="3"/>
      <c r="AO704" s="3"/>
      <c r="AP704" s="3"/>
      <c r="AQ704" s="3"/>
      <c r="AR704" s="3"/>
      <c r="AS704" s="3"/>
      <c r="AT704" s="3"/>
      <c r="AU704" s="3"/>
      <c r="AV704" s="3"/>
      <c r="AW704" s="3"/>
      <c r="AX704" s="3"/>
      <c r="AY704" s="3"/>
      <c r="AZ704" s="4" t="s">
        <v>3890</v>
      </c>
      <c r="BA704" s="3" t="s">
        <v>3891</v>
      </c>
      <c r="BB704" s="1"/>
      <c r="BC704" s="1"/>
    </row>
    <row r="705" spans="1:55" s="78" customFormat="1" ht="15" customHeight="1" x14ac:dyDescent="0.25">
      <c r="A705" s="52" t="s">
        <v>4714</v>
      </c>
      <c r="B705" s="34" t="s">
        <v>59</v>
      </c>
      <c r="C705" s="53">
        <v>2026</v>
      </c>
      <c r="D705" s="53">
        <v>2026</v>
      </c>
      <c r="E705" s="54" t="s">
        <v>3407</v>
      </c>
      <c r="F705" s="55" t="s">
        <v>50</v>
      </c>
      <c r="G705" s="55" t="s">
        <v>50</v>
      </c>
      <c r="H705" s="45" t="s">
        <v>1745</v>
      </c>
      <c r="I705" s="56" t="s">
        <v>78</v>
      </c>
      <c r="J705" s="56"/>
      <c r="K705" s="56" t="s">
        <v>74</v>
      </c>
      <c r="L705" s="55" t="s">
        <v>88</v>
      </c>
      <c r="M705" s="55"/>
      <c r="N705" s="56" t="s">
        <v>181</v>
      </c>
      <c r="O705" s="56"/>
      <c r="P705" s="55" t="s">
        <v>75</v>
      </c>
      <c r="Q705" s="56" t="s">
        <v>57</v>
      </c>
      <c r="R705" s="55"/>
      <c r="S705" s="56" t="s">
        <v>58</v>
      </c>
      <c r="T705" s="55" t="str">
        <f>IF(ISNUMBER(SEARCH(",",N705)),"Y","N")</f>
        <v>N</v>
      </c>
      <c r="U705" s="57">
        <v>-999</v>
      </c>
      <c r="V705" s="57" t="s">
        <v>59</v>
      </c>
      <c r="W705" s="55"/>
      <c r="X705" s="54" t="s">
        <v>4714</v>
      </c>
      <c r="Y705" s="52"/>
      <c r="Z705" s="1" t="s">
        <v>61</v>
      </c>
      <c r="AA705" s="1" t="s">
        <v>1746</v>
      </c>
      <c r="AB705" s="1"/>
      <c r="AC705" s="1"/>
      <c r="AD705" s="3" t="s">
        <v>62</v>
      </c>
      <c r="AE705" s="1" t="s">
        <v>464</v>
      </c>
      <c r="AF705" s="1" t="s">
        <v>740</v>
      </c>
      <c r="AG705" s="1" t="s">
        <v>740</v>
      </c>
      <c r="AH705" s="58"/>
      <c r="AI705" s="1"/>
      <c r="AJ705" s="1"/>
      <c r="AK705" s="1"/>
      <c r="AL705" s="1"/>
      <c r="AM705" s="1"/>
      <c r="AN705" s="1"/>
      <c r="AO705" s="1"/>
      <c r="AP705" s="1"/>
      <c r="AQ705" s="1"/>
      <c r="AR705" s="1"/>
      <c r="AS705" s="1"/>
      <c r="AT705" s="1"/>
      <c r="AU705" s="1"/>
      <c r="AV705" s="1"/>
      <c r="AW705" s="1"/>
      <c r="AX705" s="1"/>
      <c r="AY705" s="1"/>
      <c r="AZ705" s="5" t="s">
        <v>1744</v>
      </c>
      <c r="BA705" s="5"/>
      <c r="BB705" s="1"/>
      <c r="BC705" s="1"/>
    </row>
    <row r="706" spans="1:55" s="78" customFormat="1" ht="15" customHeight="1" x14ac:dyDescent="0.25">
      <c r="A706" s="52" t="s">
        <v>4715</v>
      </c>
      <c r="B706" s="34" t="s">
        <v>59</v>
      </c>
      <c r="C706" s="53">
        <v>2026</v>
      </c>
      <c r="D706" s="53">
        <v>2026</v>
      </c>
      <c r="E706" s="54" t="s">
        <v>3407</v>
      </c>
      <c r="F706" s="55" t="s">
        <v>50</v>
      </c>
      <c r="G706" s="55" t="s">
        <v>50</v>
      </c>
      <c r="H706" s="45" t="s">
        <v>1745</v>
      </c>
      <c r="I706" s="56" t="s">
        <v>78</v>
      </c>
      <c r="J706" s="56"/>
      <c r="K706" s="56" t="s">
        <v>71</v>
      </c>
      <c r="L706" s="55" t="s">
        <v>88</v>
      </c>
      <c r="M706" s="55"/>
      <c r="N706" s="56" t="s">
        <v>181</v>
      </c>
      <c r="O706" s="56"/>
      <c r="P706" s="55" t="s">
        <v>73</v>
      </c>
      <c r="Q706" s="55" t="s">
        <v>57</v>
      </c>
      <c r="R706" s="55"/>
      <c r="S706" s="56" t="s">
        <v>58</v>
      </c>
      <c r="T706" s="55" t="str">
        <f>IF(ISNUMBER(SEARCH(",",N706)),"Y","N")</f>
        <v>N</v>
      </c>
      <c r="U706" s="57">
        <v>3.9689999999999999</v>
      </c>
      <c r="V706" s="57" t="s">
        <v>101</v>
      </c>
      <c r="W706" s="55"/>
      <c r="X706" s="54" t="s">
        <v>4715</v>
      </c>
      <c r="Y706" s="52"/>
      <c r="Z706" s="1" t="s">
        <v>61</v>
      </c>
      <c r="AA706" s="1" t="s">
        <v>1746</v>
      </c>
      <c r="AB706" s="1"/>
      <c r="AC706" s="1"/>
      <c r="AD706" s="3" t="s">
        <v>62</v>
      </c>
      <c r="AE706" s="1" t="s">
        <v>464</v>
      </c>
      <c r="AF706" s="1" t="s">
        <v>740</v>
      </c>
      <c r="AG706" s="1" t="s">
        <v>740</v>
      </c>
      <c r="AH706" s="2"/>
      <c r="AI706" s="1"/>
      <c r="AJ706" s="1"/>
      <c r="AK706" s="1"/>
      <c r="AL706" s="1"/>
      <c r="AM706" s="1"/>
      <c r="AN706" s="1"/>
      <c r="AO706" s="1"/>
      <c r="AP706" s="1"/>
      <c r="AQ706" s="1"/>
      <c r="AR706" s="1"/>
      <c r="AS706" s="1"/>
      <c r="AT706" s="1"/>
      <c r="AU706" s="1"/>
      <c r="AV706" s="1"/>
      <c r="AW706" s="1"/>
      <c r="AX706" s="1"/>
      <c r="AY706" s="1"/>
      <c r="AZ706" s="5" t="s">
        <v>3892</v>
      </c>
      <c r="BA706" s="5" t="s">
        <v>3893</v>
      </c>
      <c r="BB706" s="1"/>
      <c r="BC706" s="1"/>
    </row>
    <row r="707" spans="1:55" s="78" customFormat="1" ht="15" customHeight="1" x14ac:dyDescent="0.25">
      <c r="A707" s="52" t="s">
        <v>4716</v>
      </c>
      <c r="B707" s="34" t="s">
        <v>59</v>
      </c>
      <c r="C707" s="53">
        <v>2026</v>
      </c>
      <c r="D707" s="53">
        <v>2026</v>
      </c>
      <c r="E707" s="54" t="s">
        <v>3408</v>
      </c>
      <c r="F707" s="55" t="s">
        <v>50</v>
      </c>
      <c r="G707" s="55" t="s">
        <v>50</v>
      </c>
      <c r="H707" s="45" t="s">
        <v>1747</v>
      </c>
      <c r="I707" s="56" t="s">
        <v>52</v>
      </c>
      <c r="J707" s="56"/>
      <c r="K707" s="56" t="s">
        <v>74</v>
      </c>
      <c r="L707" s="55"/>
      <c r="M707" s="55"/>
      <c r="N707" s="55" t="s">
        <v>110</v>
      </c>
      <c r="O707" s="56" t="s">
        <v>296</v>
      </c>
      <c r="P707" s="55" t="s">
        <v>75</v>
      </c>
      <c r="Q707" s="56" t="s">
        <v>57</v>
      </c>
      <c r="R707" s="55"/>
      <c r="S707" s="56" t="s">
        <v>58</v>
      </c>
      <c r="T707" s="55" t="s">
        <v>81</v>
      </c>
      <c r="U707" s="57">
        <v>-999</v>
      </c>
      <c r="V707" s="57" t="s">
        <v>59</v>
      </c>
      <c r="W707" s="55"/>
      <c r="X707" s="54" t="s">
        <v>4716</v>
      </c>
      <c r="Y707" s="52"/>
      <c r="Z707" s="1" t="s">
        <v>61</v>
      </c>
      <c r="AA707" s="1" t="s">
        <v>1746</v>
      </c>
      <c r="AB707" s="1"/>
      <c r="AC707" s="1"/>
      <c r="AD707" s="3" t="s">
        <v>62</v>
      </c>
      <c r="AE707" s="1" t="s">
        <v>464</v>
      </c>
      <c r="AF707" s="1" t="s">
        <v>740</v>
      </c>
      <c r="AG707" s="1" t="s">
        <v>740</v>
      </c>
      <c r="AH707" s="59"/>
      <c r="AI707" s="1"/>
      <c r="AJ707" s="59"/>
      <c r="AK707" s="3"/>
      <c r="AL707" s="53"/>
      <c r="AM707" s="3"/>
      <c r="AN707" s="53"/>
      <c r="AO707" s="3"/>
      <c r="AP707" s="53"/>
      <c r="AQ707" s="3"/>
      <c r="AR707" s="53"/>
      <c r="AS707" s="3"/>
      <c r="AT707" s="53"/>
      <c r="AU707" s="3"/>
      <c r="AV707" s="53"/>
      <c r="AW707" s="3"/>
      <c r="AX707" s="53"/>
      <c r="AY707" s="3"/>
      <c r="AZ707" s="5" t="s">
        <v>3892</v>
      </c>
      <c r="BA707" s="5" t="s">
        <v>3893</v>
      </c>
      <c r="BB707" s="1"/>
      <c r="BC707" s="1"/>
    </row>
    <row r="708" spans="1:55" s="78" customFormat="1" ht="15" customHeight="1" x14ac:dyDescent="0.25">
      <c r="A708" s="52" t="s">
        <v>4717</v>
      </c>
      <c r="B708" s="34" t="s">
        <v>59</v>
      </c>
      <c r="C708" s="53">
        <v>2026</v>
      </c>
      <c r="D708" s="53">
        <v>2026</v>
      </c>
      <c r="E708" s="54" t="s">
        <v>3408</v>
      </c>
      <c r="F708" s="55" t="s">
        <v>50</v>
      </c>
      <c r="G708" s="55" t="s">
        <v>50</v>
      </c>
      <c r="H708" s="45" t="s">
        <v>1747</v>
      </c>
      <c r="I708" s="56" t="s">
        <v>52</v>
      </c>
      <c r="J708" s="56"/>
      <c r="K708" s="56" t="s">
        <v>71</v>
      </c>
      <c r="L708" s="55"/>
      <c r="M708" s="55"/>
      <c r="N708" s="55" t="s">
        <v>110</v>
      </c>
      <c r="O708" s="45" t="s">
        <v>296</v>
      </c>
      <c r="P708" s="55" t="s">
        <v>73</v>
      </c>
      <c r="Q708" s="55" t="s">
        <v>57</v>
      </c>
      <c r="R708" s="55"/>
      <c r="S708" s="56" t="s">
        <v>58</v>
      </c>
      <c r="T708" s="55" t="s">
        <v>81</v>
      </c>
      <c r="U708" s="57">
        <v>3.9689999999999999</v>
      </c>
      <c r="V708" s="57" t="s">
        <v>101</v>
      </c>
      <c r="W708" s="55"/>
      <c r="X708" s="54" t="s">
        <v>4717</v>
      </c>
      <c r="Y708" s="52"/>
      <c r="Z708" s="1" t="s">
        <v>61</v>
      </c>
      <c r="AA708" s="1" t="s">
        <v>1746</v>
      </c>
      <c r="AB708" s="1"/>
      <c r="AC708" s="1"/>
      <c r="AD708" s="3" t="s">
        <v>62</v>
      </c>
      <c r="AE708" s="1" t="s">
        <v>464</v>
      </c>
      <c r="AF708" s="1" t="s">
        <v>740</v>
      </c>
      <c r="AG708" s="1" t="s">
        <v>740</v>
      </c>
      <c r="AH708" s="2"/>
      <c r="AI708" s="1"/>
      <c r="AJ708" s="1"/>
      <c r="AK708" s="1"/>
      <c r="AL708" s="1"/>
      <c r="AM708" s="1"/>
      <c r="AN708" s="1"/>
      <c r="AO708" s="1"/>
      <c r="AP708" s="1"/>
      <c r="AQ708" s="1"/>
      <c r="AR708" s="1"/>
      <c r="AS708" s="1"/>
      <c r="AT708" s="1"/>
      <c r="AU708" s="1"/>
      <c r="AV708" s="1"/>
      <c r="AW708" s="1"/>
      <c r="AX708" s="1"/>
      <c r="AY708" s="1"/>
      <c r="AZ708" s="5" t="s">
        <v>3892</v>
      </c>
      <c r="BA708" s="5" t="s">
        <v>3893</v>
      </c>
      <c r="BB708" s="1"/>
      <c r="BC708" s="1"/>
    </row>
    <row r="709" spans="1:55" s="78" customFormat="1" ht="15" customHeight="1" x14ac:dyDescent="0.25">
      <c r="A709" s="52" t="s">
        <v>4718</v>
      </c>
      <c r="B709" s="34" t="s">
        <v>59</v>
      </c>
      <c r="C709" s="53">
        <v>2026</v>
      </c>
      <c r="D709" s="53">
        <v>2026</v>
      </c>
      <c r="E709" s="54" t="s">
        <v>3409</v>
      </c>
      <c r="F709" s="55" t="s">
        <v>50</v>
      </c>
      <c r="G709" s="55" t="s">
        <v>50</v>
      </c>
      <c r="H709" s="45" t="s">
        <v>1748</v>
      </c>
      <c r="I709" s="56" t="s">
        <v>52</v>
      </c>
      <c r="J709" s="56"/>
      <c r="K709" s="56" t="s">
        <v>1019</v>
      </c>
      <c r="L709" s="55"/>
      <c r="M709" s="55"/>
      <c r="N709" s="56"/>
      <c r="O709" s="56" t="s">
        <v>1025</v>
      </c>
      <c r="P709" s="56" t="s">
        <v>89</v>
      </c>
      <c r="Q709" s="56" t="s">
        <v>89</v>
      </c>
      <c r="R709" s="55"/>
      <c r="S709" s="56" t="s">
        <v>81</v>
      </c>
      <c r="T709" s="55" t="s">
        <v>81</v>
      </c>
      <c r="U709" s="57">
        <v>-999</v>
      </c>
      <c r="V709" s="57" t="s">
        <v>59</v>
      </c>
      <c r="W709" s="55" t="s">
        <v>2319</v>
      </c>
      <c r="X709" s="54" t="s">
        <v>4718</v>
      </c>
      <c r="Y709" s="52"/>
      <c r="Z709" s="1" t="s">
        <v>61</v>
      </c>
      <c r="AA709" s="1" t="s">
        <v>1420</v>
      </c>
      <c r="AB709" s="1"/>
      <c r="AC709" s="1"/>
      <c r="AD709" s="3" t="s">
        <v>62</v>
      </c>
      <c r="AE709" s="1" t="s">
        <v>506</v>
      </c>
      <c r="AF709" s="1"/>
      <c r="AG709" s="1" t="s">
        <v>1749</v>
      </c>
      <c r="AH709" s="2">
        <v>100</v>
      </c>
      <c r="AI709" s="1"/>
      <c r="AJ709" s="1"/>
      <c r="AK709" s="1"/>
      <c r="AL709" s="1"/>
      <c r="AM709" s="1"/>
      <c r="AN709" s="1"/>
      <c r="AO709" s="1"/>
      <c r="AP709" s="1"/>
      <c r="AQ709" s="1"/>
      <c r="AR709" s="1"/>
      <c r="AS709" s="1"/>
      <c r="AT709" s="1"/>
      <c r="AU709" s="1"/>
      <c r="AV709" s="1"/>
      <c r="AW709" s="1"/>
      <c r="AX709" s="1"/>
      <c r="AY709" s="1"/>
      <c r="AZ709" s="4" t="s">
        <v>1017</v>
      </c>
      <c r="BA709" s="1"/>
      <c r="BB709" s="1"/>
      <c r="BC709" s="1"/>
    </row>
    <row r="710" spans="1:55" s="78" customFormat="1" ht="15" customHeight="1" x14ac:dyDescent="0.25">
      <c r="A710" s="52" t="s">
        <v>4719</v>
      </c>
      <c r="B710" s="34" t="s">
        <v>59</v>
      </c>
      <c r="C710" s="53">
        <v>2026</v>
      </c>
      <c r="D710" s="53">
        <v>2026</v>
      </c>
      <c r="E710" s="54" t="s">
        <v>3410</v>
      </c>
      <c r="F710" s="55" t="s">
        <v>50</v>
      </c>
      <c r="G710" s="55" t="s">
        <v>50</v>
      </c>
      <c r="H710" s="45" t="s">
        <v>1751</v>
      </c>
      <c r="I710" s="45" t="s">
        <v>52</v>
      </c>
      <c r="J710" s="56"/>
      <c r="K710" s="56" t="s">
        <v>74</v>
      </c>
      <c r="L710" s="55" t="str">
        <f>IF(K710="Mines and Quarries","Mine","")</f>
        <v/>
      </c>
      <c r="M710" s="55" t="s">
        <v>113</v>
      </c>
      <c r="N710" s="56" t="s">
        <v>55</v>
      </c>
      <c r="O710" s="56"/>
      <c r="P710" s="55" t="s">
        <v>75</v>
      </c>
      <c r="Q710" s="56" t="s">
        <v>57</v>
      </c>
      <c r="R710" s="55"/>
      <c r="S710" s="56" t="s">
        <v>58</v>
      </c>
      <c r="T710" s="55" t="str">
        <f t="shared" ref="T710:T717" si="10">IF(ISNUMBER(SEARCH(",",N710)),"Y","N")</f>
        <v>N</v>
      </c>
      <c r="U710" s="57">
        <v>-999</v>
      </c>
      <c r="V710" s="57" t="s">
        <v>59</v>
      </c>
      <c r="W710" s="55" t="s">
        <v>2319</v>
      </c>
      <c r="X710" s="54" t="s">
        <v>4719</v>
      </c>
      <c r="Y710" s="52"/>
      <c r="Z710" s="1" t="s">
        <v>61</v>
      </c>
      <c r="AA710" s="1" t="s">
        <v>1752</v>
      </c>
      <c r="AB710" s="1"/>
      <c r="AC710" s="1"/>
      <c r="AD710" s="3" t="s">
        <v>62</v>
      </c>
      <c r="AE710" s="3" t="s">
        <v>288</v>
      </c>
      <c r="AF710" s="3" t="s">
        <v>1753</v>
      </c>
      <c r="AG710" s="3" t="s">
        <v>64</v>
      </c>
      <c r="AH710" s="58">
        <v>100</v>
      </c>
      <c r="AI710" s="1"/>
      <c r="AJ710" s="1"/>
      <c r="AK710" s="1"/>
      <c r="AL710" s="1"/>
      <c r="AM710" s="1"/>
      <c r="AN710" s="1"/>
      <c r="AO710" s="1"/>
      <c r="AP710" s="1"/>
      <c r="AQ710" s="1"/>
      <c r="AR710" s="1"/>
      <c r="AS710" s="1"/>
      <c r="AT710" s="1"/>
      <c r="AU710" s="1"/>
      <c r="AV710" s="1"/>
      <c r="AW710" s="1"/>
      <c r="AX710" s="1"/>
      <c r="AY710" s="1"/>
      <c r="AZ710" s="4" t="s">
        <v>1750</v>
      </c>
      <c r="BA710" s="5"/>
      <c r="BB710" s="1"/>
      <c r="BC710" s="1"/>
    </row>
    <row r="711" spans="1:55" s="78" customFormat="1" ht="15" customHeight="1" x14ac:dyDescent="0.25">
      <c r="A711" s="52" t="s">
        <v>4720</v>
      </c>
      <c r="B711" s="34" t="s">
        <v>59</v>
      </c>
      <c r="C711" s="53">
        <v>2026</v>
      </c>
      <c r="D711" s="53">
        <v>2026</v>
      </c>
      <c r="E711" s="54" t="s">
        <v>3410</v>
      </c>
      <c r="F711" s="55" t="s">
        <v>50</v>
      </c>
      <c r="G711" s="55" t="s">
        <v>50</v>
      </c>
      <c r="H711" s="45" t="s">
        <v>1751</v>
      </c>
      <c r="I711" s="45" t="s">
        <v>52</v>
      </c>
      <c r="J711" s="56"/>
      <c r="K711" s="56" t="s">
        <v>53</v>
      </c>
      <c r="L711" s="55" t="str">
        <f>IF(K711="Mine or Quarry","Mine","")</f>
        <v/>
      </c>
      <c r="M711" s="55" t="s">
        <v>113</v>
      </c>
      <c r="N711" s="56"/>
      <c r="O711" s="56"/>
      <c r="P711" s="55" t="s">
        <v>56</v>
      </c>
      <c r="Q711" s="55" t="s">
        <v>57</v>
      </c>
      <c r="R711" s="55"/>
      <c r="S711" s="56" t="s">
        <v>58</v>
      </c>
      <c r="T711" s="55" t="str">
        <f t="shared" si="10"/>
        <v>N</v>
      </c>
      <c r="U711" s="57">
        <v>-999</v>
      </c>
      <c r="V711" s="57" t="s">
        <v>59</v>
      </c>
      <c r="W711" s="55" t="s">
        <v>2319</v>
      </c>
      <c r="X711" s="54" t="s">
        <v>4720</v>
      </c>
      <c r="Y711" s="52"/>
      <c r="Z711" s="1" t="s">
        <v>61</v>
      </c>
      <c r="AA711" s="1" t="s">
        <v>1752</v>
      </c>
      <c r="AB711" s="1"/>
      <c r="AC711" s="1"/>
      <c r="AD711" s="3" t="s">
        <v>62</v>
      </c>
      <c r="AE711" s="3" t="s">
        <v>288</v>
      </c>
      <c r="AF711" s="3" t="s">
        <v>1753</v>
      </c>
      <c r="AG711" s="3" t="s">
        <v>64</v>
      </c>
      <c r="AH711" s="58">
        <v>100</v>
      </c>
      <c r="AI711" s="1"/>
      <c r="AJ711" s="1"/>
      <c r="AK711" s="1"/>
      <c r="AL711" s="1"/>
      <c r="AM711" s="1"/>
      <c r="AN711" s="1"/>
      <c r="AO711" s="1"/>
      <c r="AP711" s="1"/>
      <c r="AQ711" s="1"/>
      <c r="AR711" s="1"/>
      <c r="AS711" s="1"/>
      <c r="AT711" s="1"/>
      <c r="AU711" s="1"/>
      <c r="AV711" s="1"/>
      <c r="AW711" s="1"/>
      <c r="AX711" s="1"/>
      <c r="AY711" s="1"/>
      <c r="AZ711" s="4" t="s">
        <v>1750</v>
      </c>
      <c r="BA711" s="5"/>
      <c r="BB711" s="1"/>
      <c r="BC711" s="1"/>
    </row>
    <row r="712" spans="1:55" s="78" customFormat="1" ht="15" customHeight="1" x14ac:dyDescent="0.25">
      <c r="A712" s="52" t="s">
        <v>4721</v>
      </c>
      <c r="B712" s="34" t="s">
        <v>59</v>
      </c>
      <c r="C712" s="53">
        <v>2026</v>
      </c>
      <c r="D712" s="53">
        <v>2026</v>
      </c>
      <c r="E712" s="54" t="s">
        <v>3410</v>
      </c>
      <c r="F712" s="55" t="s">
        <v>50</v>
      </c>
      <c r="G712" s="55" t="s">
        <v>50</v>
      </c>
      <c r="H712" s="45" t="s">
        <v>1751</v>
      </c>
      <c r="I712" s="45" t="s">
        <v>52</v>
      </c>
      <c r="J712" s="56"/>
      <c r="K712" s="56" t="s">
        <v>71</v>
      </c>
      <c r="L712" s="55" t="str">
        <f>IF(K712="Mine or Quarry","Mine","")</f>
        <v/>
      </c>
      <c r="M712" s="55" t="s">
        <v>113</v>
      </c>
      <c r="N712" s="56" t="s">
        <v>55</v>
      </c>
      <c r="O712" s="56"/>
      <c r="P712" s="55" t="s">
        <v>73</v>
      </c>
      <c r="Q712" s="55" t="s">
        <v>57</v>
      </c>
      <c r="R712" s="55"/>
      <c r="S712" s="56" t="s">
        <v>58</v>
      </c>
      <c r="T712" s="55" t="str">
        <f t="shared" si="10"/>
        <v>N</v>
      </c>
      <c r="U712" s="57">
        <v>-999</v>
      </c>
      <c r="V712" s="57" t="s">
        <v>59</v>
      </c>
      <c r="W712" s="55" t="s">
        <v>2319</v>
      </c>
      <c r="X712" s="54" t="s">
        <v>4721</v>
      </c>
      <c r="Y712" s="52"/>
      <c r="Z712" s="1" t="s">
        <v>61</v>
      </c>
      <c r="AA712" s="1" t="s">
        <v>1752</v>
      </c>
      <c r="AB712" s="1"/>
      <c r="AC712" s="1"/>
      <c r="AD712" s="3" t="s">
        <v>62</v>
      </c>
      <c r="AE712" s="3" t="s">
        <v>288</v>
      </c>
      <c r="AF712" s="3" t="s">
        <v>1753</v>
      </c>
      <c r="AG712" s="3" t="s">
        <v>64</v>
      </c>
      <c r="AH712" s="58">
        <v>100</v>
      </c>
      <c r="AI712" s="1"/>
      <c r="AJ712" s="1"/>
      <c r="AK712" s="1"/>
      <c r="AL712" s="1"/>
      <c r="AM712" s="1"/>
      <c r="AN712" s="1"/>
      <c r="AO712" s="1"/>
      <c r="AP712" s="1"/>
      <c r="AQ712" s="1"/>
      <c r="AR712" s="1"/>
      <c r="AS712" s="1"/>
      <c r="AT712" s="1"/>
      <c r="AU712" s="1"/>
      <c r="AV712" s="1"/>
      <c r="AW712" s="1"/>
      <c r="AX712" s="1"/>
      <c r="AY712" s="1"/>
      <c r="AZ712" s="4" t="s">
        <v>1750</v>
      </c>
      <c r="BA712" s="5"/>
      <c r="BB712" s="1"/>
      <c r="BC712" s="1"/>
    </row>
    <row r="713" spans="1:55" s="78" customFormat="1" ht="15" customHeight="1" x14ac:dyDescent="0.25">
      <c r="A713" s="52" t="s">
        <v>4722</v>
      </c>
      <c r="B713" s="34" t="s">
        <v>59</v>
      </c>
      <c r="C713" s="53">
        <v>2026</v>
      </c>
      <c r="D713" s="53">
        <v>2026</v>
      </c>
      <c r="E713" s="54" t="s">
        <v>3410</v>
      </c>
      <c r="F713" s="55" t="s">
        <v>50</v>
      </c>
      <c r="G713" s="55" t="s">
        <v>50</v>
      </c>
      <c r="H713" s="45" t="s">
        <v>1751</v>
      </c>
      <c r="I713" s="45" t="s">
        <v>52</v>
      </c>
      <c r="J713" s="56"/>
      <c r="K713" s="56" t="s">
        <v>118</v>
      </c>
      <c r="L713" s="55" t="s">
        <v>54</v>
      </c>
      <c r="M713" s="55" t="s">
        <v>113</v>
      </c>
      <c r="N713" s="56" t="s">
        <v>55</v>
      </c>
      <c r="O713" s="56"/>
      <c r="P713" s="56" t="s">
        <v>119</v>
      </c>
      <c r="Q713" s="55" t="s">
        <v>57</v>
      </c>
      <c r="R713" s="55"/>
      <c r="S713" s="56" t="s">
        <v>58</v>
      </c>
      <c r="T713" s="55" t="str">
        <f t="shared" si="10"/>
        <v>N</v>
      </c>
      <c r="U713" s="57">
        <v>-999</v>
      </c>
      <c r="V713" s="57" t="s">
        <v>59</v>
      </c>
      <c r="W713" s="55" t="s">
        <v>2319</v>
      </c>
      <c r="X713" s="54" t="s">
        <v>4722</v>
      </c>
      <c r="Y713" s="52"/>
      <c r="Z713" s="1" t="s">
        <v>61</v>
      </c>
      <c r="AA713" s="1" t="s">
        <v>1752</v>
      </c>
      <c r="AB713" s="1"/>
      <c r="AC713" s="1"/>
      <c r="AD713" s="3" t="s">
        <v>62</v>
      </c>
      <c r="AE713" s="3" t="s">
        <v>288</v>
      </c>
      <c r="AF713" s="3"/>
      <c r="AG713" s="3" t="s">
        <v>64</v>
      </c>
      <c r="AH713" s="58">
        <v>100</v>
      </c>
      <c r="AI713" s="1"/>
      <c r="AJ713" s="1"/>
      <c r="AK713" s="1"/>
      <c r="AL713" s="1"/>
      <c r="AM713" s="1"/>
      <c r="AN713" s="1"/>
      <c r="AO713" s="1"/>
      <c r="AP713" s="1"/>
      <c r="AQ713" s="1"/>
      <c r="AR713" s="1"/>
      <c r="AS713" s="1"/>
      <c r="AT713" s="1"/>
      <c r="AU713" s="1"/>
      <c r="AV713" s="1"/>
      <c r="AW713" s="1"/>
      <c r="AX713" s="1"/>
      <c r="AY713" s="1"/>
      <c r="AZ713" s="4" t="s">
        <v>1750</v>
      </c>
      <c r="BA713" s="1"/>
      <c r="BB713" s="1"/>
      <c r="BC713" s="1"/>
    </row>
    <row r="714" spans="1:55" s="78" customFormat="1" ht="15" customHeight="1" x14ac:dyDescent="0.25">
      <c r="A714" s="52" t="s">
        <v>4723</v>
      </c>
      <c r="B714" s="34" t="s">
        <v>59</v>
      </c>
      <c r="C714" s="53">
        <v>2026</v>
      </c>
      <c r="D714" s="53">
        <v>2026</v>
      </c>
      <c r="E714" s="54" t="s">
        <v>3410</v>
      </c>
      <c r="F714" s="55" t="s">
        <v>50</v>
      </c>
      <c r="G714" s="55" t="s">
        <v>50</v>
      </c>
      <c r="H714" s="45" t="s">
        <v>1751</v>
      </c>
      <c r="I714" s="45" t="s">
        <v>52</v>
      </c>
      <c r="J714" s="45" t="s">
        <v>65</v>
      </c>
      <c r="K714" s="56" t="s">
        <v>66</v>
      </c>
      <c r="L714" s="55" t="s">
        <v>317</v>
      </c>
      <c r="M714" s="55" t="s">
        <v>113</v>
      </c>
      <c r="N714" s="56" t="s">
        <v>55</v>
      </c>
      <c r="O714" s="56"/>
      <c r="P714" s="55" t="s">
        <v>67</v>
      </c>
      <c r="Q714" s="55" t="s">
        <v>57</v>
      </c>
      <c r="R714" s="55"/>
      <c r="S714" s="56" t="s">
        <v>58</v>
      </c>
      <c r="T714" s="55" t="str">
        <f t="shared" si="10"/>
        <v>N</v>
      </c>
      <c r="U714" s="57">
        <v>-999</v>
      </c>
      <c r="V714" s="57" t="s">
        <v>59</v>
      </c>
      <c r="W714" s="55" t="s">
        <v>2319</v>
      </c>
      <c r="X714" s="54" t="s">
        <v>4723</v>
      </c>
      <c r="Y714" s="52"/>
      <c r="Z714" s="1" t="s">
        <v>61</v>
      </c>
      <c r="AA714" s="1" t="s">
        <v>1752</v>
      </c>
      <c r="AB714" s="1"/>
      <c r="AC714" s="1"/>
      <c r="AD714" s="3" t="s">
        <v>62</v>
      </c>
      <c r="AE714" s="3" t="s">
        <v>288</v>
      </c>
      <c r="AF714" s="3"/>
      <c r="AG714" s="3" t="s">
        <v>64</v>
      </c>
      <c r="AH714" s="58">
        <v>100</v>
      </c>
      <c r="AI714" s="1"/>
      <c r="AJ714" s="1"/>
      <c r="AK714" s="1"/>
      <c r="AL714" s="1"/>
      <c r="AM714" s="1"/>
      <c r="AN714" s="1"/>
      <c r="AO714" s="1"/>
      <c r="AP714" s="1"/>
      <c r="AQ714" s="1"/>
      <c r="AR714" s="1"/>
      <c r="AS714" s="1"/>
      <c r="AT714" s="1"/>
      <c r="AU714" s="1"/>
      <c r="AV714" s="1"/>
      <c r="AW714" s="1"/>
      <c r="AX714" s="1"/>
      <c r="AY714" s="1"/>
      <c r="AZ714" s="4" t="s">
        <v>1750</v>
      </c>
      <c r="BA714" s="1"/>
      <c r="BB714" s="1"/>
      <c r="BC714" s="1"/>
    </row>
    <row r="715" spans="1:55" s="78" customFormat="1" ht="15" customHeight="1" x14ac:dyDescent="0.25">
      <c r="A715" s="52" t="s">
        <v>4724</v>
      </c>
      <c r="B715" s="34" t="s">
        <v>59</v>
      </c>
      <c r="C715" s="53">
        <v>2026</v>
      </c>
      <c r="D715" s="53">
        <v>2026</v>
      </c>
      <c r="E715" s="54" t="s">
        <v>3410</v>
      </c>
      <c r="F715" s="55" t="s">
        <v>50</v>
      </c>
      <c r="G715" s="55" t="s">
        <v>50</v>
      </c>
      <c r="H715" s="45" t="s">
        <v>1751</v>
      </c>
      <c r="I715" s="45" t="s">
        <v>52</v>
      </c>
      <c r="J715" s="45" t="s">
        <v>65</v>
      </c>
      <c r="K715" s="56" t="s">
        <v>68</v>
      </c>
      <c r="L715" s="55" t="str">
        <f>IF(K715="Mine or Quarry","Mine","")</f>
        <v/>
      </c>
      <c r="M715" s="55" t="s">
        <v>113</v>
      </c>
      <c r="N715" s="56" t="s">
        <v>55</v>
      </c>
      <c r="O715" s="56"/>
      <c r="P715" s="55" t="s">
        <v>69</v>
      </c>
      <c r="Q715" s="55" t="s">
        <v>57</v>
      </c>
      <c r="R715" s="55"/>
      <c r="S715" s="56" t="s">
        <v>58</v>
      </c>
      <c r="T715" s="55" t="str">
        <f t="shared" si="10"/>
        <v>N</v>
      </c>
      <c r="U715" s="57">
        <v>-999</v>
      </c>
      <c r="V715" s="57" t="s">
        <v>59</v>
      </c>
      <c r="W715" s="55" t="s">
        <v>2319</v>
      </c>
      <c r="X715" s="54" t="s">
        <v>4724</v>
      </c>
      <c r="Y715" s="52"/>
      <c r="Z715" s="1" t="s">
        <v>61</v>
      </c>
      <c r="AA715" s="1" t="s">
        <v>1752</v>
      </c>
      <c r="AB715" s="1"/>
      <c r="AC715" s="1"/>
      <c r="AD715" s="3" t="s">
        <v>62</v>
      </c>
      <c r="AE715" s="3" t="s">
        <v>288</v>
      </c>
      <c r="AF715" s="3"/>
      <c r="AG715" s="3" t="s">
        <v>64</v>
      </c>
      <c r="AH715" s="58">
        <v>100</v>
      </c>
      <c r="AI715" s="1"/>
      <c r="AJ715" s="1"/>
      <c r="AK715" s="1"/>
      <c r="AL715" s="1"/>
      <c r="AM715" s="1"/>
      <c r="AN715" s="1"/>
      <c r="AO715" s="1"/>
      <c r="AP715" s="1"/>
      <c r="AQ715" s="1"/>
      <c r="AR715" s="1"/>
      <c r="AS715" s="1"/>
      <c r="AT715" s="1"/>
      <c r="AU715" s="1"/>
      <c r="AV715" s="1"/>
      <c r="AW715" s="1"/>
      <c r="AX715" s="1"/>
      <c r="AY715" s="1"/>
      <c r="AZ715" s="4" t="s">
        <v>1750</v>
      </c>
      <c r="BA715" s="1"/>
      <c r="BB715" s="1"/>
      <c r="BC715" s="1"/>
    </row>
    <row r="716" spans="1:55" s="78" customFormat="1" ht="15" customHeight="1" x14ac:dyDescent="0.25">
      <c r="A716" s="52" t="s">
        <v>4725</v>
      </c>
      <c r="B716" s="34" t="s">
        <v>59</v>
      </c>
      <c r="C716" s="53">
        <v>2026</v>
      </c>
      <c r="D716" s="53">
        <v>2026</v>
      </c>
      <c r="E716" s="54" t="s">
        <v>3411</v>
      </c>
      <c r="F716" s="55" t="s">
        <v>50</v>
      </c>
      <c r="G716" s="55" t="s">
        <v>50</v>
      </c>
      <c r="H716" s="45" t="s">
        <v>1754</v>
      </c>
      <c r="I716" s="56" t="s">
        <v>78</v>
      </c>
      <c r="J716" s="56"/>
      <c r="K716" s="56" t="s">
        <v>53</v>
      </c>
      <c r="L716" s="55" t="s">
        <v>88</v>
      </c>
      <c r="M716" s="55"/>
      <c r="N716" s="56" t="s">
        <v>110</v>
      </c>
      <c r="O716" s="56"/>
      <c r="P716" s="55" t="s">
        <v>56</v>
      </c>
      <c r="Q716" s="55" t="s">
        <v>57</v>
      </c>
      <c r="R716" s="55"/>
      <c r="S716" s="56" t="s">
        <v>81</v>
      </c>
      <c r="T716" s="55" t="str">
        <f t="shared" si="10"/>
        <v>N</v>
      </c>
      <c r="U716" s="57">
        <v>0</v>
      </c>
      <c r="V716" s="57" t="s">
        <v>101</v>
      </c>
      <c r="W716" s="55"/>
      <c r="X716" s="54" t="s">
        <v>4725</v>
      </c>
      <c r="Y716" s="52"/>
      <c r="Z716" s="56" t="s">
        <v>2005</v>
      </c>
      <c r="AA716" s="56" t="s">
        <v>710</v>
      </c>
      <c r="AB716" s="56"/>
      <c r="AC716" s="56"/>
      <c r="AD716" s="3" t="s">
        <v>62</v>
      </c>
      <c r="AE716" s="56" t="s">
        <v>108</v>
      </c>
      <c r="AF716" s="56"/>
      <c r="AG716" s="1" t="s">
        <v>109</v>
      </c>
      <c r="AH716" s="45">
        <v>100</v>
      </c>
      <c r="AI716" s="56"/>
      <c r="AJ716" s="56"/>
      <c r="AK716" s="56"/>
      <c r="AL716" s="56"/>
      <c r="AM716" s="56"/>
      <c r="AN716" s="56"/>
      <c r="AO716" s="56"/>
      <c r="AP716" s="56"/>
      <c r="AQ716" s="56"/>
      <c r="AR716" s="56"/>
      <c r="AS716" s="56"/>
      <c r="AT716" s="56"/>
      <c r="AU716" s="56"/>
      <c r="AV716" s="56"/>
      <c r="AW716" s="56"/>
      <c r="AX716" s="56"/>
      <c r="AY716" s="56"/>
      <c r="AZ716" s="4" t="s">
        <v>320</v>
      </c>
      <c r="BA716" s="4" t="s">
        <v>5325</v>
      </c>
      <c r="BB716" s="1"/>
      <c r="BC716" s="1"/>
    </row>
    <row r="717" spans="1:55" s="78" customFormat="1" ht="15" customHeight="1" x14ac:dyDescent="0.25">
      <c r="A717" s="52" t="s">
        <v>4726</v>
      </c>
      <c r="B717" s="34" t="s">
        <v>59</v>
      </c>
      <c r="C717" s="53">
        <v>2026</v>
      </c>
      <c r="D717" s="53">
        <v>2026</v>
      </c>
      <c r="E717" s="54" t="s">
        <v>3412</v>
      </c>
      <c r="F717" s="55" t="s">
        <v>50</v>
      </c>
      <c r="G717" s="55" t="s">
        <v>50</v>
      </c>
      <c r="H717" s="45" t="s">
        <v>1756</v>
      </c>
      <c r="I717" s="56" t="s">
        <v>52</v>
      </c>
      <c r="J717" s="56"/>
      <c r="K717" s="56" t="s">
        <v>53</v>
      </c>
      <c r="L717" s="55" t="s">
        <v>317</v>
      </c>
      <c r="M717" s="55"/>
      <c r="N717" s="56" t="s">
        <v>276</v>
      </c>
      <c r="O717" s="56"/>
      <c r="P717" s="55" t="s">
        <v>56</v>
      </c>
      <c r="Q717" s="55" t="s">
        <v>57</v>
      </c>
      <c r="R717" s="55"/>
      <c r="S717" s="56" t="s">
        <v>58</v>
      </c>
      <c r="T717" s="55" t="str">
        <f t="shared" si="10"/>
        <v>N</v>
      </c>
      <c r="U717" s="57">
        <v>200000</v>
      </c>
      <c r="V717" s="57" t="s">
        <v>101</v>
      </c>
      <c r="W717" s="55"/>
      <c r="X717" s="66" t="s">
        <v>4726</v>
      </c>
      <c r="Y717" s="66"/>
      <c r="Z717" s="56" t="s">
        <v>61</v>
      </c>
      <c r="AA717" s="56" t="s">
        <v>710</v>
      </c>
      <c r="AB717" s="56"/>
      <c r="AC717" s="56"/>
      <c r="AD717" s="3" t="s">
        <v>62</v>
      </c>
      <c r="AE717" s="56" t="s">
        <v>108</v>
      </c>
      <c r="AF717" s="56"/>
      <c r="AG717" s="1" t="s">
        <v>109</v>
      </c>
      <c r="AH717" s="45">
        <v>100</v>
      </c>
      <c r="AI717" s="56"/>
      <c r="AJ717" s="56"/>
      <c r="AK717" s="56"/>
      <c r="AL717" s="56"/>
      <c r="AM717" s="56"/>
      <c r="AN717" s="56"/>
      <c r="AO717" s="56"/>
      <c r="AP717" s="56"/>
      <c r="AQ717" s="56"/>
      <c r="AR717" s="56"/>
      <c r="AS717" s="56"/>
      <c r="AT717" s="56"/>
      <c r="AU717" s="56"/>
      <c r="AV717" s="56"/>
      <c r="AW717" s="56"/>
      <c r="AX717" s="56"/>
      <c r="AY717" s="56"/>
      <c r="AZ717" s="4" t="s">
        <v>1755</v>
      </c>
      <c r="BA717" s="56"/>
      <c r="BB717" s="1"/>
      <c r="BC717" s="1"/>
    </row>
    <row r="718" spans="1:55" s="78" customFormat="1" ht="15" customHeight="1" x14ac:dyDescent="0.25">
      <c r="A718" s="52" t="s">
        <v>4727</v>
      </c>
      <c r="B718" s="34" t="s">
        <v>59</v>
      </c>
      <c r="C718" s="53">
        <v>2026</v>
      </c>
      <c r="D718" s="53">
        <v>2026</v>
      </c>
      <c r="E718" s="54" t="s">
        <v>3412</v>
      </c>
      <c r="F718" s="55" t="s">
        <v>50</v>
      </c>
      <c r="G718" s="55" t="s">
        <v>50</v>
      </c>
      <c r="H718" s="45" t="s">
        <v>1756</v>
      </c>
      <c r="I718" s="45" t="s">
        <v>52</v>
      </c>
      <c r="J718" s="56"/>
      <c r="K718" s="55" t="s">
        <v>210</v>
      </c>
      <c r="L718" s="55" t="s">
        <v>317</v>
      </c>
      <c r="M718" s="55"/>
      <c r="N718" s="55" t="s">
        <v>212</v>
      </c>
      <c r="O718" s="55"/>
      <c r="P718" s="55" t="s">
        <v>89</v>
      </c>
      <c r="Q718" s="55" t="s">
        <v>89</v>
      </c>
      <c r="R718" s="55"/>
      <c r="S718" s="56" t="s">
        <v>58</v>
      </c>
      <c r="T718" s="55" t="s">
        <v>81</v>
      </c>
      <c r="U718" s="57">
        <v>725000</v>
      </c>
      <c r="V718" s="57" t="s">
        <v>101</v>
      </c>
      <c r="W718" s="55" t="s">
        <v>2319</v>
      </c>
      <c r="X718" s="54" t="s">
        <v>4727</v>
      </c>
      <c r="Y718" s="66"/>
      <c r="Z718" s="3" t="s">
        <v>61</v>
      </c>
      <c r="AA718" s="1" t="s">
        <v>1758</v>
      </c>
      <c r="AB718" s="1"/>
      <c r="AC718" s="1"/>
      <c r="AD718" s="3" t="s">
        <v>62</v>
      </c>
      <c r="AE718" s="3" t="s">
        <v>108</v>
      </c>
      <c r="AF718" s="3"/>
      <c r="AG718" s="1" t="s">
        <v>109</v>
      </c>
      <c r="AH718" s="2">
        <v>100</v>
      </c>
      <c r="AI718" s="1"/>
      <c r="AJ718" s="2"/>
      <c r="AK718" s="3"/>
      <c r="AL718" s="3"/>
      <c r="AM718" s="3"/>
      <c r="AN718" s="3"/>
      <c r="AO718" s="3"/>
      <c r="AP718" s="3"/>
      <c r="AQ718" s="3"/>
      <c r="AR718" s="3"/>
      <c r="AS718" s="3"/>
      <c r="AT718" s="3"/>
      <c r="AU718" s="3"/>
      <c r="AV718" s="3"/>
      <c r="AW718" s="3"/>
      <c r="AX718" s="3"/>
      <c r="AY718" s="3"/>
      <c r="AZ718" s="4" t="s">
        <v>1757</v>
      </c>
      <c r="BA718" s="3"/>
      <c r="BB718" s="1"/>
      <c r="BC718" s="1"/>
    </row>
    <row r="719" spans="1:55" s="78" customFormat="1" ht="15" customHeight="1" x14ac:dyDescent="0.25">
      <c r="A719" s="52" t="s">
        <v>4728</v>
      </c>
      <c r="B719" s="34" t="s">
        <v>59</v>
      </c>
      <c r="C719" s="53">
        <v>2026</v>
      </c>
      <c r="D719" s="53">
        <v>2026</v>
      </c>
      <c r="E719" s="54" t="s">
        <v>3413</v>
      </c>
      <c r="F719" s="55" t="s">
        <v>50</v>
      </c>
      <c r="G719" s="55" t="s">
        <v>50</v>
      </c>
      <c r="H719" s="45" t="s">
        <v>1759</v>
      </c>
      <c r="I719" s="56" t="s">
        <v>52</v>
      </c>
      <c r="J719" s="56"/>
      <c r="K719" s="56" t="s">
        <v>53</v>
      </c>
      <c r="L719" s="55" t="s">
        <v>54</v>
      </c>
      <c r="M719" s="55"/>
      <c r="N719" s="55" t="s">
        <v>327</v>
      </c>
      <c r="O719" s="56"/>
      <c r="P719" s="55" t="s">
        <v>56</v>
      </c>
      <c r="Q719" s="55" t="s">
        <v>57</v>
      </c>
      <c r="R719" s="55"/>
      <c r="S719" s="56" t="s">
        <v>81</v>
      </c>
      <c r="T719" s="55" t="s">
        <v>81</v>
      </c>
      <c r="U719" s="57">
        <v>90000</v>
      </c>
      <c r="V719" s="57" t="s">
        <v>101</v>
      </c>
      <c r="W719" s="55"/>
      <c r="X719" s="54" t="s">
        <v>4728</v>
      </c>
      <c r="Y719" s="52"/>
      <c r="Z719" s="56" t="s">
        <v>61</v>
      </c>
      <c r="AA719" s="56" t="s">
        <v>710</v>
      </c>
      <c r="AB719" s="56"/>
      <c r="AC719" s="56"/>
      <c r="AD719" s="3" t="s">
        <v>62</v>
      </c>
      <c r="AE719" s="56" t="s">
        <v>108</v>
      </c>
      <c r="AF719" s="56"/>
      <c r="AG719" s="1" t="s">
        <v>109</v>
      </c>
      <c r="AH719" s="45">
        <v>100</v>
      </c>
      <c r="AI719" s="56"/>
      <c r="AJ719" s="56"/>
      <c r="AK719" s="56"/>
      <c r="AL719" s="56"/>
      <c r="AM719" s="56"/>
      <c r="AN719" s="56"/>
      <c r="AO719" s="56"/>
      <c r="AP719" s="56"/>
      <c r="AQ719" s="56"/>
      <c r="AR719" s="56"/>
      <c r="AS719" s="56"/>
      <c r="AT719" s="56"/>
      <c r="AU719" s="56"/>
      <c r="AV719" s="56"/>
      <c r="AW719" s="56"/>
      <c r="AX719" s="56"/>
      <c r="AY719" s="56"/>
      <c r="AZ719" s="4" t="s">
        <v>320</v>
      </c>
      <c r="BA719" s="56"/>
      <c r="BB719" s="1"/>
      <c r="BC719" s="1"/>
    </row>
    <row r="720" spans="1:55" s="78" customFormat="1" ht="15" customHeight="1" x14ac:dyDescent="0.25">
      <c r="A720" s="52" t="s">
        <v>4729</v>
      </c>
      <c r="B720" s="34" t="s">
        <v>59</v>
      </c>
      <c r="C720" s="53">
        <v>2026</v>
      </c>
      <c r="D720" s="53">
        <v>2026</v>
      </c>
      <c r="E720" s="54" t="s">
        <v>3414</v>
      </c>
      <c r="F720" s="55" t="s">
        <v>50</v>
      </c>
      <c r="G720" s="55" t="s">
        <v>50</v>
      </c>
      <c r="H720" s="45" t="s">
        <v>1761</v>
      </c>
      <c r="I720" s="45" t="s">
        <v>78</v>
      </c>
      <c r="J720" s="45"/>
      <c r="K720" s="55" t="s">
        <v>715</v>
      </c>
      <c r="L720" s="55"/>
      <c r="M720" s="55"/>
      <c r="N720" s="55" t="s">
        <v>358</v>
      </c>
      <c r="O720" s="55" t="s">
        <v>723</v>
      </c>
      <c r="P720" s="55" t="s">
        <v>716</v>
      </c>
      <c r="Q720" s="55" t="s">
        <v>5353</v>
      </c>
      <c r="R720" s="55"/>
      <c r="S720" s="56" t="s">
        <v>58</v>
      </c>
      <c r="T720" s="55" t="s">
        <v>81</v>
      </c>
      <c r="U720" s="57">
        <v>488000</v>
      </c>
      <c r="V720" s="57" t="s">
        <v>101</v>
      </c>
      <c r="W720" s="55" t="s">
        <v>2319</v>
      </c>
      <c r="X720" s="54" t="s">
        <v>4729</v>
      </c>
      <c r="Y720" s="52"/>
      <c r="Z720" s="3" t="s">
        <v>154</v>
      </c>
      <c r="AA720" s="3" t="s">
        <v>1762</v>
      </c>
      <c r="AB720" s="3"/>
      <c r="AC720" s="3"/>
      <c r="AD720" s="3" t="s">
        <v>62</v>
      </c>
      <c r="AE720" s="3" t="s">
        <v>306</v>
      </c>
      <c r="AF720" s="3"/>
      <c r="AG720" s="3" t="s">
        <v>1763</v>
      </c>
      <c r="AH720" s="58">
        <v>100</v>
      </c>
      <c r="AI720" s="3"/>
      <c r="AJ720" s="3"/>
      <c r="AK720" s="3"/>
      <c r="AL720" s="3"/>
      <c r="AM720" s="3"/>
      <c r="AN720" s="3"/>
      <c r="AO720" s="3"/>
      <c r="AP720" s="3"/>
      <c r="AQ720" s="3"/>
      <c r="AR720" s="3"/>
      <c r="AS720" s="3"/>
      <c r="AT720" s="3"/>
      <c r="AU720" s="3"/>
      <c r="AV720" s="3"/>
      <c r="AW720" s="3"/>
      <c r="AX720" s="3"/>
      <c r="AY720" s="3"/>
      <c r="AZ720" s="4" t="s">
        <v>1760</v>
      </c>
      <c r="BA720" s="3"/>
      <c r="BB720" s="1"/>
      <c r="BC720" s="1"/>
    </row>
    <row r="721" spans="1:55" s="78" customFormat="1" ht="15" customHeight="1" x14ac:dyDescent="0.25">
      <c r="A721" s="52" t="s">
        <v>4730</v>
      </c>
      <c r="B721" s="34" t="s">
        <v>59</v>
      </c>
      <c r="C721" s="53">
        <v>2026</v>
      </c>
      <c r="D721" s="53">
        <v>2026</v>
      </c>
      <c r="E721" s="54" t="s">
        <v>3415</v>
      </c>
      <c r="F721" s="55" t="s">
        <v>50</v>
      </c>
      <c r="G721" s="55" t="s">
        <v>50</v>
      </c>
      <c r="H721" s="45" t="s">
        <v>1764</v>
      </c>
      <c r="I721" s="56" t="s">
        <v>52</v>
      </c>
      <c r="J721" s="56"/>
      <c r="K721" s="55" t="s">
        <v>71</v>
      </c>
      <c r="L721" s="55" t="str">
        <f>IF(K721="Mine or Quarry","Mine","")</f>
        <v/>
      </c>
      <c r="M721" s="55"/>
      <c r="N721" s="55" t="s">
        <v>110</v>
      </c>
      <c r="O721" s="55"/>
      <c r="P721" s="55" t="s">
        <v>73</v>
      </c>
      <c r="Q721" s="55" t="s">
        <v>57</v>
      </c>
      <c r="R721" s="55"/>
      <c r="S721" s="56" t="s">
        <v>58</v>
      </c>
      <c r="T721" s="55" t="str">
        <f>IF(ISNUMBER(SEARCH(",",N721)),"Y","N")</f>
        <v>N</v>
      </c>
      <c r="U721" s="57">
        <v>-999</v>
      </c>
      <c r="V721" s="57" t="s">
        <v>59</v>
      </c>
      <c r="W721" s="55" t="s">
        <v>2319</v>
      </c>
      <c r="X721" s="54" t="s">
        <v>4730</v>
      </c>
      <c r="Y721" s="52"/>
      <c r="Z721" s="3" t="s">
        <v>154</v>
      </c>
      <c r="AA721" s="1" t="s">
        <v>452</v>
      </c>
      <c r="AB721" s="1"/>
      <c r="AC721" s="1"/>
      <c r="AD721" s="3" t="s">
        <v>62</v>
      </c>
      <c r="AE721" s="3" t="s">
        <v>83</v>
      </c>
      <c r="AF721" s="3" t="s">
        <v>1492</v>
      </c>
      <c r="AG721" s="1" t="s">
        <v>1493</v>
      </c>
      <c r="AH721" s="53"/>
      <c r="AI721" s="3"/>
      <c r="AJ721" s="53"/>
      <c r="AK721" s="3"/>
      <c r="AL721" s="53"/>
      <c r="AM721" s="3"/>
      <c r="AN721" s="53"/>
      <c r="AO721" s="3"/>
      <c r="AP721" s="53"/>
      <c r="AQ721" s="3"/>
      <c r="AR721" s="53"/>
      <c r="AS721" s="3"/>
      <c r="AT721" s="53"/>
      <c r="AU721" s="3"/>
      <c r="AV721" s="53"/>
      <c r="AW721" s="3"/>
      <c r="AX721" s="53"/>
      <c r="AY721" s="3"/>
      <c r="AZ721" s="4" t="s">
        <v>1490</v>
      </c>
      <c r="BA721" s="32"/>
      <c r="BB721" s="1"/>
      <c r="BC721" s="1"/>
    </row>
    <row r="722" spans="1:55" s="78" customFormat="1" ht="15" customHeight="1" x14ac:dyDescent="0.25">
      <c r="A722" s="52" t="s">
        <v>4731</v>
      </c>
      <c r="B722" s="34" t="s">
        <v>59</v>
      </c>
      <c r="C722" s="53">
        <v>2026</v>
      </c>
      <c r="D722" s="53">
        <v>2026</v>
      </c>
      <c r="E722" s="54" t="s">
        <v>3415</v>
      </c>
      <c r="F722" s="55" t="s">
        <v>50</v>
      </c>
      <c r="G722" s="55" t="s">
        <v>50</v>
      </c>
      <c r="H722" s="45" t="s">
        <v>1764</v>
      </c>
      <c r="I722" s="56" t="s">
        <v>52</v>
      </c>
      <c r="J722" s="56"/>
      <c r="K722" s="55" t="s">
        <v>74</v>
      </c>
      <c r="L722" s="55" t="str">
        <f>IF(K722="Mines and Quarries","Mine","")</f>
        <v/>
      </c>
      <c r="M722" s="55"/>
      <c r="N722" s="55" t="s">
        <v>110</v>
      </c>
      <c r="O722" s="55"/>
      <c r="P722" s="55" t="s">
        <v>75</v>
      </c>
      <c r="Q722" s="56" t="s">
        <v>57</v>
      </c>
      <c r="R722" s="55"/>
      <c r="S722" s="56" t="s">
        <v>58</v>
      </c>
      <c r="T722" s="55" t="str">
        <f>IF(ISNUMBER(SEARCH(",",N722)),"Y","N")</f>
        <v>N</v>
      </c>
      <c r="U722" s="57">
        <v>-999</v>
      </c>
      <c r="V722" s="57" t="s">
        <v>59</v>
      </c>
      <c r="W722" s="55" t="s">
        <v>2319</v>
      </c>
      <c r="X722" s="54" t="s">
        <v>4731</v>
      </c>
      <c r="Y722" s="52"/>
      <c r="Z722" s="3" t="s">
        <v>154</v>
      </c>
      <c r="AA722" s="1" t="s">
        <v>452</v>
      </c>
      <c r="AB722" s="1"/>
      <c r="AC722" s="1"/>
      <c r="AD722" s="3" t="s">
        <v>62</v>
      </c>
      <c r="AE722" s="3" t="s">
        <v>83</v>
      </c>
      <c r="AF722" s="1" t="s">
        <v>1492</v>
      </c>
      <c r="AG722" s="1" t="s">
        <v>1493</v>
      </c>
      <c r="AH722" s="53"/>
      <c r="AI722" s="3"/>
      <c r="AJ722" s="53"/>
      <c r="AK722" s="3"/>
      <c r="AL722" s="53"/>
      <c r="AM722" s="3"/>
      <c r="AN722" s="53"/>
      <c r="AO722" s="3"/>
      <c r="AP722" s="53"/>
      <c r="AQ722" s="3"/>
      <c r="AR722" s="53"/>
      <c r="AS722" s="3"/>
      <c r="AT722" s="53"/>
      <c r="AU722" s="3"/>
      <c r="AV722" s="53"/>
      <c r="AW722" s="3"/>
      <c r="AX722" s="53"/>
      <c r="AY722" s="3"/>
      <c r="AZ722" s="4" t="s">
        <v>1490</v>
      </c>
      <c r="BA722" s="32"/>
      <c r="BB722" s="1"/>
      <c r="BC722" s="1"/>
    </row>
    <row r="723" spans="1:55" s="78" customFormat="1" ht="15" customHeight="1" x14ac:dyDescent="0.25">
      <c r="A723" s="52" t="s">
        <v>4732</v>
      </c>
      <c r="B723" s="34" t="s">
        <v>59</v>
      </c>
      <c r="C723" s="53">
        <v>2026</v>
      </c>
      <c r="D723" s="53">
        <v>2026</v>
      </c>
      <c r="E723" s="54" t="s">
        <v>3416</v>
      </c>
      <c r="F723" s="55" t="s">
        <v>50</v>
      </c>
      <c r="G723" s="55" t="s">
        <v>50</v>
      </c>
      <c r="H723" s="45" t="s">
        <v>1765</v>
      </c>
      <c r="I723" s="56" t="s">
        <v>78</v>
      </c>
      <c r="J723" s="56"/>
      <c r="K723" s="56" t="s">
        <v>53</v>
      </c>
      <c r="L723" s="55" t="s">
        <v>88</v>
      </c>
      <c r="M723" s="55"/>
      <c r="N723" s="56" t="s">
        <v>110</v>
      </c>
      <c r="O723" s="56"/>
      <c r="P723" s="55" t="s">
        <v>56</v>
      </c>
      <c r="Q723" s="55" t="s">
        <v>57</v>
      </c>
      <c r="R723" s="55"/>
      <c r="S723" s="56" t="s">
        <v>58</v>
      </c>
      <c r="T723" s="55" t="str">
        <f>IF(ISNUMBER(SEARCH(",",N723)),"Y","N")</f>
        <v>N</v>
      </c>
      <c r="U723" s="57">
        <v>35000</v>
      </c>
      <c r="V723" s="57" t="s">
        <v>101</v>
      </c>
      <c r="W723" s="55" t="s">
        <v>2797</v>
      </c>
      <c r="X723" s="54" t="s">
        <v>5330</v>
      </c>
      <c r="Y723" s="52"/>
      <c r="Z723" s="3" t="s">
        <v>2005</v>
      </c>
      <c r="AA723" s="1" t="s">
        <v>1766</v>
      </c>
      <c r="AB723" s="1"/>
      <c r="AC723" s="1"/>
      <c r="AD723" s="3" t="s">
        <v>62</v>
      </c>
      <c r="AE723" s="1" t="s">
        <v>695</v>
      </c>
      <c r="AF723" s="1"/>
      <c r="AG723" s="1" t="s">
        <v>828</v>
      </c>
      <c r="AH723" s="58">
        <v>100</v>
      </c>
      <c r="AI723" s="1"/>
      <c r="AJ723" s="1"/>
      <c r="AK723" s="1"/>
      <c r="AL723" s="1"/>
      <c r="AM723" s="1"/>
      <c r="AN723" s="1"/>
      <c r="AO723" s="1"/>
      <c r="AP723" s="1"/>
      <c r="AQ723" s="1"/>
      <c r="AR723" s="1"/>
      <c r="AS723" s="1"/>
      <c r="AT723" s="1"/>
      <c r="AU723" s="1"/>
      <c r="AV723" s="1"/>
      <c r="AW723" s="1"/>
      <c r="AX723" s="1"/>
      <c r="AY723" s="1"/>
      <c r="AZ723" s="4" t="s">
        <v>1072</v>
      </c>
      <c r="BA723" s="1"/>
      <c r="BB723" s="1"/>
      <c r="BC723" s="1"/>
    </row>
    <row r="724" spans="1:55" s="78" customFormat="1" ht="15" customHeight="1" x14ac:dyDescent="0.25">
      <c r="A724" s="52" t="s">
        <v>4733</v>
      </c>
      <c r="B724" s="34" t="s">
        <v>59</v>
      </c>
      <c r="C724" s="53">
        <v>2026</v>
      </c>
      <c r="D724" s="53">
        <v>2026</v>
      </c>
      <c r="E724" s="54" t="s">
        <v>3416</v>
      </c>
      <c r="F724" s="55" t="s">
        <v>50</v>
      </c>
      <c r="G724" s="55" t="s">
        <v>50</v>
      </c>
      <c r="H724" s="45" t="s">
        <v>1765</v>
      </c>
      <c r="I724" s="56" t="s">
        <v>78</v>
      </c>
      <c r="J724" s="56"/>
      <c r="K724" s="55" t="s">
        <v>313</v>
      </c>
      <c r="L724" s="55" t="s">
        <v>88</v>
      </c>
      <c r="M724" s="55"/>
      <c r="N724" s="55" t="s">
        <v>110</v>
      </c>
      <c r="O724" s="55"/>
      <c r="P724" s="61" t="s">
        <v>314</v>
      </c>
      <c r="Q724" s="61" t="s">
        <v>57</v>
      </c>
      <c r="R724" s="55"/>
      <c r="S724" s="56" t="s">
        <v>58</v>
      </c>
      <c r="T724" s="55" t="str">
        <f>IF(ISNUMBER(SEARCH(",",N724)),"Y","N")</f>
        <v>N</v>
      </c>
      <c r="U724" s="57">
        <f>U262-U385</f>
        <v>67000</v>
      </c>
      <c r="V724" s="57" t="s">
        <v>59</v>
      </c>
      <c r="W724" s="55" t="s">
        <v>106</v>
      </c>
      <c r="X724" s="54" t="s">
        <v>4733</v>
      </c>
      <c r="Y724" s="52"/>
      <c r="Z724" s="3" t="s">
        <v>2005</v>
      </c>
      <c r="AA724" s="1" t="s">
        <v>1766</v>
      </c>
      <c r="AB724" s="1"/>
      <c r="AC724" s="1"/>
      <c r="AD724" s="3" t="s">
        <v>62</v>
      </c>
      <c r="AE724" s="3" t="s">
        <v>695</v>
      </c>
      <c r="AF724" s="3"/>
      <c r="AG724" s="1" t="s">
        <v>828</v>
      </c>
      <c r="AH724" s="58">
        <v>100</v>
      </c>
      <c r="AI724" s="3"/>
      <c r="AJ724" s="3"/>
      <c r="AK724" s="3"/>
      <c r="AL724" s="3"/>
      <c r="AM724" s="3"/>
      <c r="AN724" s="3"/>
      <c r="AO724" s="3"/>
      <c r="AP724" s="3"/>
      <c r="AQ724" s="3"/>
      <c r="AR724" s="3"/>
      <c r="AS724" s="3"/>
      <c r="AT724" s="3"/>
      <c r="AU724" s="3"/>
      <c r="AV724" s="3"/>
      <c r="AW724" s="3"/>
      <c r="AX724" s="3"/>
      <c r="AY724" s="3"/>
      <c r="AZ724" s="4" t="s">
        <v>1073</v>
      </c>
      <c r="BA724" s="4" t="s">
        <v>5327</v>
      </c>
      <c r="BB724" s="3" t="s">
        <v>5306</v>
      </c>
      <c r="BC724" s="1"/>
    </row>
    <row r="725" spans="1:55" s="78" customFormat="1" ht="15" customHeight="1" x14ac:dyDescent="0.25">
      <c r="A725" s="52" t="s">
        <v>4734</v>
      </c>
      <c r="B725" s="34" t="s">
        <v>59</v>
      </c>
      <c r="C725" s="53">
        <v>2026</v>
      </c>
      <c r="D725" s="53">
        <v>2026</v>
      </c>
      <c r="E725" s="54" t="s">
        <v>3416</v>
      </c>
      <c r="F725" s="55" t="s">
        <v>50</v>
      </c>
      <c r="G725" s="55" t="s">
        <v>50</v>
      </c>
      <c r="H725" s="45" t="s">
        <v>1765</v>
      </c>
      <c r="I725" s="56" t="s">
        <v>78</v>
      </c>
      <c r="J725" s="56"/>
      <c r="K725" s="56" t="s">
        <v>836</v>
      </c>
      <c r="L725" s="55" t="s">
        <v>88</v>
      </c>
      <c r="M725" s="55"/>
      <c r="N725" s="56" t="s">
        <v>110</v>
      </c>
      <c r="O725" s="56"/>
      <c r="P725" s="56" t="s">
        <v>838</v>
      </c>
      <c r="Q725" s="56" t="s">
        <v>57</v>
      </c>
      <c r="R725" s="55"/>
      <c r="S725" s="56" t="s">
        <v>58</v>
      </c>
      <c r="T725" s="55" t="s">
        <v>81</v>
      </c>
      <c r="U725" s="57">
        <v>270</v>
      </c>
      <c r="V725" s="57" t="s">
        <v>101</v>
      </c>
      <c r="W725" s="55" t="s">
        <v>2797</v>
      </c>
      <c r="X725" s="54" t="s">
        <v>5329</v>
      </c>
      <c r="Y725" s="52"/>
      <c r="Z725" s="3" t="s">
        <v>2005</v>
      </c>
      <c r="AA725" s="1" t="s">
        <v>1766</v>
      </c>
      <c r="AB725" s="1"/>
      <c r="AC725" s="1"/>
      <c r="AD725" s="3" t="s">
        <v>62</v>
      </c>
      <c r="AE725" s="1" t="s">
        <v>695</v>
      </c>
      <c r="AF725" s="1"/>
      <c r="AG725" s="1" t="s">
        <v>828</v>
      </c>
      <c r="AH725" s="58">
        <v>100</v>
      </c>
      <c r="AI725" s="1"/>
      <c r="AJ725" s="1"/>
      <c r="AK725" s="1"/>
      <c r="AL725" s="1"/>
      <c r="AM725" s="1"/>
      <c r="AN725" s="1"/>
      <c r="AO725" s="1"/>
      <c r="AP725" s="1"/>
      <c r="AQ725" s="1"/>
      <c r="AR725" s="1"/>
      <c r="AS725" s="1"/>
      <c r="AT725" s="1"/>
      <c r="AU725" s="1"/>
      <c r="AV725" s="1"/>
      <c r="AW725" s="1"/>
      <c r="AX725" s="1"/>
      <c r="AY725" s="1"/>
      <c r="AZ725" s="4" t="s">
        <v>1069</v>
      </c>
      <c r="BA725" s="1"/>
      <c r="BB725" s="1"/>
      <c r="BC725" s="1"/>
    </row>
    <row r="726" spans="1:55" s="78" customFormat="1" ht="15" customHeight="1" x14ac:dyDescent="0.25">
      <c r="A726" s="52" t="s">
        <v>4735</v>
      </c>
      <c r="B726" s="34" t="s">
        <v>59</v>
      </c>
      <c r="C726" s="53">
        <v>2026</v>
      </c>
      <c r="D726" s="53">
        <v>2026</v>
      </c>
      <c r="E726" s="54" t="s">
        <v>3416</v>
      </c>
      <c r="F726" s="55" t="s">
        <v>50</v>
      </c>
      <c r="G726" s="55" t="s">
        <v>50</v>
      </c>
      <c r="H726" s="45" t="s">
        <v>1765</v>
      </c>
      <c r="I726" s="45" t="s">
        <v>78</v>
      </c>
      <c r="J726" s="56"/>
      <c r="K726" s="55" t="s">
        <v>831</v>
      </c>
      <c r="L726" s="55" t="s">
        <v>88</v>
      </c>
      <c r="M726" s="55"/>
      <c r="N726" s="55" t="s">
        <v>110</v>
      </c>
      <c r="O726" s="55"/>
      <c r="P726" s="55" t="s">
        <v>832</v>
      </c>
      <c r="Q726" s="55" t="s">
        <v>57</v>
      </c>
      <c r="R726" s="55"/>
      <c r="S726" s="56" t="s">
        <v>58</v>
      </c>
      <c r="T726" s="55" t="s">
        <v>81</v>
      </c>
      <c r="U726" s="57">
        <v>44</v>
      </c>
      <c r="V726" s="57" t="s">
        <v>101</v>
      </c>
      <c r="W726" s="55" t="s">
        <v>2797</v>
      </c>
      <c r="X726" s="54" t="s">
        <v>5326</v>
      </c>
      <c r="Y726" s="52"/>
      <c r="Z726" s="3" t="s">
        <v>2005</v>
      </c>
      <c r="AA726" s="1" t="s">
        <v>1766</v>
      </c>
      <c r="AB726" s="1"/>
      <c r="AC726" s="1"/>
      <c r="AD726" s="3" t="s">
        <v>62</v>
      </c>
      <c r="AE726" s="3" t="s">
        <v>695</v>
      </c>
      <c r="AF726" s="3"/>
      <c r="AG726" s="1" t="s">
        <v>828</v>
      </c>
      <c r="AH726" s="58">
        <v>100</v>
      </c>
      <c r="AI726" s="3"/>
      <c r="AJ726" s="3"/>
      <c r="AK726" s="3"/>
      <c r="AL726" s="3"/>
      <c r="AM726" s="3"/>
      <c r="AN726" s="3"/>
      <c r="AO726" s="3"/>
      <c r="AP726" s="3"/>
      <c r="AQ726" s="3"/>
      <c r="AR726" s="3"/>
      <c r="AS726" s="3"/>
      <c r="AT726" s="3"/>
      <c r="AU726" s="3"/>
      <c r="AV726" s="3"/>
      <c r="AW726" s="3"/>
      <c r="AX726" s="3"/>
      <c r="AY726" s="3"/>
      <c r="AZ726" s="4" t="s">
        <v>1767</v>
      </c>
      <c r="BA726" s="3"/>
      <c r="BB726" s="1"/>
      <c r="BC726" s="1"/>
    </row>
    <row r="727" spans="1:55" s="78" customFormat="1" ht="15" customHeight="1" x14ac:dyDescent="0.25">
      <c r="A727" s="52" t="s">
        <v>4736</v>
      </c>
      <c r="B727" s="34" t="s">
        <v>59</v>
      </c>
      <c r="C727" s="53">
        <v>2026</v>
      </c>
      <c r="D727" s="53">
        <v>2026</v>
      </c>
      <c r="E727" s="54" t="s">
        <v>3417</v>
      </c>
      <c r="F727" s="55" t="s">
        <v>50</v>
      </c>
      <c r="G727" s="55" t="s">
        <v>50</v>
      </c>
      <c r="H727" s="45" t="s">
        <v>1768</v>
      </c>
      <c r="I727" s="56" t="s">
        <v>52</v>
      </c>
      <c r="J727" s="56"/>
      <c r="K727" s="55" t="s">
        <v>633</v>
      </c>
      <c r="L727" s="55"/>
      <c r="M727" s="55"/>
      <c r="N727" s="56" t="s">
        <v>418</v>
      </c>
      <c r="O727" s="56"/>
      <c r="P727" s="56" t="s">
        <v>89</v>
      </c>
      <c r="Q727" s="61" t="s">
        <v>89</v>
      </c>
      <c r="R727" s="55"/>
      <c r="S727" s="56" t="s">
        <v>81</v>
      </c>
      <c r="T727" s="55" t="s">
        <v>81</v>
      </c>
      <c r="U727" s="57">
        <v>550000</v>
      </c>
      <c r="V727" s="57" t="s">
        <v>101</v>
      </c>
      <c r="W727" s="55" t="s">
        <v>2319</v>
      </c>
      <c r="X727" s="54" t="s">
        <v>4736</v>
      </c>
      <c r="Y727" s="52"/>
      <c r="Z727" s="2" t="s">
        <v>61</v>
      </c>
      <c r="AA727" s="1" t="s">
        <v>1769</v>
      </c>
      <c r="AB727" s="1"/>
      <c r="AC727" s="1"/>
      <c r="AD727" s="3" t="s">
        <v>62</v>
      </c>
      <c r="AE727" s="2" t="s">
        <v>115</v>
      </c>
      <c r="AF727" s="2"/>
      <c r="AG727" s="1" t="s">
        <v>1276</v>
      </c>
      <c r="AH727" s="2">
        <v>100</v>
      </c>
      <c r="AI727" s="1"/>
      <c r="AJ727" s="1"/>
      <c r="AK727" s="1"/>
      <c r="AL727" s="1"/>
      <c r="AM727" s="1"/>
      <c r="AN727" s="1"/>
      <c r="AO727" s="1"/>
      <c r="AP727" s="1"/>
      <c r="AQ727" s="1"/>
      <c r="AR727" s="1"/>
      <c r="AS727" s="1"/>
      <c r="AT727" s="1"/>
      <c r="AU727" s="1"/>
      <c r="AV727" s="1"/>
      <c r="AW727" s="1"/>
      <c r="AX727" s="1"/>
      <c r="AY727" s="1"/>
      <c r="AZ727" s="4" t="s">
        <v>1273</v>
      </c>
      <c r="BA727" s="1"/>
      <c r="BB727" s="1"/>
      <c r="BC727" s="1"/>
    </row>
    <row r="728" spans="1:55" s="78" customFormat="1" ht="15" customHeight="1" x14ac:dyDescent="0.25">
      <c r="A728" s="52" t="s">
        <v>4737</v>
      </c>
      <c r="B728" s="34" t="s">
        <v>59</v>
      </c>
      <c r="C728" s="53">
        <v>2026</v>
      </c>
      <c r="D728" s="53">
        <v>2026</v>
      </c>
      <c r="E728" s="54" t="s">
        <v>3418</v>
      </c>
      <c r="F728" s="55" t="s">
        <v>50</v>
      </c>
      <c r="G728" s="55" t="s">
        <v>50</v>
      </c>
      <c r="H728" s="45" t="s">
        <v>1771</v>
      </c>
      <c r="I728" s="45" t="s">
        <v>52</v>
      </c>
      <c r="J728" s="56"/>
      <c r="K728" s="55" t="s">
        <v>582</v>
      </c>
      <c r="L728" s="55" t="s">
        <v>54</v>
      </c>
      <c r="M728" s="55" t="s">
        <v>113</v>
      </c>
      <c r="N728" s="55" t="s">
        <v>55</v>
      </c>
      <c r="O728" s="55"/>
      <c r="P728" s="61" t="s">
        <v>583</v>
      </c>
      <c r="Q728" s="61" t="s">
        <v>57</v>
      </c>
      <c r="R728" s="55"/>
      <c r="S728" s="56" t="s">
        <v>81</v>
      </c>
      <c r="T728" s="55" t="str">
        <f>IF(ISNUMBER(SEARCH(",",N728)),"Y","N")</f>
        <v>N</v>
      </c>
      <c r="U728" s="57">
        <v>-999</v>
      </c>
      <c r="V728" s="57" t="s">
        <v>59</v>
      </c>
      <c r="W728" s="55"/>
      <c r="X728" s="54" t="s">
        <v>4737</v>
      </c>
      <c r="Y728" s="52"/>
      <c r="Z728" s="3" t="s">
        <v>61</v>
      </c>
      <c r="AA728" s="3" t="s">
        <v>1772</v>
      </c>
      <c r="AB728" s="3"/>
      <c r="AC728" s="3"/>
      <c r="AD728" s="3" t="s">
        <v>62</v>
      </c>
      <c r="AE728" s="3" t="s">
        <v>605</v>
      </c>
      <c r="AF728" s="3" t="s">
        <v>735</v>
      </c>
      <c r="AG728" s="3" t="s">
        <v>735</v>
      </c>
      <c r="AH728" s="58">
        <v>100</v>
      </c>
      <c r="AI728" s="3"/>
      <c r="AJ728" s="3"/>
      <c r="AK728" s="3"/>
      <c r="AL728" s="3"/>
      <c r="AM728" s="3"/>
      <c r="AN728" s="3"/>
      <c r="AO728" s="3"/>
      <c r="AP728" s="3"/>
      <c r="AQ728" s="3"/>
      <c r="AR728" s="3"/>
      <c r="AS728" s="3"/>
      <c r="AT728" s="3"/>
      <c r="AU728" s="3"/>
      <c r="AV728" s="3"/>
      <c r="AW728" s="3"/>
      <c r="AX728" s="3"/>
      <c r="AY728" s="3"/>
      <c r="AZ728" s="4" t="s">
        <v>1770</v>
      </c>
      <c r="BA728" s="3"/>
      <c r="BB728" s="1"/>
      <c r="BC728" s="1"/>
    </row>
    <row r="729" spans="1:55" s="78" customFormat="1" ht="15" customHeight="1" x14ac:dyDescent="0.25">
      <c r="A729" s="52" t="s">
        <v>4738</v>
      </c>
      <c r="B729" s="34" t="s">
        <v>59</v>
      </c>
      <c r="C729" s="53">
        <v>2026</v>
      </c>
      <c r="D729" s="53">
        <v>2026</v>
      </c>
      <c r="E729" s="54" t="s">
        <v>3419</v>
      </c>
      <c r="F729" s="55" t="s">
        <v>50</v>
      </c>
      <c r="G729" s="55" t="s">
        <v>50</v>
      </c>
      <c r="H729" s="45" t="s">
        <v>1773</v>
      </c>
      <c r="I729" s="45" t="s">
        <v>52</v>
      </c>
      <c r="J729" s="56"/>
      <c r="K729" s="55" t="s">
        <v>582</v>
      </c>
      <c r="L729" s="55" t="s">
        <v>317</v>
      </c>
      <c r="M729" s="55" t="s">
        <v>113</v>
      </c>
      <c r="N729" s="55" t="s">
        <v>55</v>
      </c>
      <c r="O729" s="55"/>
      <c r="P729" s="61" t="s">
        <v>583</v>
      </c>
      <c r="Q729" s="61" t="s">
        <v>57</v>
      </c>
      <c r="R729" s="55"/>
      <c r="S729" s="56" t="s">
        <v>81</v>
      </c>
      <c r="T729" s="55" t="str">
        <f>IF(ISNUMBER(SEARCH(",",N729)),"Y","N")</f>
        <v>N</v>
      </c>
      <c r="U729" s="57">
        <v>-999</v>
      </c>
      <c r="V729" s="57" t="s">
        <v>59</v>
      </c>
      <c r="W729" s="55"/>
      <c r="X729" s="54" t="s">
        <v>4738</v>
      </c>
      <c r="Y729" s="52"/>
      <c r="Z729" s="3" t="s">
        <v>61</v>
      </c>
      <c r="AA729" s="3" t="s">
        <v>1772</v>
      </c>
      <c r="AB729" s="3"/>
      <c r="AC729" s="3"/>
      <c r="AD729" s="3" t="s">
        <v>62</v>
      </c>
      <c r="AE729" s="3" t="s">
        <v>605</v>
      </c>
      <c r="AF729" s="3" t="s">
        <v>735</v>
      </c>
      <c r="AG729" s="3" t="s">
        <v>735</v>
      </c>
      <c r="AH729" s="58">
        <v>100</v>
      </c>
      <c r="AI729" s="3"/>
      <c r="AJ729" s="3"/>
      <c r="AK729" s="3"/>
      <c r="AL729" s="3"/>
      <c r="AM729" s="3"/>
      <c r="AN729" s="3"/>
      <c r="AO729" s="3"/>
      <c r="AP729" s="3"/>
      <c r="AQ729" s="3"/>
      <c r="AR729" s="3"/>
      <c r="AS729" s="3"/>
      <c r="AT729" s="3"/>
      <c r="AU729" s="3"/>
      <c r="AV729" s="3"/>
      <c r="AW729" s="3"/>
      <c r="AX729" s="3"/>
      <c r="AY729" s="3"/>
      <c r="AZ729" s="4" t="s">
        <v>1770</v>
      </c>
      <c r="BA729" s="3"/>
      <c r="BB729" s="1"/>
      <c r="BC729" s="1"/>
    </row>
    <row r="730" spans="1:55" s="78" customFormat="1" ht="15" customHeight="1" x14ac:dyDescent="0.25">
      <c r="A730" s="52" t="s">
        <v>4739</v>
      </c>
      <c r="B730" s="34" t="s">
        <v>59</v>
      </c>
      <c r="C730" s="53">
        <v>2026</v>
      </c>
      <c r="D730" s="53">
        <v>2026</v>
      </c>
      <c r="E730" s="54" t="s">
        <v>3420</v>
      </c>
      <c r="F730" s="55" t="s">
        <v>50</v>
      </c>
      <c r="G730" s="55" t="s">
        <v>50</v>
      </c>
      <c r="H730" s="45" t="s">
        <v>1774</v>
      </c>
      <c r="I730" s="45" t="s">
        <v>52</v>
      </c>
      <c r="J730" s="56"/>
      <c r="K730" s="55" t="s">
        <v>133</v>
      </c>
      <c r="L730" s="55" t="s">
        <v>54</v>
      </c>
      <c r="M730" s="55"/>
      <c r="N730" s="55" t="s">
        <v>240</v>
      </c>
      <c r="O730" s="55"/>
      <c r="P730" s="55" t="s">
        <v>134</v>
      </c>
      <c r="Q730" s="55" t="s">
        <v>57</v>
      </c>
      <c r="R730" s="55"/>
      <c r="S730" s="56" t="s">
        <v>81</v>
      </c>
      <c r="T730" s="55" t="str">
        <f>IF(ISNUMBER(SEARCH(",",N730)),"Y","N")</f>
        <v>N</v>
      </c>
      <c r="U730" s="57">
        <v>290</v>
      </c>
      <c r="V730" s="57" t="s">
        <v>101</v>
      </c>
      <c r="W730" s="55" t="s">
        <v>2319</v>
      </c>
      <c r="X730" s="54" t="s">
        <v>4739</v>
      </c>
      <c r="Y730" s="52"/>
      <c r="Z730" s="3" t="s">
        <v>61</v>
      </c>
      <c r="AA730" s="3" t="s">
        <v>1775</v>
      </c>
      <c r="AB730" s="3"/>
      <c r="AC730" s="3"/>
      <c r="AD730" s="3" t="s">
        <v>62</v>
      </c>
      <c r="AE730" s="3" t="s">
        <v>184</v>
      </c>
      <c r="AF730" s="3"/>
      <c r="AG730" s="3" t="s">
        <v>1776</v>
      </c>
      <c r="AH730" s="58">
        <v>100</v>
      </c>
      <c r="AI730" s="3"/>
      <c r="AJ730" s="3"/>
      <c r="AK730" s="3"/>
      <c r="AL730" s="3"/>
      <c r="AM730" s="3"/>
      <c r="AN730" s="3"/>
      <c r="AO730" s="3"/>
      <c r="AP730" s="3"/>
      <c r="AQ730" s="3"/>
      <c r="AR730" s="3"/>
      <c r="AS730" s="3"/>
      <c r="AT730" s="3"/>
      <c r="AU730" s="3"/>
      <c r="AV730" s="3"/>
      <c r="AW730" s="3"/>
      <c r="AX730" s="3"/>
      <c r="AY730" s="3"/>
      <c r="AZ730" s="4" t="s">
        <v>3894</v>
      </c>
      <c r="BA730" s="3" t="s">
        <v>3964</v>
      </c>
      <c r="BB730" s="1"/>
      <c r="BC730" s="1"/>
    </row>
    <row r="731" spans="1:55" s="78" customFormat="1" ht="15" customHeight="1" x14ac:dyDescent="0.25">
      <c r="A731" s="52" t="s">
        <v>4740</v>
      </c>
      <c r="B731" s="34" t="s">
        <v>59</v>
      </c>
      <c r="C731" s="53">
        <v>2026</v>
      </c>
      <c r="D731" s="53">
        <v>2026</v>
      </c>
      <c r="E731" s="54" t="s">
        <v>3421</v>
      </c>
      <c r="F731" s="55" t="s">
        <v>50</v>
      </c>
      <c r="G731" s="55" t="s">
        <v>50</v>
      </c>
      <c r="H731" s="45" t="s">
        <v>1778</v>
      </c>
      <c r="I731" s="56" t="s">
        <v>52</v>
      </c>
      <c r="J731" s="56" t="s">
        <v>316</v>
      </c>
      <c r="K731" s="55" t="s">
        <v>316</v>
      </c>
      <c r="L731" s="55" t="s">
        <v>317</v>
      </c>
      <c r="M731" s="55" t="s">
        <v>113</v>
      </c>
      <c r="N731" s="55" t="s">
        <v>55</v>
      </c>
      <c r="O731" s="56" t="s">
        <v>699</v>
      </c>
      <c r="P731" s="55" t="s">
        <v>318</v>
      </c>
      <c r="Q731" s="55" t="s">
        <v>57</v>
      </c>
      <c r="R731" s="55"/>
      <c r="S731" s="56" t="s">
        <v>58</v>
      </c>
      <c r="T731" s="55" t="s">
        <v>81</v>
      </c>
      <c r="U731" s="57">
        <v>-999</v>
      </c>
      <c r="V731" s="57" t="s">
        <v>59</v>
      </c>
      <c r="W731" s="55" t="s">
        <v>2319</v>
      </c>
      <c r="X731" s="54" t="s">
        <v>4740</v>
      </c>
      <c r="Y731" s="52"/>
      <c r="Z731" s="2" t="s">
        <v>61</v>
      </c>
      <c r="AA731" s="1" t="s">
        <v>779</v>
      </c>
      <c r="AB731" s="1"/>
      <c r="AC731" s="1"/>
      <c r="AD731" s="3" t="s">
        <v>62</v>
      </c>
      <c r="AE731" s="2" t="s">
        <v>780</v>
      </c>
      <c r="AF731" s="2"/>
      <c r="AG731" s="1" t="s">
        <v>1779</v>
      </c>
      <c r="AH731" s="2">
        <v>100</v>
      </c>
      <c r="AI731" s="1"/>
      <c r="AJ731" s="1"/>
      <c r="AK731" s="1"/>
      <c r="AL731" s="1"/>
      <c r="AM731" s="1"/>
      <c r="AN731" s="1"/>
      <c r="AO731" s="1"/>
      <c r="AP731" s="1"/>
      <c r="AQ731" s="1"/>
      <c r="AR731" s="1"/>
      <c r="AS731" s="1"/>
      <c r="AT731" s="1"/>
      <c r="AU731" s="1"/>
      <c r="AV731" s="1"/>
      <c r="AW731" s="1"/>
      <c r="AX731" s="1"/>
      <c r="AY731" s="1"/>
      <c r="AZ731" s="4" t="s">
        <v>1777</v>
      </c>
      <c r="BA731" s="1"/>
      <c r="BB731" s="1"/>
      <c r="BC731" s="1"/>
    </row>
    <row r="732" spans="1:55" s="78" customFormat="1" ht="15" customHeight="1" x14ac:dyDescent="0.25">
      <c r="A732" s="52" t="s">
        <v>4741</v>
      </c>
      <c r="B732" s="34" t="s">
        <v>59</v>
      </c>
      <c r="C732" s="53">
        <v>2026</v>
      </c>
      <c r="D732" s="53">
        <v>2026</v>
      </c>
      <c r="E732" s="54" t="s">
        <v>3421</v>
      </c>
      <c r="F732" s="55" t="s">
        <v>50</v>
      </c>
      <c r="G732" s="55" t="s">
        <v>50</v>
      </c>
      <c r="H732" s="45" t="s">
        <v>1778</v>
      </c>
      <c r="I732" s="56" t="s">
        <v>52</v>
      </c>
      <c r="J732" s="56"/>
      <c r="K732" s="55" t="s">
        <v>313</v>
      </c>
      <c r="L732" s="55"/>
      <c r="M732" s="55" t="s">
        <v>113</v>
      </c>
      <c r="N732" s="56" t="s">
        <v>55</v>
      </c>
      <c r="O732" s="56" t="s">
        <v>699</v>
      </c>
      <c r="P732" s="56" t="s">
        <v>314</v>
      </c>
      <c r="Q732" s="61" t="s">
        <v>57</v>
      </c>
      <c r="R732" s="55"/>
      <c r="S732" s="56" t="s">
        <v>58</v>
      </c>
      <c r="T732" s="55" t="s">
        <v>81</v>
      </c>
      <c r="U732" s="57">
        <v>-999</v>
      </c>
      <c r="V732" s="57" t="s">
        <v>59</v>
      </c>
      <c r="W732" s="55" t="s">
        <v>2319</v>
      </c>
      <c r="X732" s="54" t="s">
        <v>4741</v>
      </c>
      <c r="Y732" s="52"/>
      <c r="Z732" s="2" t="s">
        <v>61</v>
      </c>
      <c r="AA732" s="1" t="s">
        <v>779</v>
      </c>
      <c r="AB732" s="1"/>
      <c r="AC732" s="1"/>
      <c r="AD732" s="3" t="s">
        <v>62</v>
      </c>
      <c r="AE732" s="2" t="s">
        <v>780</v>
      </c>
      <c r="AF732" s="2"/>
      <c r="AG732" s="1" t="s">
        <v>1779</v>
      </c>
      <c r="AH732" s="2">
        <v>100</v>
      </c>
      <c r="AI732" s="1"/>
      <c r="AJ732" s="1"/>
      <c r="AK732" s="1"/>
      <c r="AL732" s="1"/>
      <c r="AM732" s="1"/>
      <c r="AN732" s="1"/>
      <c r="AO732" s="1"/>
      <c r="AP732" s="1"/>
      <c r="AQ732" s="1"/>
      <c r="AR732" s="1"/>
      <c r="AS732" s="1"/>
      <c r="AT732" s="1"/>
      <c r="AU732" s="1"/>
      <c r="AV732" s="1"/>
      <c r="AW732" s="1"/>
      <c r="AX732" s="1"/>
      <c r="AY732" s="1"/>
      <c r="AZ732" s="4" t="s">
        <v>1777</v>
      </c>
      <c r="BA732" s="1"/>
      <c r="BB732" s="1"/>
      <c r="BC732" s="1"/>
    </row>
    <row r="733" spans="1:55" s="78" customFormat="1" ht="15" customHeight="1" x14ac:dyDescent="0.25">
      <c r="A733" s="52" t="s">
        <v>4742</v>
      </c>
      <c r="B733" s="34" t="s">
        <v>59</v>
      </c>
      <c r="C733" s="53">
        <v>2026</v>
      </c>
      <c r="D733" s="53">
        <v>2026</v>
      </c>
      <c r="E733" s="54" t="s">
        <v>3422</v>
      </c>
      <c r="F733" s="55" t="s">
        <v>50</v>
      </c>
      <c r="G733" s="55" t="s">
        <v>50</v>
      </c>
      <c r="H733" s="45" t="s">
        <v>1780</v>
      </c>
      <c r="I733" s="56" t="s">
        <v>78</v>
      </c>
      <c r="J733" s="56"/>
      <c r="K733" s="55" t="s">
        <v>53</v>
      </c>
      <c r="L733" s="55" t="str">
        <f>IF(K733="Mine or Quarry","Mine","")</f>
        <v/>
      </c>
      <c r="M733" s="55"/>
      <c r="N733" s="55" t="s">
        <v>110</v>
      </c>
      <c r="O733" s="55"/>
      <c r="P733" s="55" t="s">
        <v>56</v>
      </c>
      <c r="Q733" s="55" t="s">
        <v>57</v>
      </c>
      <c r="R733" s="55"/>
      <c r="S733" s="56" t="s">
        <v>81</v>
      </c>
      <c r="T733" s="55" t="str">
        <f>IF(ISNUMBER(SEARCH(",",N733)),"Y","N")</f>
        <v>N</v>
      </c>
      <c r="U733" s="57">
        <v>-999</v>
      </c>
      <c r="V733" s="57" t="s">
        <v>59</v>
      </c>
      <c r="W733" s="55"/>
      <c r="X733" s="54" t="s">
        <v>4742</v>
      </c>
      <c r="Y733" s="52"/>
      <c r="Z733" s="3" t="s">
        <v>2005</v>
      </c>
      <c r="AA733" s="3" t="s">
        <v>1781</v>
      </c>
      <c r="AB733" s="3"/>
      <c r="AC733" s="3"/>
      <c r="AD733" s="3" t="s">
        <v>62</v>
      </c>
      <c r="AE733" s="3" t="s">
        <v>251</v>
      </c>
      <c r="AF733" s="3" t="s">
        <v>1782</v>
      </c>
      <c r="AG733" s="3" t="s">
        <v>1783</v>
      </c>
      <c r="AH733" s="58">
        <v>100</v>
      </c>
      <c r="AI733" s="3"/>
      <c r="AJ733" s="3"/>
      <c r="AK733" s="3"/>
      <c r="AL733" s="3"/>
      <c r="AM733" s="3"/>
      <c r="AN733" s="3"/>
      <c r="AO733" s="3"/>
      <c r="AP733" s="3"/>
      <c r="AQ733" s="3"/>
      <c r="AR733" s="3"/>
      <c r="AS733" s="3"/>
      <c r="AT733" s="3"/>
      <c r="AU733" s="3"/>
      <c r="AV733" s="3"/>
      <c r="AW733" s="3"/>
      <c r="AX733" s="3"/>
      <c r="AY733" s="3"/>
      <c r="AZ733" s="4" t="s">
        <v>5348</v>
      </c>
      <c r="BA733" s="3"/>
      <c r="BB733" s="1"/>
      <c r="BC733" s="1"/>
    </row>
    <row r="734" spans="1:55" s="78" customFormat="1" ht="15" customHeight="1" x14ac:dyDescent="0.25">
      <c r="A734" s="52" t="s">
        <v>4743</v>
      </c>
      <c r="B734" s="34" t="s">
        <v>59</v>
      </c>
      <c r="C734" s="53">
        <v>2026</v>
      </c>
      <c r="D734" s="53">
        <v>2026</v>
      </c>
      <c r="E734" s="54" t="s">
        <v>3423</v>
      </c>
      <c r="F734" s="55" t="s">
        <v>50</v>
      </c>
      <c r="G734" s="55" t="s">
        <v>50</v>
      </c>
      <c r="H734" s="45" t="s">
        <v>1784</v>
      </c>
      <c r="I734" s="56" t="s">
        <v>52</v>
      </c>
      <c r="J734" s="56"/>
      <c r="K734" s="55" t="s">
        <v>53</v>
      </c>
      <c r="L734" s="55" t="s">
        <v>54</v>
      </c>
      <c r="M734" s="55"/>
      <c r="N734" s="55" t="s">
        <v>327</v>
      </c>
      <c r="O734" s="55"/>
      <c r="P734" s="55" t="s">
        <v>56</v>
      </c>
      <c r="Q734" s="55" t="s">
        <v>57</v>
      </c>
      <c r="R734" s="55"/>
      <c r="S734" s="56" t="s">
        <v>81</v>
      </c>
      <c r="T734" s="55" t="str">
        <f>IF(ISNUMBER(SEARCH(",",N734)),"Y","N")</f>
        <v>N</v>
      </c>
      <c r="U734" s="57">
        <v>-999</v>
      </c>
      <c r="V734" s="57" t="s">
        <v>59</v>
      </c>
      <c r="W734" s="55"/>
      <c r="X734" s="54" t="s">
        <v>4743</v>
      </c>
      <c r="Y734" s="52"/>
      <c r="Z734" s="3" t="s">
        <v>2005</v>
      </c>
      <c r="AA734" s="3" t="s">
        <v>1781</v>
      </c>
      <c r="AB734" s="3"/>
      <c r="AC734" s="3"/>
      <c r="AD734" s="3" t="s">
        <v>62</v>
      </c>
      <c r="AE734" s="3" t="s">
        <v>251</v>
      </c>
      <c r="AF734" s="3" t="s">
        <v>1782</v>
      </c>
      <c r="AG734" s="3" t="s">
        <v>1783</v>
      </c>
      <c r="AH734" s="58">
        <v>100</v>
      </c>
      <c r="AI734" s="3"/>
      <c r="AJ734" s="3"/>
      <c r="AK734" s="3"/>
      <c r="AL734" s="3"/>
      <c r="AM734" s="3"/>
      <c r="AN734" s="3"/>
      <c r="AO734" s="3"/>
      <c r="AP734" s="3"/>
      <c r="AQ734" s="3"/>
      <c r="AR734" s="3"/>
      <c r="AS734" s="3"/>
      <c r="AT734" s="3"/>
      <c r="AU734" s="3"/>
      <c r="AV734" s="3"/>
      <c r="AW734" s="3"/>
      <c r="AX734" s="3"/>
      <c r="AY734" s="3"/>
      <c r="AZ734" s="4" t="s">
        <v>5348</v>
      </c>
      <c r="BA734" s="3"/>
      <c r="BB734" s="1"/>
      <c r="BC734" s="1"/>
    </row>
    <row r="735" spans="1:55" s="78" customFormat="1" ht="15" customHeight="1" x14ac:dyDescent="0.25">
      <c r="A735" s="52" t="s">
        <v>4744</v>
      </c>
      <c r="B735" s="34" t="s">
        <v>59</v>
      </c>
      <c r="C735" s="53">
        <v>2026</v>
      </c>
      <c r="D735" s="53">
        <v>2026</v>
      </c>
      <c r="E735" s="54" t="s">
        <v>3424</v>
      </c>
      <c r="F735" s="55" t="s">
        <v>50</v>
      </c>
      <c r="G735" s="55" t="s">
        <v>50</v>
      </c>
      <c r="H735" s="45" t="s">
        <v>1786</v>
      </c>
      <c r="I735" s="56" t="s">
        <v>52</v>
      </c>
      <c r="J735" s="56"/>
      <c r="K735" s="55" t="s">
        <v>313</v>
      </c>
      <c r="L735" s="55"/>
      <c r="M735" s="55" t="s">
        <v>491</v>
      </c>
      <c r="N735" s="56" t="s">
        <v>358</v>
      </c>
      <c r="O735" s="56" t="s">
        <v>1406</v>
      </c>
      <c r="P735" s="56" t="s">
        <v>314</v>
      </c>
      <c r="Q735" s="61" t="s">
        <v>57</v>
      </c>
      <c r="R735" s="55"/>
      <c r="S735" s="56" t="s">
        <v>81</v>
      </c>
      <c r="T735" s="55" t="s">
        <v>58</v>
      </c>
      <c r="U735" s="57">
        <v>-999</v>
      </c>
      <c r="V735" s="57" t="s">
        <v>59</v>
      </c>
      <c r="W735" s="55" t="s">
        <v>2319</v>
      </c>
      <c r="X735" s="54" t="s">
        <v>4744</v>
      </c>
      <c r="Y735" s="52"/>
      <c r="Z735" s="2" t="s">
        <v>61</v>
      </c>
      <c r="AA735" s="1" t="s">
        <v>1787</v>
      </c>
      <c r="AB735" s="1"/>
      <c r="AC735" s="1"/>
      <c r="AD735" s="3" t="s">
        <v>62</v>
      </c>
      <c r="AE735" s="2" t="s">
        <v>695</v>
      </c>
      <c r="AF735" s="2"/>
      <c r="AG735" s="1" t="s">
        <v>826</v>
      </c>
      <c r="AH735" s="2">
        <v>100</v>
      </c>
      <c r="AI735" s="1"/>
      <c r="AJ735" s="1"/>
      <c r="AK735" s="1"/>
      <c r="AL735" s="1"/>
      <c r="AM735" s="1"/>
      <c r="AN735" s="1"/>
      <c r="AO735" s="1"/>
      <c r="AP735" s="1"/>
      <c r="AQ735" s="1"/>
      <c r="AR735" s="1"/>
      <c r="AS735" s="1"/>
      <c r="AT735" s="1"/>
      <c r="AU735" s="1"/>
      <c r="AV735" s="1"/>
      <c r="AW735" s="1"/>
      <c r="AX735" s="1"/>
      <c r="AY735" s="1"/>
      <c r="AZ735" s="4" t="s">
        <v>1785</v>
      </c>
      <c r="BA735" s="1"/>
      <c r="BB735" s="1"/>
      <c r="BC735" s="1"/>
    </row>
    <row r="736" spans="1:55" s="78" customFormat="1" ht="15" customHeight="1" x14ac:dyDescent="0.25">
      <c r="A736" s="52" t="s">
        <v>4745</v>
      </c>
      <c r="B736" s="34" t="s">
        <v>59</v>
      </c>
      <c r="C736" s="53">
        <v>2026</v>
      </c>
      <c r="D736" s="53">
        <v>2026</v>
      </c>
      <c r="E736" s="54" t="s">
        <v>3425</v>
      </c>
      <c r="F736" s="55" t="s">
        <v>50</v>
      </c>
      <c r="G736" s="55" t="s">
        <v>50</v>
      </c>
      <c r="H736" s="45" t="s">
        <v>1789</v>
      </c>
      <c r="I736" s="56" t="s">
        <v>52</v>
      </c>
      <c r="J736" s="56" t="s">
        <v>165</v>
      </c>
      <c r="K736" s="55" t="s">
        <v>597</v>
      </c>
      <c r="L736" s="55"/>
      <c r="M736" s="55" t="s">
        <v>113</v>
      </c>
      <c r="N736" s="56" t="s">
        <v>1790</v>
      </c>
      <c r="O736" s="56" t="s">
        <v>1624</v>
      </c>
      <c r="P736" s="56" t="s">
        <v>598</v>
      </c>
      <c r="Q736" s="55" t="s">
        <v>57</v>
      </c>
      <c r="R736" s="55"/>
      <c r="S736" s="56" t="s">
        <v>58</v>
      </c>
      <c r="T736" s="55" t="s">
        <v>81</v>
      </c>
      <c r="U736" s="57">
        <v>-999</v>
      </c>
      <c r="V736" s="57" t="s">
        <v>59</v>
      </c>
      <c r="W736" s="55" t="s">
        <v>2319</v>
      </c>
      <c r="X736" s="54" t="s">
        <v>4745</v>
      </c>
      <c r="Y736" s="52"/>
      <c r="Z736" s="2" t="s">
        <v>61</v>
      </c>
      <c r="AA736" s="1" t="s">
        <v>1791</v>
      </c>
      <c r="AB736" s="1"/>
      <c r="AC736" s="1"/>
      <c r="AD736" s="3" t="s">
        <v>62</v>
      </c>
      <c r="AE736" s="2" t="s">
        <v>131</v>
      </c>
      <c r="AF736" s="1" t="s">
        <v>1792</v>
      </c>
      <c r="AG736" s="1" t="s">
        <v>1628</v>
      </c>
      <c r="AH736" s="2">
        <v>100</v>
      </c>
      <c r="AI736" s="1"/>
      <c r="AJ736" s="1"/>
      <c r="AK736" s="1"/>
      <c r="AL736" s="1"/>
      <c r="AM736" s="1"/>
      <c r="AN736" s="1"/>
      <c r="AO736" s="1"/>
      <c r="AP736" s="1"/>
      <c r="AQ736" s="1"/>
      <c r="AR736" s="1"/>
      <c r="AS736" s="1"/>
      <c r="AT736" s="1"/>
      <c r="AU736" s="1"/>
      <c r="AV736" s="1"/>
      <c r="AW736" s="1"/>
      <c r="AX736" s="1"/>
      <c r="AY736" s="1"/>
      <c r="AZ736" s="4" t="s">
        <v>1788</v>
      </c>
      <c r="BA736" s="5"/>
      <c r="BB736" s="1"/>
      <c r="BC736" s="1"/>
    </row>
    <row r="737" spans="1:55" s="78" customFormat="1" ht="15" customHeight="1" x14ac:dyDescent="0.25">
      <c r="A737" s="52" t="s">
        <v>4746</v>
      </c>
      <c r="B737" s="34" t="s">
        <v>59</v>
      </c>
      <c r="C737" s="53">
        <v>2026</v>
      </c>
      <c r="D737" s="53">
        <v>2026</v>
      </c>
      <c r="E737" s="54" t="s">
        <v>3425</v>
      </c>
      <c r="F737" s="55" t="s">
        <v>50</v>
      </c>
      <c r="G737" s="55" t="s">
        <v>50</v>
      </c>
      <c r="H737" s="45" t="s">
        <v>1789</v>
      </c>
      <c r="I737" s="56" t="s">
        <v>52</v>
      </c>
      <c r="J737" s="56"/>
      <c r="K737" s="55" t="s">
        <v>313</v>
      </c>
      <c r="L737" s="55"/>
      <c r="M737" s="55" t="s">
        <v>113</v>
      </c>
      <c r="N737" s="56" t="s">
        <v>358</v>
      </c>
      <c r="O737" s="56" t="s">
        <v>351</v>
      </c>
      <c r="P737" s="56" t="s">
        <v>314</v>
      </c>
      <c r="Q737" s="61" t="s">
        <v>57</v>
      </c>
      <c r="R737" s="55"/>
      <c r="S737" s="56" t="s">
        <v>58</v>
      </c>
      <c r="T737" s="55" t="s">
        <v>81</v>
      </c>
      <c r="U737" s="57">
        <v>-999</v>
      </c>
      <c r="V737" s="57" t="s">
        <v>59</v>
      </c>
      <c r="W737" s="55" t="s">
        <v>2319</v>
      </c>
      <c r="X737" s="54" t="s">
        <v>4746</v>
      </c>
      <c r="Y737" s="52"/>
      <c r="Z737" s="2" t="s">
        <v>61</v>
      </c>
      <c r="AA737" s="1" t="s">
        <v>1791</v>
      </c>
      <c r="AB737" s="1"/>
      <c r="AC737" s="1"/>
      <c r="AD737" s="3" t="s">
        <v>62</v>
      </c>
      <c r="AE737" s="2" t="s">
        <v>131</v>
      </c>
      <c r="AF737" s="1" t="s">
        <v>1792</v>
      </c>
      <c r="AG737" s="1" t="s">
        <v>1628</v>
      </c>
      <c r="AH737" s="2">
        <v>100</v>
      </c>
      <c r="AI737" s="1"/>
      <c r="AJ737" s="1"/>
      <c r="AK737" s="1"/>
      <c r="AL737" s="1"/>
      <c r="AM737" s="1"/>
      <c r="AN737" s="1"/>
      <c r="AO737" s="1"/>
      <c r="AP737" s="1"/>
      <c r="AQ737" s="1"/>
      <c r="AR737" s="1"/>
      <c r="AS737" s="1"/>
      <c r="AT737" s="1"/>
      <c r="AU737" s="1"/>
      <c r="AV737" s="1"/>
      <c r="AW737" s="1"/>
      <c r="AX737" s="1"/>
      <c r="AY737" s="1"/>
      <c r="AZ737" s="4" t="s">
        <v>1788</v>
      </c>
      <c r="BA737" s="5"/>
      <c r="BB737" s="1"/>
      <c r="BC737" s="1"/>
    </row>
    <row r="738" spans="1:55" s="78" customFormat="1" ht="15" customHeight="1" x14ac:dyDescent="0.25">
      <c r="A738" s="52" t="s">
        <v>4747</v>
      </c>
      <c r="B738" s="34" t="s">
        <v>59</v>
      </c>
      <c r="C738" s="53">
        <v>2026</v>
      </c>
      <c r="D738" s="53">
        <v>2026</v>
      </c>
      <c r="E738" s="54" t="s">
        <v>3426</v>
      </c>
      <c r="F738" s="55" t="s">
        <v>50</v>
      </c>
      <c r="G738" s="55" t="s">
        <v>50</v>
      </c>
      <c r="H738" s="45" t="s">
        <v>1794</v>
      </c>
      <c r="I738" s="56" t="s">
        <v>78</v>
      </c>
      <c r="J738" s="56"/>
      <c r="K738" s="55" t="s">
        <v>140</v>
      </c>
      <c r="L738" s="55" t="s">
        <v>88</v>
      </c>
      <c r="M738" s="55"/>
      <c r="N738" s="56" t="s">
        <v>181</v>
      </c>
      <c r="O738" s="56" t="s">
        <v>1795</v>
      </c>
      <c r="P738" s="55" t="s">
        <v>142</v>
      </c>
      <c r="Q738" s="55" t="s">
        <v>57</v>
      </c>
      <c r="R738" s="55"/>
      <c r="S738" s="56" t="s">
        <v>58</v>
      </c>
      <c r="T738" s="55" t="s">
        <v>81</v>
      </c>
      <c r="U738" s="57">
        <v>-999</v>
      </c>
      <c r="V738" s="57" t="s">
        <v>59</v>
      </c>
      <c r="W738" s="55"/>
      <c r="X738" s="54" t="s">
        <v>4747</v>
      </c>
      <c r="Y738" s="60"/>
      <c r="Z738" s="2" t="s">
        <v>61</v>
      </c>
      <c r="AA738" s="1" t="s">
        <v>1796</v>
      </c>
      <c r="AB738" s="1"/>
      <c r="AC738" s="1"/>
      <c r="AD738" s="3" t="s">
        <v>62</v>
      </c>
      <c r="AE738" s="2" t="s">
        <v>592</v>
      </c>
      <c r="AF738" s="2"/>
      <c r="AG738" s="1" t="s">
        <v>1797</v>
      </c>
      <c r="AH738" s="2">
        <v>100</v>
      </c>
      <c r="AI738" s="1"/>
      <c r="AJ738" s="1"/>
      <c r="AK738" s="1"/>
      <c r="AL738" s="1"/>
      <c r="AM738" s="1"/>
      <c r="AN738" s="1"/>
      <c r="AO738" s="1"/>
      <c r="AP738" s="1"/>
      <c r="AQ738" s="1"/>
      <c r="AR738" s="1"/>
      <c r="AS738" s="1"/>
      <c r="AT738" s="1"/>
      <c r="AU738" s="1"/>
      <c r="AV738" s="1"/>
      <c r="AW738" s="1"/>
      <c r="AX738" s="1"/>
      <c r="AY738" s="1"/>
      <c r="AZ738" s="4" t="s">
        <v>1793</v>
      </c>
      <c r="BA738" s="1"/>
      <c r="BB738" s="1"/>
      <c r="BC738" s="1"/>
    </row>
    <row r="739" spans="1:55" s="78" customFormat="1" ht="15" customHeight="1" x14ac:dyDescent="0.25">
      <c r="A739" s="52" t="s">
        <v>4748</v>
      </c>
      <c r="B739" s="34" t="s">
        <v>59</v>
      </c>
      <c r="C739" s="53">
        <v>2026</v>
      </c>
      <c r="D739" s="53">
        <v>2026</v>
      </c>
      <c r="E739" s="54" t="s">
        <v>3426</v>
      </c>
      <c r="F739" s="55" t="s">
        <v>50</v>
      </c>
      <c r="G739" s="55" t="s">
        <v>50</v>
      </c>
      <c r="H739" s="45" t="s">
        <v>1794</v>
      </c>
      <c r="I739" s="56" t="s">
        <v>78</v>
      </c>
      <c r="J739" s="56"/>
      <c r="K739" s="55" t="s">
        <v>148</v>
      </c>
      <c r="L739" s="55" t="s">
        <v>88</v>
      </c>
      <c r="M739" s="55"/>
      <c r="N739" s="56" t="s">
        <v>181</v>
      </c>
      <c r="O739" s="56" t="s">
        <v>5357</v>
      </c>
      <c r="P739" s="56" t="s">
        <v>150</v>
      </c>
      <c r="Q739" s="61" t="s">
        <v>57</v>
      </c>
      <c r="R739" s="55"/>
      <c r="S739" s="56" t="s">
        <v>58</v>
      </c>
      <c r="T739" s="55" t="s">
        <v>81</v>
      </c>
      <c r="U739" s="57">
        <v>-999</v>
      </c>
      <c r="V739" s="57" t="s">
        <v>59</v>
      </c>
      <c r="W739" s="55"/>
      <c r="X739" s="54" t="s">
        <v>4748</v>
      </c>
      <c r="Y739" s="60"/>
      <c r="Z739" s="2" t="s">
        <v>61</v>
      </c>
      <c r="AA739" s="1" t="s">
        <v>1796</v>
      </c>
      <c r="AB739" s="1"/>
      <c r="AC739" s="1"/>
      <c r="AD739" s="3" t="s">
        <v>62</v>
      </c>
      <c r="AE739" s="2" t="s">
        <v>592</v>
      </c>
      <c r="AF739" s="2"/>
      <c r="AG739" s="1" t="s">
        <v>1797</v>
      </c>
      <c r="AH739" s="2">
        <v>100</v>
      </c>
      <c r="AI739" s="1"/>
      <c r="AJ739" s="1"/>
      <c r="AK739" s="1"/>
      <c r="AL739" s="1"/>
      <c r="AM739" s="1"/>
      <c r="AN739" s="1"/>
      <c r="AO739" s="1"/>
      <c r="AP739" s="1"/>
      <c r="AQ739" s="1"/>
      <c r="AR739" s="1"/>
      <c r="AS739" s="1"/>
      <c r="AT739" s="1"/>
      <c r="AU739" s="1"/>
      <c r="AV739" s="1"/>
      <c r="AW739" s="1"/>
      <c r="AX739" s="1"/>
      <c r="AY739" s="1"/>
      <c r="AZ739" s="4" t="s">
        <v>1793</v>
      </c>
      <c r="BA739" s="1"/>
      <c r="BB739" s="1"/>
      <c r="BC739" s="1"/>
    </row>
    <row r="740" spans="1:55" s="78" customFormat="1" ht="15" customHeight="1" x14ac:dyDescent="0.25">
      <c r="A740" s="52" t="s">
        <v>4749</v>
      </c>
      <c r="B740" s="34" t="s">
        <v>59</v>
      </c>
      <c r="C740" s="53">
        <v>2026</v>
      </c>
      <c r="D740" s="53">
        <v>2026</v>
      </c>
      <c r="E740" s="54" t="s">
        <v>3427</v>
      </c>
      <c r="F740" s="55" t="s">
        <v>50</v>
      </c>
      <c r="G740" s="55" t="s">
        <v>50</v>
      </c>
      <c r="H740" s="45" t="s">
        <v>1798</v>
      </c>
      <c r="I740" s="45" t="s">
        <v>52</v>
      </c>
      <c r="J740" s="56" t="s">
        <v>165</v>
      </c>
      <c r="K740" s="56" t="s">
        <v>166</v>
      </c>
      <c r="L740" s="55"/>
      <c r="M740" s="55"/>
      <c r="N740" s="56" t="s">
        <v>280</v>
      </c>
      <c r="O740" s="56"/>
      <c r="P740" s="56" t="s">
        <v>89</v>
      </c>
      <c r="Q740" s="56" t="s">
        <v>89</v>
      </c>
      <c r="R740" s="55"/>
      <c r="S740" s="56" t="s">
        <v>81</v>
      </c>
      <c r="T740" s="55" t="s">
        <v>81</v>
      </c>
      <c r="U740" s="57">
        <v>-999</v>
      </c>
      <c r="V740" s="57" t="s">
        <v>59</v>
      </c>
      <c r="W740" s="55" t="s">
        <v>2319</v>
      </c>
      <c r="X740" s="54" t="s">
        <v>4749</v>
      </c>
      <c r="Y740" s="52"/>
      <c r="Z740" s="1" t="s">
        <v>61</v>
      </c>
      <c r="AA740" s="1" t="s">
        <v>1799</v>
      </c>
      <c r="AB740" s="1"/>
      <c r="AC740" s="1"/>
      <c r="AD740" s="3" t="s">
        <v>62</v>
      </c>
      <c r="AE740" s="3" t="s">
        <v>1077</v>
      </c>
      <c r="AF740" s="3"/>
      <c r="AG740" s="3" t="s">
        <v>1800</v>
      </c>
      <c r="AH740" s="58">
        <v>100</v>
      </c>
      <c r="AI740" s="1"/>
      <c r="AJ740" s="1"/>
      <c r="AK740" s="1"/>
      <c r="AL740" s="1"/>
      <c r="AM740" s="1"/>
      <c r="AN740" s="1"/>
      <c r="AO740" s="1"/>
      <c r="AP740" s="1"/>
      <c r="AQ740" s="1"/>
      <c r="AR740" s="1"/>
      <c r="AS740" s="1"/>
      <c r="AT740" s="1"/>
      <c r="AU740" s="1"/>
      <c r="AV740" s="1"/>
      <c r="AW740" s="1"/>
      <c r="AX740" s="1"/>
      <c r="AY740" s="1"/>
      <c r="AZ740" s="4" t="s">
        <v>163</v>
      </c>
      <c r="BA740" s="1"/>
      <c r="BB740" s="1"/>
      <c r="BC740" s="1"/>
    </row>
    <row r="741" spans="1:55" s="78" customFormat="1" ht="15" customHeight="1" x14ac:dyDescent="0.25">
      <c r="A741" s="52" t="s">
        <v>4750</v>
      </c>
      <c r="B741" s="34" t="s">
        <v>59</v>
      </c>
      <c r="C741" s="53">
        <v>2026</v>
      </c>
      <c r="D741" s="53">
        <v>2026</v>
      </c>
      <c r="E741" s="54" t="s">
        <v>3428</v>
      </c>
      <c r="F741" s="55" t="s">
        <v>50</v>
      </c>
      <c r="G741" s="55" t="s">
        <v>50</v>
      </c>
      <c r="H741" s="45" t="s">
        <v>1802</v>
      </c>
      <c r="I741" s="56" t="s">
        <v>78</v>
      </c>
      <c r="J741" s="56"/>
      <c r="K741" s="56" t="s">
        <v>53</v>
      </c>
      <c r="L741" s="55" t="str">
        <f>IF(K741="Mine or Quarry","Mine","")</f>
        <v/>
      </c>
      <c r="M741" s="55"/>
      <c r="N741" s="56" t="s">
        <v>5386</v>
      </c>
      <c r="O741" s="55"/>
      <c r="P741" s="55" t="s">
        <v>56</v>
      </c>
      <c r="Q741" s="55" t="s">
        <v>57</v>
      </c>
      <c r="R741" s="55"/>
      <c r="S741" s="56" t="s">
        <v>58</v>
      </c>
      <c r="T741" s="55" t="str">
        <f>IF(ISNUMBER(SEARCH(",",N741)),"Y","N")</f>
        <v>N</v>
      </c>
      <c r="U741" s="57">
        <v>23000</v>
      </c>
      <c r="V741" s="57" t="s">
        <v>101</v>
      </c>
      <c r="W741" s="54"/>
      <c r="X741" s="54" t="s">
        <v>4750</v>
      </c>
      <c r="Y741" s="52"/>
      <c r="Z741" s="3" t="s">
        <v>61</v>
      </c>
      <c r="AA741" s="3" t="s">
        <v>1803</v>
      </c>
      <c r="AB741" s="3"/>
      <c r="AC741" s="3"/>
      <c r="AD741" s="3" t="s">
        <v>62</v>
      </c>
      <c r="AE741" s="3" t="s">
        <v>108</v>
      </c>
      <c r="AF741" s="3" t="s">
        <v>1804</v>
      </c>
      <c r="AG741" s="3" t="s">
        <v>1637</v>
      </c>
      <c r="AH741" s="58">
        <v>100</v>
      </c>
      <c r="AI741" s="3"/>
      <c r="AJ741" s="3"/>
      <c r="AK741" s="3"/>
      <c r="AL741" s="3"/>
      <c r="AM741" s="3"/>
      <c r="AN741" s="3"/>
      <c r="AO741" s="3"/>
      <c r="AP741" s="3"/>
      <c r="AQ741" s="3"/>
      <c r="AR741" s="3"/>
      <c r="AS741" s="3"/>
      <c r="AT741" s="3"/>
      <c r="AU741" s="3"/>
      <c r="AV741" s="3"/>
      <c r="AW741" s="3"/>
      <c r="AX741" s="3"/>
      <c r="AY741" s="3"/>
      <c r="AZ741" s="4" t="s">
        <v>1801</v>
      </c>
      <c r="BA741" s="32"/>
      <c r="BB741" s="1"/>
      <c r="BC741" s="1"/>
    </row>
    <row r="742" spans="1:55" s="78" customFormat="1" ht="15" customHeight="1" x14ac:dyDescent="0.25">
      <c r="A742" s="52" t="s">
        <v>4751</v>
      </c>
      <c r="B742" s="34" t="s">
        <v>59</v>
      </c>
      <c r="C742" s="53">
        <v>2026</v>
      </c>
      <c r="D742" s="53">
        <v>2026</v>
      </c>
      <c r="E742" s="54" t="s">
        <v>3428</v>
      </c>
      <c r="F742" s="55" t="s">
        <v>50</v>
      </c>
      <c r="G742" s="55" t="s">
        <v>50</v>
      </c>
      <c r="H742" s="45" t="s">
        <v>1802</v>
      </c>
      <c r="I742" s="56" t="s">
        <v>78</v>
      </c>
      <c r="J742" s="56"/>
      <c r="K742" s="55" t="s">
        <v>264</v>
      </c>
      <c r="L742" s="55" t="s">
        <v>88</v>
      </c>
      <c r="M742" s="55"/>
      <c r="N742" s="56" t="s">
        <v>110</v>
      </c>
      <c r="O742" s="56"/>
      <c r="P742" s="55" t="s">
        <v>265</v>
      </c>
      <c r="Q742" s="55" t="s">
        <v>57</v>
      </c>
      <c r="R742" s="55"/>
      <c r="S742" s="56" t="s">
        <v>58</v>
      </c>
      <c r="T742" s="55" t="str">
        <f>IF(ISNUMBER(SEARCH(",",N742)),"Y","N")</f>
        <v>N</v>
      </c>
      <c r="U742" s="57">
        <v>5400</v>
      </c>
      <c r="V742" s="57" t="s">
        <v>101</v>
      </c>
      <c r="W742" s="54"/>
      <c r="X742" s="54" t="s">
        <v>4751</v>
      </c>
      <c r="Y742" s="52"/>
      <c r="Z742" s="3" t="s">
        <v>61</v>
      </c>
      <c r="AA742" s="3" t="s">
        <v>1803</v>
      </c>
      <c r="AB742" s="3"/>
      <c r="AC742" s="3"/>
      <c r="AD742" s="3" t="s">
        <v>62</v>
      </c>
      <c r="AE742" s="2" t="s">
        <v>108</v>
      </c>
      <c r="AF742" s="3" t="s">
        <v>1804</v>
      </c>
      <c r="AG742" s="3" t="s">
        <v>1637</v>
      </c>
      <c r="AH742" s="58">
        <v>100</v>
      </c>
      <c r="AI742" s="1"/>
      <c r="AJ742" s="1"/>
      <c r="AK742" s="1"/>
      <c r="AL742" s="1"/>
      <c r="AM742" s="1"/>
      <c r="AN742" s="1"/>
      <c r="AO742" s="1"/>
      <c r="AP742" s="1"/>
      <c r="AQ742" s="1"/>
      <c r="AR742" s="1"/>
      <c r="AS742" s="1"/>
      <c r="AT742" s="1"/>
      <c r="AU742" s="1"/>
      <c r="AV742" s="1"/>
      <c r="AW742" s="1"/>
      <c r="AX742" s="1"/>
      <c r="AY742" s="1"/>
      <c r="AZ742" s="4" t="s">
        <v>1801</v>
      </c>
      <c r="BA742" s="32"/>
      <c r="BB742" s="1"/>
      <c r="BC742" s="1"/>
    </row>
    <row r="743" spans="1:55" s="78" customFormat="1" ht="15" customHeight="1" x14ac:dyDescent="0.25">
      <c r="A743" s="52" t="s">
        <v>4752</v>
      </c>
      <c r="B743" s="34" t="s">
        <v>59</v>
      </c>
      <c r="C743" s="53">
        <v>2026</v>
      </c>
      <c r="D743" s="53">
        <v>2026</v>
      </c>
      <c r="E743" s="54" t="s">
        <v>3429</v>
      </c>
      <c r="F743" s="55" t="s">
        <v>50</v>
      </c>
      <c r="G743" s="55" t="s">
        <v>50</v>
      </c>
      <c r="H743" s="45" t="s">
        <v>1805</v>
      </c>
      <c r="I743" s="56" t="s">
        <v>52</v>
      </c>
      <c r="J743" s="56"/>
      <c r="K743" s="56" t="s">
        <v>53</v>
      </c>
      <c r="L743" s="55" t="s">
        <v>54</v>
      </c>
      <c r="M743" s="55"/>
      <c r="N743" s="55" t="s">
        <v>327</v>
      </c>
      <c r="O743" s="55"/>
      <c r="P743" s="55" t="s">
        <v>56</v>
      </c>
      <c r="Q743" s="55" t="s">
        <v>57</v>
      </c>
      <c r="R743" s="55"/>
      <c r="S743" s="56" t="s">
        <v>58</v>
      </c>
      <c r="T743" s="55" t="str">
        <f>IF(ISNUMBER(SEARCH(",",N743)),"Y","N")</f>
        <v>N</v>
      </c>
      <c r="U743" s="57">
        <v>3000</v>
      </c>
      <c r="V743" s="57" t="s">
        <v>101</v>
      </c>
      <c r="W743" s="54"/>
      <c r="X743" s="54" t="s">
        <v>4752</v>
      </c>
      <c r="Y743" s="52"/>
      <c r="Z743" s="3" t="s">
        <v>61</v>
      </c>
      <c r="AA743" s="3" t="s">
        <v>1803</v>
      </c>
      <c r="AB743" s="3"/>
      <c r="AC743" s="3"/>
      <c r="AD743" s="3" t="s">
        <v>62</v>
      </c>
      <c r="AE743" s="3" t="s">
        <v>108</v>
      </c>
      <c r="AF743" s="3" t="s">
        <v>1804</v>
      </c>
      <c r="AG743" s="3" t="s">
        <v>1637</v>
      </c>
      <c r="AH743" s="58">
        <v>100</v>
      </c>
      <c r="AI743" s="3"/>
      <c r="AJ743" s="3"/>
      <c r="AK743" s="3"/>
      <c r="AL743" s="3"/>
      <c r="AM743" s="3"/>
      <c r="AN743" s="3"/>
      <c r="AO743" s="3"/>
      <c r="AP743" s="3"/>
      <c r="AQ743" s="3"/>
      <c r="AR743" s="3"/>
      <c r="AS743" s="3"/>
      <c r="AT743" s="3"/>
      <c r="AU743" s="3"/>
      <c r="AV743" s="3"/>
      <c r="AW743" s="3"/>
      <c r="AX743" s="3"/>
      <c r="AY743" s="3"/>
      <c r="AZ743" s="4" t="s">
        <v>1801</v>
      </c>
      <c r="BA743" s="32"/>
      <c r="BB743" s="1"/>
      <c r="BC743" s="1"/>
    </row>
    <row r="744" spans="1:55" s="78" customFormat="1" ht="15" customHeight="1" x14ac:dyDescent="0.25">
      <c r="A744" s="52" t="s">
        <v>4753</v>
      </c>
      <c r="B744" s="34" t="s">
        <v>59</v>
      </c>
      <c r="C744" s="53">
        <v>2026</v>
      </c>
      <c r="D744" s="53">
        <v>2026</v>
      </c>
      <c r="E744" s="54" t="s">
        <v>3430</v>
      </c>
      <c r="F744" s="55" t="s">
        <v>50</v>
      </c>
      <c r="G744" s="55" t="s">
        <v>50</v>
      </c>
      <c r="H744" s="45" t="s">
        <v>1807</v>
      </c>
      <c r="I744" s="56" t="s">
        <v>52</v>
      </c>
      <c r="J744" s="56"/>
      <c r="K744" s="56" t="s">
        <v>74</v>
      </c>
      <c r="L744" s="55"/>
      <c r="M744" s="55"/>
      <c r="N744" s="55"/>
      <c r="O744" s="55" t="s">
        <v>1808</v>
      </c>
      <c r="P744" s="55" t="s">
        <v>75</v>
      </c>
      <c r="Q744" s="56" t="s">
        <v>57</v>
      </c>
      <c r="R744" s="55"/>
      <c r="S744" s="56" t="s">
        <v>58</v>
      </c>
      <c r="T744" s="55" t="str">
        <f>IF(ISNUMBER(SEARCH(",",N744)),"Y","N")</f>
        <v>N</v>
      </c>
      <c r="U744" s="73">
        <v>0.84</v>
      </c>
      <c r="V744" s="57" t="s">
        <v>101</v>
      </c>
      <c r="W744" s="55"/>
      <c r="X744" s="54" t="s">
        <v>4753</v>
      </c>
      <c r="Y744" s="52"/>
      <c r="Z744" s="2" t="s">
        <v>2005</v>
      </c>
      <c r="AA744" s="3" t="s">
        <v>1809</v>
      </c>
      <c r="AB744" s="3"/>
      <c r="AC744" s="3"/>
      <c r="AD744" s="3" t="s">
        <v>62</v>
      </c>
      <c r="AE744" s="2" t="s">
        <v>83</v>
      </c>
      <c r="AF744" s="1" t="s">
        <v>1810</v>
      </c>
      <c r="AG744" s="1" t="s">
        <v>1810</v>
      </c>
      <c r="AH744" s="58"/>
      <c r="AI744" s="1"/>
      <c r="AJ744" s="3"/>
      <c r="AK744" s="3"/>
      <c r="AL744" s="3"/>
      <c r="AM744" s="3"/>
      <c r="AN744" s="3"/>
      <c r="AO744" s="3"/>
      <c r="AP744" s="3"/>
      <c r="AQ744" s="3"/>
      <c r="AR744" s="3"/>
      <c r="AS744" s="3"/>
      <c r="AT744" s="3"/>
      <c r="AU744" s="3"/>
      <c r="AV744" s="3"/>
      <c r="AW744" s="3"/>
      <c r="AX744" s="3"/>
      <c r="AY744" s="3"/>
      <c r="AZ744" s="2" t="s">
        <v>1806</v>
      </c>
      <c r="BA744" s="32"/>
      <c r="BB744" s="1"/>
      <c r="BC744" s="1"/>
    </row>
    <row r="745" spans="1:55" s="78" customFormat="1" ht="15" customHeight="1" x14ac:dyDescent="0.25">
      <c r="A745" s="52" t="s">
        <v>4754</v>
      </c>
      <c r="B745" s="34" t="s">
        <v>59</v>
      </c>
      <c r="C745" s="53">
        <v>2026</v>
      </c>
      <c r="D745" s="53">
        <v>2026</v>
      </c>
      <c r="E745" s="54" t="s">
        <v>3430</v>
      </c>
      <c r="F745" s="55" t="s">
        <v>50</v>
      </c>
      <c r="G745" s="55" t="s">
        <v>50</v>
      </c>
      <c r="H745" s="45" t="s">
        <v>1807</v>
      </c>
      <c r="I745" s="56" t="s">
        <v>52</v>
      </c>
      <c r="J745" s="56"/>
      <c r="K745" s="56" t="s">
        <v>71</v>
      </c>
      <c r="L745" s="55"/>
      <c r="M745" s="55"/>
      <c r="N745" s="55"/>
      <c r="O745" s="55" t="s">
        <v>1808</v>
      </c>
      <c r="P745" s="55" t="s">
        <v>73</v>
      </c>
      <c r="Q745" s="55" t="s">
        <v>57</v>
      </c>
      <c r="R745" s="55"/>
      <c r="S745" s="56" t="s">
        <v>58</v>
      </c>
      <c r="T745" s="55" t="str">
        <f>IF(ISNUMBER(SEARCH(",",N745)),"Y","N")</f>
        <v>N</v>
      </c>
      <c r="U745" s="57">
        <v>8.8999999999999996E-2</v>
      </c>
      <c r="V745" s="57" t="s">
        <v>101</v>
      </c>
      <c r="W745" s="55"/>
      <c r="X745" s="54" t="s">
        <v>4754</v>
      </c>
      <c r="Y745" s="52"/>
      <c r="Z745" s="2" t="s">
        <v>2005</v>
      </c>
      <c r="AA745" s="3" t="s">
        <v>1809</v>
      </c>
      <c r="AB745" s="3"/>
      <c r="AC745" s="3"/>
      <c r="AD745" s="3" t="s">
        <v>62</v>
      </c>
      <c r="AE745" s="2" t="s">
        <v>83</v>
      </c>
      <c r="AF745" s="1" t="s">
        <v>1810</v>
      </c>
      <c r="AG745" s="1" t="s">
        <v>1810</v>
      </c>
      <c r="AH745" s="58"/>
      <c r="AI745" s="3"/>
      <c r="AJ745" s="3"/>
      <c r="AK745" s="3"/>
      <c r="AL745" s="3"/>
      <c r="AM745" s="3"/>
      <c r="AN745" s="3"/>
      <c r="AO745" s="3"/>
      <c r="AP745" s="3"/>
      <c r="AQ745" s="3"/>
      <c r="AR745" s="3"/>
      <c r="AS745" s="3"/>
      <c r="AT745" s="3"/>
      <c r="AU745" s="3"/>
      <c r="AV745" s="3"/>
      <c r="AW745" s="3"/>
      <c r="AX745" s="3"/>
      <c r="AY745" s="3"/>
      <c r="AZ745" s="2" t="s">
        <v>1806</v>
      </c>
      <c r="BA745" s="32"/>
      <c r="BB745" s="1"/>
      <c r="BC745" s="1"/>
    </row>
    <row r="746" spans="1:55" s="78" customFormat="1" ht="15" customHeight="1" x14ac:dyDescent="0.25">
      <c r="A746" s="52" t="s">
        <v>4755</v>
      </c>
      <c r="B746" s="34" t="s">
        <v>59</v>
      </c>
      <c r="C746" s="53">
        <v>2026</v>
      </c>
      <c r="D746" s="53">
        <v>2026</v>
      </c>
      <c r="E746" s="54" t="s">
        <v>3431</v>
      </c>
      <c r="F746" s="55" t="s">
        <v>50</v>
      </c>
      <c r="G746" s="55" t="s">
        <v>50</v>
      </c>
      <c r="H746" s="45" t="s">
        <v>1811</v>
      </c>
      <c r="I746" s="56" t="s">
        <v>78</v>
      </c>
      <c r="J746" s="56"/>
      <c r="K746" s="55" t="s">
        <v>71</v>
      </c>
      <c r="L746" s="55" t="s">
        <v>88</v>
      </c>
      <c r="M746" s="55"/>
      <c r="N746" s="55" t="s">
        <v>181</v>
      </c>
      <c r="O746" s="55"/>
      <c r="P746" s="55" t="s">
        <v>73</v>
      </c>
      <c r="Q746" s="55" t="s">
        <v>57</v>
      </c>
      <c r="R746" s="55"/>
      <c r="S746" s="56" t="s">
        <v>58</v>
      </c>
      <c r="T746" s="55" t="s">
        <v>81</v>
      </c>
      <c r="U746" s="57">
        <v>-999</v>
      </c>
      <c r="V746" s="57" t="s">
        <v>59</v>
      </c>
      <c r="W746" s="55"/>
      <c r="X746" s="54" t="s">
        <v>4755</v>
      </c>
      <c r="Y746" s="52"/>
      <c r="Z746" s="2" t="s">
        <v>2005</v>
      </c>
      <c r="AA746" s="3" t="s">
        <v>1809</v>
      </c>
      <c r="AB746" s="3"/>
      <c r="AC746" s="3"/>
      <c r="AD746" s="3" t="s">
        <v>62</v>
      </c>
      <c r="AE746" s="3" t="s">
        <v>83</v>
      </c>
      <c r="AF746" s="1" t="s">
        <v>1810</v>
      </c>
      <c r="AG746" s="1" t="s">
        <v>1810</v>
      </c>
      <c r="AH746" s="58"/>
      <c r="AI746" s="3"/>
      <c r="AJ746" s="3"/>
      <c r="AK746" s="3"/>
      <c r="AL746" s="3"/>
      <c r="AM746" s="3"/>
      <c r="AN746" s="3"/>
      <c r="AO746" s="3"/>
      <c r="AP746" s="3"/>
      <c r="AQ746" s="3"/>
      <c r="AR746" s="3"/>
      <c r="AS746" s="3"/>
      <c r="AT746" s="3"/>
      <c r="AU746" s="3"/>
      <c r="AV746" s="3"/>
      <c r="AW746" s="3"/>
      <c r="AX746" s="3"/>
      <c r="AY746" s="3"/>
      <c r="AZ746" s="2" t="s">
        <v>1806</v>
      </c>
      <c r="BA746" s="32"/>
      <c r="BB746" s="1"/>
      <c r="BC746" s="1"/>
    </row>
    <row r="747" spans="1:55" s="78" customFormat="1" ht="15" customHeight="1" x14ac:dyDescent="0.25">
      <c r="A747" s="52" t="s">
        <v>4756</v>
      </c>
      <c r="B747" s="34" t="s">
        <v>59</v>
      </c>
      <c r="C747" s="53">
        <v>2026</v>
      </c>
      <c r="D747" s="53">
        <v>2026</v>
      </c>
      <c r="E747" s="54" t="s">
        <v>3431</v>
      </c>
      <c r="F747" s="55" t="s">
        <v>50</v>
      </c>
      <c r="G747" s="55" t="s">
        <v>50</v>
      </c>
      <c r="H747" s="45" t="s">
        <v>1811</v>
      </c>
      <c r="I747" s="56" t="s">
        <v>78</v>
      </c>
      <c r="J747" s="56"/>
      <c r="K747" s="55" t="s">
        <v>74</v>
      </c>
      <c r="L747" s="55" t="s">
        <v>88</v>
      </c>
      <c r="M747" s="55"/>
      <c r="N747" s="55" t="s">
        <v>181</v>
      </c>
      <c r="O747" s="56"/>
      <c r="P747" s="55" t="s">
        <v>75</v>
      </c>
      <c r="Q747" s="56" t="s">
        <v>57</v>
      </c>
      <c r="R747" s="55"/>
      <c r="S747" s="56" t="s">
        <v>58</v>
      </c>
      <c r="T747" s="55" t="s">
        <v>81</v>
      </c>
      <c r="U747" s="57">
        <v>-999</v>
      </c>
      <c r="V747" s="57" t="s">
        <v>59</v>
      </c>
      <c r="W747" s="55"/>
      <c r="X747" s="54" t="s">
        <v>4756</v>
      </c>
      <c r="Y747" s="52"/>
      <c r="Z747" s="2" t="s">
        <v>2005</v>
      </c>
      <c r="AA747" s="3" t="s">
        <v>1809</v>
      </c>
      <c r="AB747" s="3"/>
      <c r="AC747" s="3"/>
      <c r="AD747" s="3" t="s">
        <v>62</v>
      </c>
      <c r="AE747" s="3" t="s">
        <v>83</v>
      </c>
      <c r="AF747" s="1" t="s">
        <v>1810</v>
      </c>
      <c r="AG747" s="1" t="s">
        <v>1810</v>
      </c>
      <c r="AH747" s="58"/>
      <c r="AI747" s="1"/>
      <c r="AJ747" s="1"/>
      <c r="AK747" s="1"/>
      <c r="AL747" s="1"/>
      <c r="AM747" s="1"/>
      <c r="AN747" s="1"/>
      <c r="AO747" s="1"/>
      <c r="AP747" s="1"/>
      <c r="AQ747" s="1"/>
      <c r="AR747" s="1"/>
      <c r="AS747" s="1"/>
      <c r="AT747" s="1"/>
      <c r="AU747" s="1"/>
      <c r="AV747" s="1"/>
      <c r="AW747" s="1"/>
      <c r="AX747" s="1"/>
      <c r="AY747" s="1"/>
      <c r="AZ747" s="4" t="s">
        <v>1806</v>
      </c>
      <c r="BA747" s="32"/>
      <c r="BB747" s="1"/>
      <c r="BC747" s="1"/>
    </row>
    <row r="748" spans="1:55" s="78" customFormat="1" ht="15" customHeight="1" x14ac:dyDescent="0.25">
      <c r="A748" s="52" t="s">
        <v>4757</v>
      </c>
      <c r="B748" s="34" t="s">
        <v>59</v>
      </c>
      <c r="C748" s="53">
        <v>2026</v>
      </c>
      <c r="D748" s="53">
        <v>2026</v>
      </c>
      <c r="E748" s="54" t="s">
        <v>3432</v>
      </c>
      <c r="F748" s="55" t="s">
        <v>50</v>
      </c>
      <c r="G748" s="55" t="s">
        <v>50</v>
      </c>
      <c r="H748" s="45" t="s">
        <v>1813</v>
      </c>
      <c r="I748" s="56" t="s">
        <v>52</v>
      </c>
      <c r="J748" s="56" t="s">
        <v>316</v>
      </c>
      <c r="K748" s="55" t="s">
        <v>316</v>
      </c>
      <c r="L748" s="55" t="s">
        <v>317</v>
      </c>
      <c r="M748" s="55" t="s">
        <v>113</v>
      </c>
      <c r="N748" s="55" t="s">
        <v>55</v>
      </c>
      <c r="O748" s="56" t="s">
        <v>699</v>
      </c>
      <c r="P748" s="55" t="s">
        <v>318</v>
      </c>
      <c r="Q748" s="55" t="s">
        <v>57</v>
      </c>
      <c r="R748" s="55"/>
      <c r="S748" s="56" t="s">
        <v>81</v>
      </c>
      <c r="T748" s="55" t="s">
        <v>81</v>
      </c>
      <c r="U748" s="57">
        <v>40000</v>
      </c>
      <c r="V748" s="57" t="s">
        <v>101</v>
      </c>
      <c r="W748" s="55" t="s">
        <v>2319</v>
      </c>
      <c r="X748" s="54" t="s">
        <v>4757</v>
      </c>
      <c r="Y748" s="52"/>
      <c r="Z748" s="2" t="s">
        <v>61</v>
      </c>
      <c r="AA748" s="1" t="s">
        <v>1814</v>
      </c>
      <c r="AB748" s="1"/>
      <c r="AC748" s="1"/>
      <c r="AD748" s="3" t="s">
        <v>62</v>
      </c>
      <c r="AE748" s="2" t="s">
        <v>115</v>
      </c>
      <c r="AF748" s="2"/>
      <c r="AG748" s="1" t="s">
        <v>796</v>
      </c>
      <c r="AH748" s="2">
        <v>100</v>
      </c>
      <c r="AI748" s="1"/>
      <c r="AJ748" s="1"/>
      <c r="AK748" s="1"/>
      <c r="AL748" s="1"/>
      <c r="AM748" s="1"/>
      <c r="AN748" s="1"/>
      <c r="AO748" s="1"/>
      <c r="AP748" s="1"/>
      <c r="AQ748" s="1"/>
      <c r="AR748" s="1"/>
      <c r="AS748" s="1"/>
      <c r="AT748" s="1"/>
      <c r="AU748" s="1"/>
      <c r="AV748" s="1"/>
      <c r="AW748" s="1"/>
      <c r="AX748" s="1"/>
      <c r="AY748" s="1"/>
      <c r="AZ748" s="4" t="s">
        <v>1812</v>
      </c>
      <c r="BA748" s="1"/>
      <c r="BB748" s="1"/>
      <c r="BC748" s="1"/>
    </row>
    <row r="749" spans="1:55" s="76" customFormat="1" ht="15" customHeight="1" x14ac:dyDescent="0.25">
      <c r="A749" s="52" t="s">
        <v>4758</v>
      </c>
      <c r="B749" s="34" t="s">
        <v>59</v>
      </c>
      <c r="C749" s="53">
        <v>2026</v>
      </c>
      <c r="D749" s="53">
        <v>2026</v>
      </c>
      <c r="E749" s="54" t="s">
        <v>3433</v>
      </c>
      <c r="F749" s="55" t="s">
        <v>50</v>
      </c>
      <c r="G749" s="55" t="s">
        <v>50</v>
      </c>
      <c r="H749" s="45" t="s">
        <v>1816</v>
      </c>
      <c r="I749" s="56" t="s">
        <v>52</v>
      </c>
      <c r="J749" s="56"/>
      <c r="K749" s="56" t="s">
        <v>87</v>
      </c>
      <c r="L749" s="55" t="str">
        <f>IF(K749="Mine or Quarry","Mine","")</f>
        <v/>
      </c>
      <c r="M749" s="55"/>
      <c r="N749" s="56"/>
      <c r="O749" s="56" t="s">
        <v>2893</v>
      </c>
      <c r="P749" s="56" t="s">
        <v>89</v>
      </c>
      <c r="Q749" s="56" t="s">
        <v>89</v>
      </c>
      <c r="R749" s="55"/>
      <c r="S749" s="56" t="s">
        <v>81</v>
      </c>
      <c r="T749" s="55" t="str">
        <f t="shared" ref="T749:T754" si="11">IF(ISNUMBER(SEARCH(",",N749)),"Y","N")</f>
        <v>N</v>
      </c>
      <c r="U749" s="57">
        <v>-999</v>
      </c>
      <c r="V749" s="57" t="s">
        <v>59</v>
      </c>
      <c r="W749" s="55" t="s">
        <v>2319</v>
      </c>
      <c r="X749" s="54" t="s">
        <v>4758</v>
      </c>
      <c r="Y749" s="52"/>
      <c r="Z749" s="1" t="s">
        <v>61</v>
      </c>
      <c r="AA749" s="1" t="s">
        <v>1817</v>
      </c>
      <c r="AB749" s="1"/>
      <c r="AC749" s="1"/>
      <c r="AD749" s="3" t="s">
        <v>62</v>
      </c>
      <c r="AE749" s="1" t="s">
        <v>336</v>
      </c>
      <c r="AF749" s="1" t="s">
        <v>1818</v>
      </c>
      <c r="AG749" s="1" t="s">
        <v>1818</v>
      </c>
      <c r="AH749" s="2">
        <v>100</v>
      </c>
      <c r="AI749" s="1"/>
      <c r="AJ749" s="1"/>
      <c r="AK749" s="1"/>
      <c r="AL749" s="1"/>
      <c r="AM749" s="1"/>
      <c r="AN749" s="1"/>
      <c r="AO749" s="1"/>
      <c r="AP749" s="1"/>
      <c r="AQ749" s="1"/>
      <c r="AR749" s="1"/>
      <c r="AS749" s="1"/>
      <c r="AT749" s="1"/>
      <c r="AU749" s="1"/>
      <c r="AV749" s="1"/>
      <c r="AW749" s="1"/>
      <c r="AX749" s="1"/>
      <c r="AY749" s="1"/>
      <c r="AZ749" s="5" t="s">
        <v>1815</v>
      </c>
      <c r="BA749" s="5"/>
      <c r="BB749" s="1"/>
      <c r="BC749" s="1"/>
    </row>
    <row r="750" spans="1:55" s="78" customFormat="1" ht="15" customHeight="1" x14ac:dyDescent="0.25">
      <c r="A750" s="52" t="s">
        <v>4759</v>
      </c>
      <c r="B750" s="34" t="s">
        <v>59</v>
      </c>
      <c r="C750" s="53">
        <v>2026</v>
      </c>
      <c r="D750" s="53">
        <v>2026</v>
      </c>
      <c r="E750" s="54" t="s">
        <v>3434</v>
      </c>
      <c r="F750" s="55" t="s">
        <v>50</v>
      </c>
      <c r="G750" s="55" t="s">
        <v>50</v>
      </c>
      <c r="H750" s="45" t="s">
        <v>1819</v>
      </c>
      <c r="I750" s="45" t="s">
        <v>78</v>
      </c>
      <c r="J750" s="56" t="s">
        <v>165</v>
      </c>
      <c r="K750" s="55" t="s">
        <v>597</v>
      </c>
      <c r="L750" s="55" t="s">
        <v>88</v>
      </c>
      <c r="M750" s="55"/>
      <c r="N750" s="56" t="s">
        <v>110</v>
      </c>
      <c r="O750" s="56"/>
      <c r="P750" s="56" t="s">
        <v>598</v>
      </c>
      <c r="Q750" s="55" t="s">
        <v>57</v>
      </c>
      <c r="R750" s="55"/>
      <c r="S750" s="56" t="s">
        <v>81</v>
      </c>
      <c r="T750" s="55" t="str">
        <f t="shared" si="11"/>
        <v>N</v>
      </c>
      <c r="U750" s="57">
        <v>14500000</v>
      </c>
      <c r="V750" s="57" t="s">
        <v>101</v>
      </c>
      <c r="W750" s="55"/>
      <c r="X750" s="54" t="s">
        <v>4759</v>
      </c>
      <c r="Y750" s="52"/>
      <c r="Z750" s="2" t="s">
        <v>61</v>
      </c>
      <c r="AA750" s="1" t="s">
        <v>1820</v>
      </c>
      <c r="AB750" s="1"/>
      <c r="AC750" s="1"/>
      <c r="AD750" s="3" t="s">
        <v>62</v>
      </c>
      <c r="AE750" s="2" t="s">
        <v>1054</v>
      </c>
      <c r="AF750" s="2"/>
      <c r="AG750" s="3" t="s">
        <v>849</v>
      </c>
      <c r="AH750" s="58">
        <v>100</v>
      </c>
      <c r="AI750" s="1"/>
      <c r="AJ750" s="1"/>
      <c r="AK750" s="1"/>
      <c r="AL750" s="1"/>
      <c r="AM750" s="1"/>
      <c r="AN750" s="1"/>
      <c r="AO750" s="1"/>
      <c r="AP750" s="1"/>
      <c r="AQ750" s="1"/>
      <c r="AR750" s="1"/>
      <c r="AS750" s="1"/>
      <c r="AT750" s="1"/>
      <c r="AU750" s="1"/>
      <c r="AV750" s="1"/>
      <c r="AW750" s="1"/>
      <c r="AX750" s="1"/>
      <c r="AY750" s="1"/>
      <c r="AZ750" s="4" t="s">
        <v>2597</v>
      </c>
      <c r="BA750" s="1" t="s">
        <v>3895</v>
      </c>
      <c r="BB750" s="1"/>
      <c r="BC750" s="1"/>
    </row>
    <row r="751" spans="1:55" s="78" customFormat="1" ht="15" customHeight="1" x14ac:dyDescent="0.25">
      <c r="A751" s="52" t="s">
        <v>4760</v>
      </c>
      <c r="B751" s="34" t="s">
        <v>59</v>
      </c>
      <c r="C751" s="53">
        <v>2026</v>
      </c>
      <c r="D751" s="53">
        <v>2026</v>
      </c>
      <c r="E751" s="54" t="s">
        <v>3435</v>
      </c>
      <c r="F751" s="55" t="s">
        <v>50</v>
      </c>
      <c r="G751" s="55" t="s">
        <v>50</v>
      </c>
      <c r="H751" s="45" t="s">
        <v>1821</v>
      </c>
      <c r="I751" s="45" t="s">
        <v>52</v>
      </c>
      <c r="J751" s="56" t="s">
        <v>165</v>
      </c>
      <c r="K751" s="55" t="s">
        <v>597</v>
      </c>
      <c r="L751" s="55" t="str">
        <f>IF(K751="Mine or Quarry","Mine","")</f>
        <v/>
      </c>
      <c r="M751" s="55"/>
      <c r="N751" s="56" t="s">
        <v>1371</v>
      </c>
      <c r="O751" s="56"/>
      <c r="P751" s="56" t="s">
        <v>598</v>
      </c>
      <c r="Q751" s="55" t="s">
        <v>57</v>
      </c>
      <c r="R751" s="55"/>
      <c r="S751" s="56" t="s">
        <v>81</v>
      </c>
      <c r="T751" s="55" t="str">
        <f t="shared" si="11"/>
        <v>N</v>
      </c>
      <c r="U751" s="57">
        <v>14500000</v>
      </c>
      <c r="V751" s="57" t="s">
        <v>101</v>
      </c>
      <c r="W751" s="55"/>
      <c r="X751" s="54" t="s">
        <v>4760</v>
      </c>
      <c r="Y751" s="52"/>
      <c r="Z751" s="2" t="s">
        <v>61</v>
      </c>
      <c r="AA751" s="1" t="s">
        <v>1820</v>
      </c>
      <c r="AB751" s="1"/>
      <c r="AC751" s="1"/>
      <c r="AD751" s="3" t="s">
        <v>62</v>
      </c>
      <c r="AE751" s="2" t="s">
        <v>1054</v>
      </c>
      <c r="AF751" s="2"/>
      <c r="AG751" s="3" t="s">
        <v>849</v>
      </c>
      <c r="AH751" s="58">
        <v>100</v>
      </c>
      <c r="AI751" s="1"/>
      <c r="AJ751" s="1"/>
      <c r="AK751" s="1"/>
      <c r="AL751" s="1"/>
      <c r="AM751" s="1"/>
      <c r="AN751" s="1"/>
      <c r="AO751" s="1"/>
      <c r="AP751" s="1"/>
      <c r="AQ751" s="1"/>
      <c r="AR751" s="1"/>
      <c r="AS751" s="1"/>
      <c r="AT751" s="1"/>
      <c r="AU751" s="1"/>
      <c r="AV751" s="1"/>
      <c r="AW751" s="1"/>
      <c r="AX751" s="1"/>
      <c r="AY751" s="1"/>
      <c r="AZ751" s="4" t="s">
        <v>2597</v>
      </c>
      <c r="BA751" s="1" t="s">
        <v>3895</v>
      </c>
      <c r="BB751" s="1"/>
      <c r="BC751" s="1"/>
    </row>
    <row r="752" spans="1:55" s="78" customFormat="1" ht="15" customHeight="1" x14ac:dyDescent="0.25">
      <c r="A752" s="52" t="s">
        <v>4761</v>
      </c>
      <c r="B752" s="34" t="s">
        <v>59</v>
      </c>
      <c r="C752" s="53">
        <v>2026</v>
      </c>
      <c r="D752" s="53">
        <v>2026</v>
      </c>
      <c r="E752" s="54" t="s">
        <v>3436</v>
      </c>
      <c r="F752" s="55" t="s">
        <v>50</v>
      </c>
      <c r="G752" s="55" t="s">
        <v>50</v>
      </c>
      <c r="H752" s="45" t="s">
        <v>1822</v>
      </c>
      <c r="I752" s="56" t="s">
        <v>78</v>
      </c>
      <c r="J752" s="56" t="s">
        <v>165</v>
      </c>
      <c r="K752" s="56" t="s">
        <v>597</v>
      </c>
      <c r="L752" s="55" t="s">
        <v>88</v>
      </c>
      <c r="M752" s="55"/>
      <c r="N752" s="55" t="s">
        <v>110</v>
      </c>
      <c r="O752" s="55"/>
      <c r="P752" s="56" t="s">
        <v>598</v>
      </c>
      <c r="Q752" s="55" t="s">
        <v>57</v>
      </c>
      <c r="R752" s="55"/>
      <c r="S752" s="56" t="s">
        <v>81</v>
      </c>
      <c r="T752" s="55" t="str">
        <f t="shared" si="11"/>
        <v>N</v>
      </c>
      <c r="U752" s="57">
        <v>3000000</v>
      </c>
      <c r="V752" s="57" t="s">
        <v>101</v>
      </c>
      <c r="W752" s="55"/>
      <c r="X752" s="54" t="s">
        <v>4761</v>
      </c>
      <c r="Y752" s="52"/>
      <c r="Z752" s="2" t="s">
        <v>2005</v>
      </c>
      <c r="AA752" s="3" t="s">
        <v>1823</v>
      </c>
      <c r="AB752" s="3"/>
      <c r="AC752" s="3"/>
      <c r="AD752" s="3" t="s">
        <v>62</v>
      </c>
      <c r="AE752" s="2" t="s">
        <v>1054</v>
      </c>
      <c r="AF752" s="2"/>
      <c r="AG752" s="1" t="s">
        <v>635</v>
      </c>
      <c r="AH752" s="2">
        <v>100</v>
      </c>
      <c r="AI752" s="3"/>
      <c r="AJ752" s="3"/>
      <c r="AK752" s="3"/>
      <c r="AL752" s="3"/>
      <c r="AM752" s="3"/>
      <c r="AN752" s="3"/>
      <c r="AO752" s="3"/>
      <c r="AP752" s="3"/>
      <c r="AQ752" s="3"/>
      <c r="AR752" s="3"/>
      <c r="AS752" s="3"/>
      <c r="AT752" s="3"/>
      <c r="AU752" s="3"/>
      <c r="AV752" s="3"/>
      <c r="AW752" s="3"/>
      <c r="AX752" s="3"/>
      <c r="AY752" s="3"/>
      <c r="AZ752" s="4" t="s">
        <v>2597</v>
      </c>
      <c r="BA752" s="3" t="s">
        <v>3870</v>
      </c>
      <c r="BB752" s="1" t="s">
        <v>3871</v>
      </c>
      <c r="BC752" s="1"/>
    </row>
    <row r="753" spans="1:55" s="78" customFormat="1" ht="15" customHeight="1" x14ac:dyDescent="0.25">
      <c r="A753" s="52" t="s">
        <v>4762</v>
      </c>
      <c r="B753" s="34" t="s">
        <v>59</v>
      </c>
      <c r="C753" s="53">
        <v>2026</v>
      </c>
      <c r="D753" s="53">
        <v>2026</v>
      </c>
      <c r="E753" s="54" t="s">
        <v>3437</v>
      </c>
      <c r="F753" s="55" t="s">
        <v>50</v>
      </c>
      <c r="G753" s="55" t="s">
        <v>50</v>
      </c>
      <c r="H753" s="45" t="s">
        <v>1824</v>
      </c>
      <c r="I753" s="56" t="s">
        <v>52</v>
      </c>
      <c r="J753" s="56" t="s">
        <v>165</v>
      </c>
      <c r="K753" s="56" t="s">
        <v>597</v>
      </c>
      <c r="L753" s="55" t="str">
        <f>IF(K753="Mine or Quarry","Mine","")</f>
        <v/>
      </c>
      <c r="M753" s="55"/>
      <c r="N753" s="55" t="s">
        <v>1371</v>
      </c>
      <c r="O753" s="55"/>
      <c r="P753" s="56" t="s">
        <v>598</v>
      </c>
      <c r="Q753" s="55" t="s">
        <v>57</v>
      </c>
      <c r="R753" s="55"/>
      <c r="S753" s="56" t="s">
        <v>81</v>
      </c>
      <c r="T753" s="55" t="str">
        <f t="shared" si="11"/>
        <v>N</v>
      </c>
      <c r="U753" s="57">
        <v>3000000</v>
      </c>
      <c r="V753" s="57" t="s">
        <v>101</v>
      </c>
      <c r="W753" s="55"/>
      <c r="X753" s="54" t="s">
        <v>4762</v>
      </c>
      <c r="Y753" s="52"/>
      <c r="Z753" s="2" t="s">
        <v>2005</v>
      </c>
      <c r="AA753" s="3" t="s">
        <v>1823</v>
      </c>
      <c r="AB753" s="3"/>
      <c r="AC753" s="3"/>
      <c r="AD753" s="3" t="s">
        <v>62</v>
      </c>
      <c r="AE753" s="2" t="s">
        <v>1054</v>
      </c>
      <c r="AF753" s="2"/>
      <c r="AG753" s="1" t="s">
        <v>635</v>
      </c>
      <c r="AH753" s="2">
        <v>100</v>
      </c>
      <c r="AI753" s="3"/>
      <c r="AJ753" s="3"/>
      <c r="AK753" s="3"/>
      <c r="AL753" s="3"/>
      <c r="AM753" s="3"/>
      <c r="AN753" s="3"/>
      <c r="AO753" s="3"/>
      <c r="AP753" s="3"/>
      <c r="AQ753" s="3"/>
      <c r="AR753" s="3"/>
      <c r="AS753" s="3"/>
      <c r="AT753" s="3"/>
      <c r="AU753" s="3"/>
      <c r="AV753" s="3"/>
      <c r="AW753" s="3"/>
      <c r="AX753" s="3"/>
      <c r="AY753" s="3"/>
      <c r="AZ753" s="4" t="s">
        <v>2597</v>
      </c>
      <c r="BA753" s="3" t="s">
        <v>3870</v>
      </c>
      <c r="BB753" s="1" t="s">
        <v>3871</v>
      </c>
      <c r="BC753" s="1"/>
    </row>
    <row r="754" spans="1:55" s="78" customFormat="1" ht="15" customHeight="1" x14ac:dyDescent="0.25">
      <c r="A754" s="52" t="s">
        <v>4763</v>
      </c>
      <c r="B754" s="34" t="s">
        <v>59</v>
      </c>
      <c r="C754" s="53">
        <v>2026</v>
      </c>
      <c r="D754" s="53">
        <v>2026</v>
      </c>
      <c r="E754" s="54" t="s">
        <v>3438</v>
      </c>
      <c r="F754" s="55" t="s">
        <v>50</v>
      </c>
      <c r="G754" s="55" t="s">
        <v>50</v>
      </c>
      <c r="H754" s="45" t="s">
        <v>3002</v>
      </c>
      <c r="I754" s="56" t="s">
        <v>78</v>
      </c>
      <c r="J754" s="56"/>
      <c r="K754" s="56" t="s">
        <v>715</v>
      </c>
      <c r="L754" s="55" t="str">
        <f>IF(K754="Mine or Quarry","Mine","")</f>
        <v/>
      </c>
      <c r="M754" s="55"/>
      <c r="N754" s="55" t="s">
        <v>181</v>
      </c>
      <c r="O754" s="55"/>
      <c r="P754" s="55" t="s">
        <v>716</v>
      </c>
      <c r="Q754" s="55" t="s">
        <v>5353</v>
      </c>
      <c r="R754" s="55"/>
      <c r="S754" s="56" t="s">
        <v>58</v>
      </c>
      <c r="T754" s="55" t="str">
        <f t="shared" si="11"/>
        <v>N</v>
      </c>
      <c r="U754" s="57">
        <v>72000</v>
      </c>
      <c r="V754" s="57" t="s">
        <v>101</v>
      </c>
      <c r="W754" s="55" t="s">
        <v>2319</v>
      </c>
      <c r="X754" s="54" t="s">
        <v>4763</v>
      </c>
      <c r="Y754" s="52"/>
      <c r="Z754" s="2" t="s">
        <v>61</v>
      </c>
      <c r="AA754" s="3" t="s">
        <v>1825</v>
      </c>
      <c r="AB754" s="3"/>
      <c r="AC754" s="3"/>
      <c r="AD754" s="3" t="s">
        <v>62</v>
      </c>
      <c r="AE754" s="2" t="s">
        <v>251</v>
      </c>
      <c r="AF754" s="2"/>
      <c r="AG754" s="3" t="s">
        <v>719</v>
      </c>
      <c r="AH754" s="58">
        <v>100</v>
      </c>
      <c r="AI754" s="3"/>
      <c r="AJ754" s="3"/>
      <c r="AK754" s="3"/>
      <c r="AL754" s="3"/>
      <c r="AM754" s="3"/>
      <c r="AN754" s="3"/>
      <c r="AO754" s="3"/>
      <c r="AP754" s="3"/>
      <c r="AQ754" s="3"/>
      <c r="AR754" s="3"/>
      <c r="AS754" s="3"/>
      <c r="AT754" s="3"/>
      <c r="AU754" s="3"/>
      <c r="AV754" s="3"/>
      <c r="AW754" s="3"/>
      <c r="AX754" s="3"/>
      <c r="AY754" s="3"/>
      <c r="AZ754" s="4" t="s">
        <v>1067</v>
      </c>
      <c r="BA754" s="3"/>
      <c r="BB754" s="1"/>
      <c r="BC754" s="1"/>
    </row>
    <row r="755" spans="1:55" s="78" customFormat="1" ht="15" customHeight="1" x14ac:dyDescent="0.25">
      <c r="A755" s="52" t="s">
        <v>4764</v>
      </c>
      <c r="B755" s="34" t="s">
        <v>59</v>
      </c>
      <c r="C755" s="53">
        <v>2026</v>
      </c>
      <c r="D755" s="53">
        <v>2026</v>
      </c>
      <c r="E755" s="54" t="s">
        <v>3439</v>
      </c>
      <c r="F755" s="55" t="s">
        <v>50</v>
      </c>
      <c r="G755" s="55" t="s">
        <v>50</v>
      </c>
      <c r="H755" s="45" t="s">
        <v>1827</v>
      </c>
      <c r="I755" s="56" t="s">
        <v>52</v>
      </c>
      <c r="J755" s="56"/>
      <c r="K755" s="55" t="s">
        <v>633</v>
      </c>
      <c r="L755" s="55"/>
      <c r="M755" s="55"/>
      <c r="N755" s="56" t="s">
        <v>418</v>
      </c>
      <c r="O755" s="56"/>
      <c r="P755" s="56" t="s">
        <v>89</v>
      </c>
      <c r="Q755" s="61" t="s">
        <v>89</v>
      </c>
      <c r="R755" s="55"/>
      <c r="S755" s="56" t="s">
        <v>81</v>
      </c>
      <c r="T755" s="55" t="s">
        <v>81</v>
      </c>
      <c r="U755" s="57">
        <v>300000</v>
      </c>
      <c r="V755" s="57" t="s">
        <v>101</v>
      </c>
      <c r="W755" s="55" t="s">
        <v>2319</v>
      </c>
      <c r="X755" s="54" t="s">
        <v>4764</v>
      </c>
      <c r="Y755" s="52"/>
      <c r="Z755" s="2" t="s">
        <v>61</v>
      </c>
      <c r="AA755" s="1" t="s">
        <v>1828</v>
      </c>
      <c r="AB755" s="1"/>
      <c r="AC755" s="1"/>
      <c r="AD755" s="3" t="s">
        <v>62</v>
      </c>
      <c r="AE755" s="2" t="s">
        <v>63</v>
      </c>
      <c r="AF755" s="2" t="s">
        <v>1829</v>
      </c>
      <c r="AG755" s="1" t="s">
        <v>635</v>
      </c>
      <c r="AH755" s="2">
        <v>100</v>
      </c>
      <c r="AI755" s="1"/>
      <c r="AJ755" s="1"/>
      <c r="AK755" s="1"/>
      <c r="AL755" s="1"/>
      <c r="AM755" s="1"/>
      <c r="AN755" s="1"/>
      <c r="AO755" s="1"/>
      <c r="AP755" s="1"/>
      <c r="AQ755" s="1"/>
      <c r="AR755" s="1"/>
      <c r="AS755" s="1"/>
      <c r="AT755" s="1"/>
      <c r="AU755" s="1"/>
      <c r="AV755" s="1"/>
      <c r="AW755" s="1"/>
      <c r="AX755" s="1"/>
      <c r="AY755" s="1"/>
      <c r="AZ755" s="4" t="s">
        <v>1826</v>
      </c>
      <c r="BA755" s="1"/>
      <c r="BB755" s="1"/>
      <c r="BC755" s="1"/>
    </row>
    <row r="756" spans="1:55" s="78" customFormat="1" ht="15" customHeight="1" x14ac:dyDescent="0.25">
      <c r="A756" s="52" t="s">
        <v>4765</v>
      </c>
      <c r="B756" s="34" t="s">
        <v>59</v>
      </c>
      <c r="C756" s="53">
        <v>2026</v>
      </c>
      <c r="D756" s="53">
        <v>2026</v>
      </c>
      <c r="E756" s="54" t="s">
        <v>3440</v>
      </c>
      <c r="F756" s="55" t="s">
        <v>50</v>
      </c>
      <c r="G756" s="55" t="s">
        <v>50</v>
      </c>
      <c r="H756" s="45" t="s">
        <v>1831</v>
      </c>
      <c r="I756" s="56" t="s">
        <v>78</v>
      </c>
      <c r="J756" s="56"/>
      <c r="K756" s="56" t="s">
        <v>53</v>
      </c>
      <c r="L756" s="56" t="s">
        <v>88</v>
      </c>
      <c r="M756" s="56"/>
      <c r="N756" s="55" t="s">
        <v>110</v>
      </c>
      <c r="O756" s="56"/>
      <c r="P756" s="55" t="s">
        <v>56</v>
      </c>
      <c r="Q756" s="55" t="s">
        <v>57</v>
      </c>
      <c r="R756" s="56"/>
      <c r="S756" s="56" t="s">
        <v>58</v>
      </c>
      <c r="T756" s="56" t="s">
        <v>81</v>
      </c>
      <c r="U756" s="57">
        <v>-999</v>
      </c>
      <c r="V756" s="57" t="s">
        <v>59</v>
      </c>
      <c r="W756" s="55" t="s">
        <v>2319</v>
      </c>
      <c r="X756" s="54" t="s">
        <v>4765</v>
      </c>
      <c r="Y756" s="52"/>
      <c r="Z756" s="1" t="s">
        <v>154</v>
      </c>
      <c r="AA756" s="1" t="s">
        <v>1832</v>
      </c>
      <c r="AB756" s="1"/>
      <c r="AC756" s="1"/>
      <c r="AD756" s="3" t="s">
        <v>62</v>
      </c>
      <c r="AE756" s="3" t="s">
        <v>336</v>
      </c>
      <c r="AF756" s="1" t="s">
        <v>1833</v>
      </c>
      <c r="AG756" s="1" t="s">
        <v>1833</v>
      </c>
      <c r="AH756" s="59">
        <v>80</v>
      </c>
      <c r="AI756" s="1" t="s">
        <v>1834</v>
      </c>
      <c r="AJ756" s="59">
        <v>10</v>
      </c>
      <c r="AK756" s="1" t="s">
        <v>1835</v>
      </c>
      <c r="AL756" s="59">
        <v>10</v>
      </c>
      <c r="AM756" s="1"/>
      <c r="AN756" s="60"/>
      <c r="AO756" s="1"/>
      <c r="AP756" s="60"/>
      <c r="AQ756" s="1"/>
      <c r="AR756" s="60"/>
      <c r="AS756" s="1"/>
      <c r="AT756" s="60"/>
      <c r="AU756" s="1"/>
      <c r="AV756" s="60"/>
      <c r="AW756" s="1"/>
      <c r="AX756" s="60"/>
      <c r="AY756" s="1"/>
      <c r="AZ756" s="5" t="s">
        <v>1830</v>
      </c>
      <c r="BA756" s="5"/>
      <c r="BB756" s="1"/>
      <c r="BC756" s="1"/>
    </row>
    <row r="757" spans="1:55" s="78" customFormat="1" ht="15" customHeight="1" x14ac:dyDescent="0.25">
      <c r="A757" s="52" t="s">
        <v>4766</v>
      </c>
      <c r="B757" s="34" t="s">
        <v>59</v>
      </c>
      <c r="C757" s="53">
        <v>2026</v>
      </c>
      <c r="D757" s="53">
        <v>2026</v>
      </c>
      <c r="E757" s="54" t="s">
        <v>3440</v>
      </c>
      <c r="F757" s="55" t="s">
        <v>50</v>
      </c>
      <c r="G757" s="55" t="s">
        <v>50</v>
      </c>
      <c r="H757" s="45" t="s">
        <v>1831</v>
      </c>
      <c r="I757" s="56" t="s">
        <v>78</v>
      </c>
      <c r="J757" s="56"/>
      <c r="K757" s="56" t="s">
        <v>71</v>
      </c>
      <c r="L757" s="56" t="s">
        <v>88</v>
      </c>
      <c r="M757" s="56"/>
      <c r="N757" s="55" t="s">
        <v>110</v>
      </c>
      <c r="O757" s="56"/>
      <c r="P757" s="55" t="s">
        <v>73</v>
      </c>
      <c r="Q757" s="55" t="s">
        <v>57</v>
      </c>
      <c r="R757" s="56"/>
      <c r="S757" s="56" t="s">
        <v>58</v>
      </c>
      <c r="T757" s="56" t="s">
        <v>81</v>
      </c>
      <c r="U757" s="57">
        <v>-999</v>
      </c>
      <c r="V757" s="57" t="s">
        <v>59</v>
      </c>
      <c r="W757" s="55" t="s">
        <v>2319</v>
      </c>
      <c r="X757" s="54" t="s">
        <v>4766</v>
      </c>
      <c r="Y757" s="52"/>
      <c r="Z757" s="1" t="s">
        <v>154</v>
      </c>
      <c r="AA757" s="1" t="s">
        <v>1832</v>
      </c>
      <c r="AB757" s="1"/>
      <c r="AC757" s="1"/>
      <c r="AD757" s="3" t="s">
        <v>62</v>
      </c>
      <c r="AE757" s="3" t="s">
        <v>336</v>
      </c>
      <c r="AF757" s="1" t="s">
        <v>1833</v>
      </c>
      <c r="AG757" s="1" t="s">
        <v>1833</v>
      </c>
      <c r="AH757" s="59">
        <v>80</v>
      </c>
      <c r="AI757" s="1" t="s">
        <v>1834</v>
      </c>
      <c r="AJ757" s="59">
        <v>10</v>
      </c>
      <c r="AK757" s="1" t="s">
        <v>1835</v>
      </c>
      <c r="AL757" s="59">
        <v>10</v>
      </c>
      <c r="AM757" s="1"/>
      <c r="AN757" s="60"/>
      <c r="AO757" s="1"/>
      <c r="AP757" s="60"/>
      <c r="AQ757" s="1"/>
      <c r="AR757" s="60"/>
      <c r="AS757" s="1"/>
      <c r="AT757" s="60"/>
      <c r="AU757" s="1"/>
      <c r="AV757" s="60"/>
      <c r="AW757" s="1"/>
      <c r="AX757" s="60"/>
      <c r="AY757" s="1"/>
      <c r="AZ757" s="5" t="s">
        <v>1830</v>
      </c>
      <c r="BA757" s="5"/>
      <c r="BB757" s="1"/>
      <c r="BC757" s="1"/>
    </row>
    <row r="758" spans="1:55" s="78" customFormat="1" ht="15" customHeight="1" x14ac:dyDescent="0.25">
      <c r="A758" s="52" t="s">
        <v>4767</v>
      </c>
      <c r="B758" s="34" t="s">
        <v>59</v>
      </c>
      <c r="C758" s="53">
        <v>2026</v>
      </c>
      <c r="D758" s="53">
        <v>2026</v>
      </c>
      <c r="E758" s="54" t="s">
        <v>3440</v>
      </c>
      <c r="F758" s="55" t="s">
        <v>50</v>
      </c>
      <c r="G758" s="55" t="s">
        <v>50</v>
      </c>
      <c r="H758" s="45" t="s">
        <v>1831</v>
      </c>
      <c r="I758" s="56" t="s">
        <v>78</v>
      </c>
      <c r="J758" s="56"/>
      <c r="K758" s="56" t="s">
        <v>74</v>
      </c>
      <c r="L758" s="56" t="s">
        <v>88</v>
      </c>
      <c r="M758" s="56"/>
      <c r="N758" s="55" t="s">
        <v>110</v>
      </c>
      <c r="O758" s="56"/>
      <c r="P758" s="56" t="s">
        <v>75</v>
      </c>
      <c r="Q758" s="56" t="s">
        <v>57</v>
      </c>
      <c r="R758" s="56"/>
      <c r="S758" s="56" t="s">
        <v>58</v>
      </c>
      <c r="T758" s="56" t="s">
        <v>81</v>
      </c>
      <c r="U758" s="57">
        <v>-999</v>
      </c>
      <c r="V758" s="57" t="s">
        <v>59</v>
      </c>
      <c r="W758" s="55" t="s">
        <v>2319</v>
      </c>
      <c r="X758" s="54" t="s">
        <v>4767</v>
      </c>
      <c r="Y758" s="52"/>
      <c r="Z758" s="1" t="s">
        <v>154</v>
      </c>
      <c r="AA758" s="1" t="s">
        <v>1832</v>
      </c>
      <c r="AB758" s="1"/>
      <c r="AC758" s="1"/>
      <c r="AD758" s="3" t="s">
        <v>62</v>
      </c>
      <c r="AE758" s="3" t="s">
        <v>336</v>
      </c>
      <c r="AF758" s="1" t="s">
        <v>1833</v>
      </c>
      <c r="AG758" s="1" t="s">
        <v>1833</v>
      </c>
      <c r="AH758" s="59">
        <v>80</v>
      </c>
      <c r="AI758" s="1" t="s">
        <v>1834</v>
      </c>
      <c r="AJ758" s="59">
        <v>10</v>
      </c>
      <c r="AK758" s="1" t="s">
        <v>1835</v>
      </c>
      <c r="AL758" s="59">
        <v>10</v>
      </c>
      <c r="AM758" s="1"/>
      <c r="AN758" s="60"/>
      <c r="AO758" s="1"/>
      <c r="AP758" s="60"/>
      <c r="AQ758" s="1"/>
      <c r="AR758" s="60"/>
      <c r="AS758" s="1"/>
      <c r="AT758" s="60"/>
      <c r="AU758" s="1"/>
      <c r="AV758" s="60"/>
      <c r="AW758" s="1"/>
      <c r="AX758" s="60"/>
      <c r="AY758" s="1"/>
      <c r="AZ758" s="5" t="s">
        <v>1830</v>
      </c>
      <c r="BA758" s="5"/>
      <c r="BB758" s="1"/>
      <c r="BC758" s="1"/>
    </row>
    <row r="759" spans="1:55" s="78" customFormat="1" ht="15" customHeight="1" x14ac:dyDescent="0.25">
      <c r="A759" s="52" t="s">
        <v>4768</v>
      </c>
      <c r="B759" s="34" t="s">
        <v>59</v>
      </c>
      <c r="C759" s="53">
        <v>2026</v>
      </c>
      <c r="D759" s="53">
        <v>2026</v>
      </c>
      <c r="E759" s="54" t="s">
        <v>3441</v>
      </c>
      <c r="F759" s="55" t="s">
        <v>50</v>
      </c>
      <c r="G759" s="55" t="s">
        <v>50</v>
      </c>
      <c r="H759" s="45" t="s">
        <v>1836</v>
      </c>
      <c r="I759" s="56" t="s">
        <v>52</v>
      </c>
      <c r="J759" s="56"/>
      <c r="K759" s="56" t="s">
        <v>140</v>
      </c>
      <c r="L759" s="55" t="s">
        <v>54</v>
      </c>
      <c r="M759" s="55"/>
      <c r="N759" s="55" t="s">
        <v>141</v>
      </c>
      <c r="O759" s="55"/>
      <c r="P759" s="55" t="s">
        <v>142</v>
      </c>
      <c r="Q759" s="55" t="s">
        <v>57</v>
      </c>
      <c r="R759" s="55"/>
      <c r="S759" s="56" t="s">
        <v>81</v>
      </c>
      <c r="T759" s="55" t="s">
        <v>81</v>
      </c>
      <c r="U759" s="57">
        <v>23200</v>
      </c>
      <c r="V759" s="57" t="s">
        <v>101</v>
      </c>
      <c r="W759" s="55" t="s">
        <v>2319</v>
      </c>
      <c r="X759" s="54" t="s">
        <v>4768</v>
      </c>
      <c r="Y759" s="52"/>
      <c r="Z759" s="1" t="s">
        <v>61</v>
      </c>
      <c r="AA759" s="3" t="s">
        <v>1837</v>
      </c>
      <c r="AB759" s="3"/>
      <c r="AC759" s="3"/>
      <c r="AD759" s="3" t="s">
        <v>62</v>
      </c>
      <c r="AE759" s="1" t="s">
        <v>288</v>
      </c>
      <c r="AF759" s="1"/>
      <c r="AG759" s="1" t="s">
        <v>145</v>
      </c>
      <c r="AH759" s="2">
        <v>100</v>
      </c>
      <c r="AI759" s="3"/>
      <c r="AJ759" s="3"/>
      <c r="AK759" s="3"/>
      <c r="AL759" s="3"/>
      <c r="AM759" s="3"/>
      <c r="AN759" s="3"/>
      <c r="AO759" s="3"/>
      <c r="AP759" s="3"/>
      <c r="AQ759" s="3"/>
      <c r="AR759" s="3"/>
      <c r="AS759" s="3"/>
      <c r="AT759" s="3"/>
      <c r="AU759" s="3"/>
      <c r="AV759" s="3"/>
      <c r="AW759" s="3"/>
      <c r="AX759" s="3"/>
      <c r="AY759" s="3"/>
      <c r="AZ759" s="4" t="s">
        <v>139</v>
      </c>
      <c r="BA759" s="3"/>
      <c r="BB759" s="56"/>
      <c r="BC759" s="56"/>
    </row>
    <row r="760" spans="1:55" s="78" customFormat="1" ht="15" customHeight="1" x14ac:dyDescent="0.25">
      <c r="A760" s="52" t="s">
        <v>4769</v>
      </c>
      <c r="B760" s="34" t="s">
        <v>59</v>
      </c>
      <c r="C760" s="53">
        <v>2026</v>
      </c>
      <c r="D760" s="53">
        <v>2026</v>
      </c>
      <c r="E760" s="54" t="s">
        <v>3442</v>
      </c>
      <c r="F760" s="55" t="s">
        <v>50</v>
      </c>
      <c r="G760" s="55" t="s">
        <v>50</v>
      </c>
      <c r="H760" s="45" t="s">
        <v>1838</v>
      </c>
      <c r="I760" s="56" t="s">
        <v>78</v>
      </c>
      <c r="J760" s="56"/>
      <c r="K760" s="56" t="s">
        <v>582</v>
      </c>
      <c r="L760" s="55" t="s">
        <v>88</v>
      </c>
      <c r="M760" s="55"/>
      <c r="N760" s="56" t="s">
        <v>110</v>
      </c>
      <c r="O760" s="56"/>
      <c r="P760" s="61" t="s">
        <v>583</v>
      </c>
      <c r="Q760" s="61" t="s">
        <v>57</v>
      </c>
      <c r="R760" s="55"/>
      <c r="S760" s="56" t="s">
        <v>58</v>
      </c>
      <c r="T760" s="55" t="str">
        <f>IF(ISNUMBER(SEARCH(",",N760)),"Y","N")</f>
        <v>N</v>
      </c>
      <c r="U760" s="57">
        <v>8500</v>
      </c>
      <c r="V760" s="57" t="s">
        <v>101</v>
      </c>
      <c r="W760" s="55" t="s">
        <v>2319</v>
      </c>
      <c r="X760" s="54" t="s">
        <v>4769</v>
      </c>
      <c r="Y760" s="52"/>
      <c r="Z760" s="2" t="s">
        <v>154</v>
      </c>
      <c r="AA760" s="1" t="s">
        <v>1839</v>
      </c>
      <c r="AB760" s="1"/>
      <c r="AC760" s="1"/>
      <c r="AD760" s="3" t="s">
        <v>62</v>
      </c>
      <c r="AE760" s="2" t="s">
        <v>155</v>
      </c>
      <c r="AF760" s="2" t="s">
        <v>1841</v>
      </c>
      <c r="AG760" s="2" t="s">
        <v>1841</v>
      </c>
      <c r="AH760" s="58">
        <v>100</v>
      </c>
      <c r="AI760" s="1"/>
      <c r="AJ760" s="1"/>
      <c r="AK760" s="1"/>
      <c r="AL760" s="1"/>
      <c r="AM760" s="1"/>
      <c r="AN760" s="1"/>
      <c r="AO760" s="1"/>
      <c r="AP760" s="1"/>
      <c r="AQ760" s="1"/>
      <c r="AR760" s="1"/>
      <c r="AS760" s="1"/>
      <c r="AT760" s="1"/>
      <c r="AU760" s="1"/>
      <c r="AV760" s="1"/>
      <c r="AW760" s="1"/>
      <c r="AX760" s="1"/>
      <c r="AY760" s="1"/>
      <c r="AZ760" s="4" t="s">
        <v>1842</v>
      </c>
      <c r="BA760" s="5" t="s">
        <v>3896</v>
      </c>
      <c r="BB760" s="1"/>
      <c r="BC760" s="1"/>
    </row>
    <row r="761" spans="1:55" s="78" customFormat="1" ht="15" customHeight="1" x14ac:dyDescent="0.25">
      <c r="A761" s="52" t="s">
        <v>4770</v>
      </c>
      <c r="B761" s="34" t="s">
        <v>59</v>
      </c>
      <c r="C761" s="53">
        <v>2026</v>
      </c>
      <c r="D761" s="53">
        <v>2026</v>
      </c>
      <c r="E761" s="54" t="s">
        <v>3442</v>
      </c>
      <c r="F761" s="55" t="s">
        <v>50</v>
      </c>
      <c r="G761" s="55" t="s">
        <v>50</v>
      </c>
      <c r="H761" s="45" t="s">
        <v>1838</v>
      </c>
      <c r="I761" s="56" t="s">
        <v>78</v>
      </c>
      <c r="J761" s="56"/>
      <c r="K761" s="56" t="s">
        <v>313</v>
      </c>
      <c r="L761" s="56" t="s">
        <v>88</v>
      </c>
      <c r="M761" s="55"/>
      <c r="N761" s="56" t="s">
        <v>110</v>
      </c>
      <c r="O761" s="56"/>
      <c r="P761" s="61" t="s">
        <v>314</v>
      </c>
      <c r="Q761" s="61" t="s">
        <v>57</v>
      </c>
      <c r="R761" s="55"/>
      <c r="S761" s="56" t="s">
        <v>58</v>
      </c>
      <c r="T761" s="55" t="str">
        <f>IF(ISNUMBER(SEARCH(",",N761)),"Y","N")</f>
        <v>N</v>
      </c>
      <c r="U761" s="57">
        <v>18000</v>
      </c>
      <c r="V761" s="57" t="s">
        <v>101</v>
      </c>
      <c r="W761" s="55" t="s">
        <v>2319</v>
      </c>
      <c r="X761" s="54" t="s">
        <v>4770</v>
      </c>
      <c r="Y761" s="52"/>
      <c r="Z761" s="2" t="s">
        <v>154</v>
      </c>
      <c r="AA761" s="1" t="s">
        <v>1839</v>
      </c>
      <c r="AB761" s="1"/>
      <c r="AC761" s="1"/>
      <c r="AD761" s="3" t="s">
        <v>62</v>
      </c>
      <c r="AE761" s="2" t="s">
        <v>155</v>
      </c>
      <c r="AF761" s="2" t="s">
        <v>1841</v>
      </c>
      <c r="AG761" s="2" t="s">
        <v>1841</v>
      </c>
      <c r="AH761" s="58">
        <v>100</v>
      </c>
      <c r="AI761" s="1"/>
      <c r="AJ761" s="1"/>
      <c r="AK761" s="1"/>
      <c r="AL761" s="1"/>
      <c r="AM761" s="1"/>
      <c r="AN761" s="1"/>
      <c r="AO761" s="1"/>
      <c r="AP761" s="1"/>
      <c r="AQ761" s="1"/>
      <c r="AR761" s="1"/>
      <c r="AS761" s="1"/>
      <c r="AT761" s="1"/>
      <c r="AU761" s="1"/>
      <c r="AV761" s="1"/>
      <c r="AW761" s="1"/>
      <c r="AX761" s="1"/>
      <c r="AY761" s="1"/>
      <c r="AZ761" s="4" t="s">
        <v>1842</v>
      </c>
      <c r="BA761" s="5" t="s">
        <v>3896</v>
      </c>
      <c r="BB761" s="1"/>
      <c r="BC761" s="1"/>
    </row>
    <row r="762" spans="1:55" s="78" customFormat="1" ht="15" customHeight="1" x14ac:dyDescent="0.25">
      <c r="A762" s="52" t="s">
        <v>4771</v>
      </c>
      <c r="B762" s="34" t="s">
        <v>59</v>
      </c>
      <c r="C762" s="53">
        <v>2026</v>
      </c>
      <c r="D762" s="53">
        <v>2026</v>
      </c>
      <c r="E762" s="54" t="s">
        <v>3442</v>
      </c>
      <c r="F762" s="55" t="s">
        <v>50</v>
      </c>
      <c r="G762" s="55" t="s">
        <v>50</v>
      </c>
      <c r="H762" s="45" t="s">
        <v>1838</v>
      </c>
      <c r="I762" s="56" t="s">
        <v>78</v>
      </c>
      <c r="J762" s="56"/>
      <c r="K762" s="55" t="s">
        <v>313</v>
      </c>
      <c r="L762" s="56" t="s">
        <v>88</v>
      </c>
      <c r="M762" s="55"/>
      <c r="N762" s="55" t="s">
        <v>110</v>
      </c>
      <c r="O762" s="45"/>
      <c r="P762" s="55" t="s">
        <v>314</v>
      </c>
      <c r="Q762" s="55" t="s">
        <v>57</v>
      </c>
      <c r="R762" s="55"/>
      <c r="S762" s="56" t="s">
        <v>58</v>
      </c>
      <c r="T762" s="55" t="s">
        <v>81</v>
      </c>
      <c r="U762" s="57">
        <v>19000</v>
      </c>
      <c r="V762" s="57" t="s">
        <v>101</v>
      </c>
      <c r="W762" s="55" t="s">
        <v>2319</v>
      </c>
      <c r="X762" s="54" t="s">
        <v>4771</v>
      </c>
      <c r="Y762" s="52"/>
      <c r="Z762" s="2" t="s">
        <v>154</v>
      </c>
      <c r="AA762" s="1" t="s">
        <v>1839</v>
      </c>
      <c r="AB762" s="1"/>
      <c r="AC762" s="1"/>
      <c r="AD762" s="3" t="s">
        <v>62</v>
      </c>
      <c r="AE762" s="2" t="s">
        <v>155</v>
      </c>
      <c r="AF762" s="2" t="s">
        <v>1840</v>
      </c>
      <c r="AG762" s="2" t="s">
        <v>1841</v>
      </c>
      <c r="AH762" s="58">
        <v>100</v>
      </c>
      <c r="AI762" s="3"/>
      <c r="AJ762" s="3"/>
      <c r="AK762" s="3"/>
      <c r="AL762" s="3"/>
      <c r="AM762" s="3"/>
      <c r="AN762" s="3"/>
      <c r="AO762" s="3"/>
      <c r="AP762" s="3"/>
      <c r="AQ762" s="3"/>
      <c r="AR762" s="3"/>
      <c r="AS762" s="3"/>
      <c r="AT762" s="3"/>
      <c r="AU762" s="3"/>
      <c r="AV762" s="3"/>
      <c r="AW762" s="3"/>
      <c r="AX762" s="3"/>
      <c r="AY762" s="3"/>
      <c r="AZ762" s="4" t="s">
        <v>1842</v>
      </c>
      <c r="BA762" s="3" t="s">
        <v>3896</v>
      </c>
      <c r="BB762" s="1"/>
      <c r="BC762" s="1"/>
    </row>
    <row r="763" spans="1:55" s="78" customFormat="1" ht="15" customHeight="1" x14ac:dyDescent="0.25">
      <c r="A763" s="52" t="s">
        <v>4772</v>
      </c>
      <c r="B763" s="34" t="s">
        <v>59</v>
      </c>
      <c r="C763" s="53">
        <v>2026</v>
      </c>
      <c r="D763" s="53">
        <v>2026</v>
      </c>
      <c r="E763" s="54" t="s">
        <v>3442</v>
      </c>
      <c r="F763" s="55" t="s">
        <v>50</v>
      </c>
      <c r="G763" s="55" t="s">
        <v>50</v>
      </c>
      <c r="H763" s="45" t="s">
        <v>1838</v>
      </c>
      <c r="I763" s="56" t="s">
        <v>78</v>
      </c>
      <c r="J763" s="56"/>
      <c r="K763" s="56" t="s">
        <v>71</v>
      </c>
      <c r="L763" s="55" t="str">
        <f>IF(K763="Mine or Quarry","Mine","")</f>
        <v/>
      </c>
      <c r="M763" s="55"/>
      <c r="N763" s="56" t="s">
        <v>110</v>
      </c>
      <c r="O763" s="56"/>
      <c r="P763" s="55" t="s">
        <v>73</v>
      </c>
      <c r="Q763" s="55" t="s">
        <v>57</v>
      </c>
      <c r="R763" s="55"/>
      <c r="S763" s="56" t="s">
        <v>58</v>
      </c>
      <c r="T763" s="55" t="str">
        <f>IF(ISNUMBER(SEARCH(",",N763)),"Y","N")</f>
        <v>N</v>
      </c>
      <c r="U763" s="57">
        <v>1.984</v>
      </c>
      <c r="V763" s="57" t="s">
        <v>101</v>
      </c>
      <c r="W763" s="55" t="s">
        <v>2319</v>
      </c>
      <c r="X763" s="54" t="s">
        <v>4772</v>
      </c>
      <c r="Y763" s="52"/>
      <c r="Z763" s="2" t="s">
        <v>154</v>
      </c>
      <c r="AA763" s="1" t="s">
        <v>1839</v>
      </c>
      <c r="AB763" s="1"/>
      <c r="AC763" s="1"/>
      <c r="AD763" s="3" t="s">
        <v>62</v>
      </c>
      <c r="AE763" s="2" t="s">
        <v>155</v>
      </c>
      <c r="AF763" s="2" t="s">
        <v>1840</v>
      </c>
      <c r="AG763" s="2" t="s">
        <v>1841</v>
      </c>
      <c r="AH763" s="58">
        <v>100</v>
      </c>
      <c r="AI763" s="1"/>
      <c r="AJ763" s="1"/>
      <c r="AK763" s="1"/>
      <c r="AL763" s="1"/>
      <c r="AM763" s="1"/>
      <c r="AN763" s="1"/>
      <c r="AO763" s="1"/>
      <c r="AP763" s="1"/>
      <c r="AQ763" s="1"/>
      <c r="AR763" s="1"/>
      <c r="AS763" s="1"/>
      <c r="AT763" s="1"/>
      <c r="AU763" s="1"/>
      <c r="AV763" s="1"/>
      <c r="AW763" s="1"/>
      <c r="AX763" s="1"/>
      <c r="AY763" s="1"/>
      <c r="AZ763" s="4" t="s">
        <v>1842</v>
      </c>
      <c r="BA763" s="5" t="s">
        <v>3896</v>
      </c>
      <c r="BB763" s="1"/>
      <c r="BC763" s="1"/>
    </row>
    <row r="764" spans="1:55" s="78" customFormat="1" ht="15" customHeight="1" x14ac:dyDescent="0.25">
      <c r="A764" s="52" t="s">
        <v>4773</v>
      </c>
      <c r="B764" s="34" t="s">
        <v>59</v>
      </c>
      <c r="C764" s="53">
        <v>2026</v>
      </c>
      <c r="D764" s="53">
        <v>2026</v>
      </c>
      <c r="E764" s="54" t="s">
        <v>3442</v>
      </c>
      <c r="F764" s="55" t="s">
        <v>50</v>
      </c>
      <c r="G764" s="55" t="s">
        <v>50</v>
      </c>
      <c r="H764" s="45" t="s">
        <v>1838</v>
      </c>
      <c r="I764" s="56" t="s">
        <v>78</v>
      </c>
      <c r="J764" s="56"/>
      <c r="K764" s="56" t="s">
        <v>74</v>
      </c>
      <c r="L764" s="55" t="str">
        <f>IF(K764="Mines and Quarries","Mine","")</f>
        <v/>
      </c>
      <c r="M764" s="55"/>
      <c r="N764" s="56" t="s">
        <v>110</v>
      </c>
      <c r="O764" s="56"/>
      <c r="P764" s="55" t="s">
        <v>75</v>
      </c>
      <c r="Q764" s="56" t="s">
        <v>57</v>
      </c>
      <c r="R764" s="55"/>
      <c r="S764" s="56" t="s">
        <v>58</v>
      </c>
      <c r="T764" s="55" t="str">
        <f>IF(ISNUMBER(SEARCH(",",N764)),"Y","N")</f>
        <v>N</v>
      </c>
      <c r="U764" s="57">
        <v>14.175000000000001</v>
      </c>
      <c r="V764" s="57" t="s">
        <v>101</v>
      </c>
      <c r="W764" s="55" t="s">
        <v>2319</v>
      </c>
      <c r="X764" s="54" t="s">
        <v>4773</v>
      </c>
      <c r="Y764" s="52"/>
      <c r="Z764" s="2" t="s">
        <v>154</v>
      </c>
      <c r="AA764" s="1" t="s">
        <v>1839</v>
      </c>
      <c r="AB764" s="1"/>
      <c r="AC764" s="1"/>
      <c r="AD764" s="3" t="s">
        <v>62</v>
      </c>
      <c r="AE764" s="2" t="s">
        <v>155</v>
      </c>
      <c r="AF764" s="2" t="s">
        <v>1841</v>
      </c>
      <c r="AG764" s="2" t="s">
        <v>1841</v>
      </c>
      <c r="AH764" s="58">
        <v>100</v>
      </c>
      <c r="AI764" s="1"/>
      <c r="AJ764" s="1"/>
      <c r="AK764" s="1"/>
      <c r="AL764" s="1"/>
      <c r="AM764" s="1"/>
      <c r="AN764" s="1"/>
      <c r="AO764" s="1"/>
      <c r="AP764" s="1"/>
      <c r="AQ764" s="1"/>
      <c r="AR764" s="1"/>
      <c r="AS764" s="1"/>
      <c r="AT764" s="1"/>
      <c r="AU764" s="1"/>
      <c r="AV764" s="1"/>
      <c r="AW764" s="1"/>
      <c r="AX764" s="1"/>
      <c r="AY764" s="1"/>
      <c r="AZ764" s="4" t="s">
        <v>1842</v>
      </c>
      <c r="BA764" s="5" t="s">
        <v>3896</v>
      </c>
      <c r="BB764" s="1"/>
      <c r="BC764" s="1"/>
    </row>
    <row r="765" spans="1:55" s="78" customFormat="1" ht="15" customHeight="1" x14ac:dyDescent="0.25">
      <c r="A765" s="52" t="s">
        <v>4774</v>
      </c>
      <c r="B765" s="34" t="s">
        <v>59</v>
      </c>
      <c r="C765" s="53">
        <v>2026</v>
      </c>
      <c r="D765" s="53">
        <v>2026</v>
      </c>
      <c r="E765" s="54" t="s">
        <v>3443</v>
      </c>
      <c r="F765" s="55" t="s">
        <v>50</v>
      </c>
      <c r="G765" s="55" t="s">
        <v>50</v>
      </c>
      <c r="H765" s="45" t="s">
        <v>1845</v>
      </c>
      <c r="I765" s="56" t="s">
        <v>52</v>
      </c>
      <c r="J765" s="56"/>
      <c r="K765" s="56" t="s">
        <v>313</v>
      </c>
      <c r="L765" s="55" t="s">
        <v>54</v>
      </c>
      <c r="M765" s="55" t="s">
        <v>113</v>
      </c>
      <c r="N765" s="56" t="s">
        <v>55</v>
      </c>
      <c r="O765" s="56"/>
      <c r="P765" s="56" t="s">
        <v>314</v>
      </c>
      <c r="Q765" s="61" t="s">
        <v>57</v>
      </c>
      <c r="R765" s="55"/>
      <c r="S765" s="56" t="s">
        <v>81</v>
      </c>
      <c r="T765" s="55" t="s">
        <v>81</v>
      </c>
      <c r="U765" s="57">
        <v>155000</v>
      </c>
      <c r="V765" s="57" t="s">
        <v>101</v>
      </c>
      <c r="W765" s="55"/>
      <c r="X765" s="54" t="s">
        <v>4774</v>
      </c>
      <c r="Y765" s="52"/>
      <c r="Z765" s="1" t="s">
        <v>61</v>
      </c>
      <c r="AA765" s="65" t="s">
        <v>1844</v>
      </c>
      <c r="AB765" s="65"/>
      <c r="AC765" s="65"/>
      <c r="AD765" s="3" t="s">
        <v>62</v>
      </c>
      <c r="AE765" s="1" t="s">
        <v>288</v>
      </c>
      <c r="AF765" s="1" t="s">
        <v>354</v>
      </c>
      <c r="AG765" s="1" t="s">
        <v>355</v>
      </c>
      <c r="AH765" s="1" t="s">
        <v>2402</v>
      </c>
      <c r="AI765" s="1"/>
      <c r="AJ765" s="1"/>
      <c r="AK765" s="1"/>
      <c r="AL765" s="1"/>
      <c r="AM765" s="1"/>
      <c r="AN765" s="1"/>
      <c r="AO765" s="1"/>
      <c r="AP765" s="1"/>
      <c r="AQ765" s="1"/>
      <c r="AR765" s="1"/>
      <c r="AS765" s="1"/>
      <c r="AT765" s="1"/>
      <c r="AU765" s="1"/>
      <c r="AV765" s="1"/>
      <c r="AW765" s="1"/>
      <c r="AX765" s="1"/>
      <c r="AY765" s="1"/>
      <c r="AZ765" s="4" t="s">
        <v>3897</v>
      </c>
      <c r="BA765" s="1" t="s">
        <v>3898</v>
      </c>
      <c r="BB765" s="1"/>
      <c r="BC765" s="1"/>
    </row>
    <row r="766" spans="1:55" s="78" customFormat="1" ht="15" customHeight="1" x14ac:dyDescent="0.25">
      <c r="A766" s="52" t="s">
        <v>4775</v>
      </c>
      <c r="B766" s="34" t="s">
        <v>59</v>
      </c>
      <c r="C766" s="53">
        <v>2026</v>
      </c>
      <c r="D766" s="53">
        <v>2026</v>
      </c>
      <c r="E766" s="54" t="s">
        <v>3444</v>
      </c>
      <c r="F766" s="55" t="s">
        <v>50</v>
      </c>
      <c r="G766" s="55" t="s">
        <v>50</v>
      </c>
      <c r="H766" s="45" t="s">
        <v>1846</v>
      </c>
      <c r="I766" s="56" t="s">
        <v>52</v>
      </c>
      <c r="J766" s="56"/>
      <c r="K766" s="55" t="s">
        <v>313</v>
      </c>
      <c r="L766" s="55"/>
      <c r="M766" s="55" t="s">
        <v>113</v>
      </c>
      <c r="N766" s="56" t="s">
        <v>55</v>
      </c>
      <c r="O766" s="56" t="s">
        <v>1843</v>
      </c>
      <c r="P766" s="56" t="s">
        <v>314</v>
      </c>
      <c r="Q766" s="61" t="s">
        <v>57</v>
      </c>
      <c r="R766" s="55"/>
      <c r="S766" s="56" t="s">
        <v>81</v>
      </c>
      <c r="T766" s="55" t="s">
        <v>81</v>
      </c>
      <c r="U766" s="57">
        <v>140000</v>
      </c>
      <c r="V766" s="57" t="s">
        <v>101</v>
      </c>
      <c r="W766" s="55"/>
      <c r="X766" s="54" t="s">
        <v>4775</v>
      </c>
      <c r="Y766" s="52"/>
      <c r="Z766" s="2" t="s">
        <v>61</v>
      </c>
      <c r="AA766" s="1" t="s">
        <v>1844</v>
      </c>
      <c r="AB766" s="1"/>
      <c r="AC766" s="1"/>
      <c r="AD766" s="3" t="s">
        <v>62</v>
      </c>
      <c r="AE766" s="2" t="s">
        <v>288</v>
      </c>
      <c r="AF766" s="1" t="s">
        <v>354</v>
      </c>
      <c r="AG766" s="1" t="s">
        <v>355</v>
      </c>
      <c r="AH766" s="2">
        <v>100</v>
      </c>
      <c r="AI766" s="1"/>
      <c r="AJ766" s="1"/>
      <c r="AK766" s="1"/>
      <c r="AL766" s="1"/>
      <c r="AM766" s="1"/>
      <c r="AN766" s="1"/>
      <c r="AO766" s="1"/>
      <c r="AP766" s="1"/>
      <c r="AQ766" s="1"/>
      <c r="AR766" s="1"/>
      <c r="AS766" s="1"/>
      <c r="AT766" s="1"/>
      <c r="AU766" s="1"/>
      <c r="AV766" s="1"/>
      <c r="AW766" s="1"/>
      <c r="AX766" s="1"/>
      <c r="AY766" s="1"/>
      <c r="AZ766" s="4" t="s">
        <v>3897</v>
      </c>
      <c r="BA766" s="1" t="s">
        <v>3898</v>
      </c>
      <c r="BB766" s="1"/>
      <c r="BC766" s="1"/>
    </row>
    <row r="767" spans="1:55" s="78" customFormat="1" ht="15" customHeight="1" x14ac:dyDescent="0.25">
      <c r="A767" s="52" t="s">
        <v>4776</v>
      </c>
      <c r="B767" s="34" t="s">
        <v>59</v>
      </c>
      <c r="C767" s="53">
        <v>2026</v>
      </c>
      <c r="D767" s="53">
        <v>2026</v>
      </c>
      <c r="E767" s="54" t="s">
        <v>3445</v>
      </c>
      <c r="F767" s="55" t="s">
        <v>50</v>
      </c>
      <c r="G767" s="55" t="s">
        <v>50</v>
      </c>
      <c r="H767" s="45" t="s">
        <v>1847</v>
      </c>
      <c r="I767" s="56" t="s">
        <v>78</v>
      </c>
      <c r="J767" s="56"/>
      <c r="K767" s="56" t="s">
        <v>53</v>
      </c>
      <c r="L767" s="55" t="s">
        <v>88</v>
      </c>
      <c r="M767" s="55"/>
      <c r="N767" s="56" t="s">
        <v>5386</v>
      </c>
      <c r="O767" s="56"/>
      <c r="P767" s="55" t="s">
        <v>56</v>
      </c>
      <c r="Q767" s="55" t="s">
        <v>57</v>
      </c>
      <c r="R767" s="55"/>
      <c r="S767" s="56" t="s">
        <v>58</v>
      </c>
      <c r="T767" s="55" t="s">
        <v>58</v>
      </c>
      <c r="U767" s="57">
        <v>590000</v>
      </c>
      <c r="V767" s="57" t="s">
        <v>101</v>
      </c>
      <c r="W767" s="55"/>
      <c r="X767" s="54" t="s">
        <v>4776</v>
      </c>
      <c r="Y767" s="60"/>
      <c r="Z767" s="1" t="s">
        <v>61</v>
      </c>
      <c r="AA767" s="1" t="s">
        <v>1848</v>
      </c>
      <c r="AB767" s="1"/>
      <c r="AC767" s="1"/>
      <c r="AD767" s="3" t="s">
        <v>62</v>
      </c>
      <c r="AE767" s="1" t="s">
        <v>108</v>
      </c>
      <c r="AF767" s="1" t="s">
        <v>109</v>
      </c>
      <c r="AG767" s="1" t="s">
        <v>109</v>
      </c>
      <c r="AH767" s="59">
        <v>72</v>
      </c>
      <c r="AI767" s="1" t="s">
        <v>1849</v>
      </c>
      <c r="AJ767" s="59">
        <v>28</v>
      </c>
      <c r="AK767" s="1"/>
      <c r="AL767" s="60"/>
      <c r="AM767" s="1"/>
      <c r="AN767" s="60"/>
      <c r="AO767" s="1"/>
      <c r="AP767" s="60"/>
      <c r="AQ767" s="1"/>
      <c r="AR767" s="60"/>
      <c r="AS767" s="1"/>
      <c r="AT767" s="60"/>
      <c r="AU767" s="1"/>
      <c r="AV767" s="60"/>
      <c r="AW767" s="1"/>
      <c r="AX767" s="60"/>
      <c r="AY767" s="1"/>
      <c r="AZ767" s="4" t="s">
        <v>3899</v>
      </c>
      <c r="BA767" s="1" t="s">
        <v>3900</v>
      </c>
      <c r="BB767" s="1" t="s">
        <v>3901</v>
      </c>
      <c r="BC767" s="1"/>
    </row>
    <row r="768" spans="1:55" s="78" customFormat="1" ht="15" customHeight="1" x14ac:dyDescent="0.25">
      <c r="A768" s="52" t="s">
        <v>4777</v>
      </c>
      <c r="B768" s="34" t="s">
        <v>59</v>
      </c>
      <c r="C768" s="53">
        <v>2026</v>
      </c>
      <c r="D768" s="53">
        <v>2026</v>
      </c>
      <c r="E768" s="54" t="s">
        <v>3445</v>
      </c>
      <c r="F768" s="55" t="s">
        <v>50</v>
      </c>
      <c r="G768" s="55" t="s">
        <v>50</v>
      </c>
      <c r="H768" s="45" t="s">
        <v>1847</v>
      </c>
      <c r="I768" s="56" t="s">
        <v>78</v>
      </c>
      <c r="J768" s="56"/>
      <c r="K768" s="55" t="s">
        <v>264</v>
      </c>
      <c r="L768" s="55" t="s">
        <v>88</v>
      </c>
      <c r="M768" s="55"/>
      <c r="N768" s="55" t="s">
        <v>110</v>
      </c>
      <c r="O768" s="55"/>
      <c r="P768" s="55" t="s">
        <v>265</v>
      </c>
      <c r="Q768" s="55" t="s">
        <v>57</v>
      </c>
      <c r="R768" s="55"/>
      <c r="S768" s="56" t="s">
        <v>58</v>
      </c>
      <c r="T768" s="55" t="str">
        <f>IF(ISNUMBER(SEARCH(",",N768)),"Y","N")</f>
        <v>N</v>
      </c>
      <c r="U768" s="57">
        <v>4100</v>
      </c>
      <c r="V768" s="57" t="s">
        <v>101</v>
      </c>
      <c r="W768" s="55"/>
      <c r="X768" s="66" t="s">
        <v>4777</v>
      </c>
      <c r="Y768" s="60"/>
      <c r="Z768" s="3" t="s">
        <v>61</v>
      </c>
      <c r="AA768" s="1" t="s">
        <v>1848</v>
      </c>
      <c r="AB768" s="1"/>
      <c r="AC768" s="1"/>
      <c r="AD768" s="3" t="s">
        <v>62</v>
      </c>
      <c r="AE768" s="3" t="s">
        <v>108</v>
      </c>
      <c r="AF768" s="1" t="s">
        <v>109</v>
      </c>
      <c r="AG768" s="1" t="s">
        <v>109</v>
      </c>
      <c r="AH768" s="59">
        <v>72</v>
      </c>
      <c r="AI768" s="1" t="s">
        <v>1849</v>
      </c>
      <c r="AJ768" s="59">
        <v>28</v>
      </c>
      <c r="AK768" s="1"/>
      <c r="AL768" s="59"/>
      <c r="AM768" s="3"/>
      <c r="AN768" s="53"/>
      <c r="AO768" s="3"/>
      <c r="AP768" s="53"/>
      <c r="AQ768" s="3"/>
      <c r="AR768" s="53"/>
      <c r="AS768" s="3"/>
      <c r="AT768" s="53"/>
      <c r="AU768" s="3"/>
      <c r="AV768" s="53"/>
      <c r="AW768" s="3"/>
      <c r="AX768" s="53"/>
      <c r="AY768" s="3"/>
      <c r="AZ768" s="4" t="s">
        <v>3899</v>
      </c>
      <c r="BA768" s="3" t="s">
        <v>3901</v>
      </c>
      <c r="BB768" s="1"/>
      <c r="BC768" s="1"/>
    </row>
    <row r="769" spans="1:55" s="78" customFormat="1" ht="15" customHeight="1" x14ac:dyDescent="0.25">
      <c r="A769" s="52" t="s">
        <v>4778</v>
      </c>
      <c r="B769" s="34" t="s">
        <v>59</v>
      </c>
      <c r="C769" s="53">
        <v>2026</v>
      </c>
      <c r="D769" s="53">
        <v>2026</v>
      </c>
      <c r="E769" s="54" t="s">
        <v>3445</v>
      </c>
      <c r="F769" s="55" t="s">
        <v>50</v>
      </c>
      <c r="G769" s="55" t="s">
        <v>50</v>
      </c>
      <c r="H769" s="45" t="s">
        <v>1847</v>
      </c>
      <c r="I769" s="56" t="s">
        <v>78</v>
      </c>
      <c r="J769" s="56"/>
      <c r="K769" s="56" t="s">
        <v>71</v>
      </c>
      <c r="L769" s="55" t="s">
        <v>88</v>
      </c>
      <c r="M769" s="55"/>
      <c r="N769" s="56" t="s">
        <v>110</v>
      </c>
      <c r="O769" s="56"/>
      <c r="P769" s="55" t="s">
        <v>73</v>
      </c>
      <c r="Q769" s="55" t="s">
        <v>57</v>
      </c>
      <c r="R769" s="55"/>
      <c r="S769" s="56" t="s">
        <v>58</v>
      </c>
      <c r="T769" s="55" t="str">
        <f>IF(ISNUMBER(SEARCH(",",N769)),"Y","N")</f>
        <v>N</v>
      </c>
      <c r="U769" s="57">
        <v>-999</v>
      </c>
      <c r="V769" s="57" t="s">
        <v>59</v>
      </c>
      <c r="W769" s="55" t="s">
        <v>2319</v>
      </c>
      <c r="X769" s="66" t="s">
        <v>4778</v>
      </c>
      <c r="Y769" s="60"/>
      <c r="Z769" s="1" t="s">
        <v>61</v>
      </c>
      <c r="AA769" s="1" t="s">
        <v>1848</v>
      </c>
      <c r="AB769" s="1"/>
      <c r="AC769" s="1"/>
      <c r="AD769" s="3" t="s">
        <v>62</v>
      </c>
      <c r="AE769" s="1" t="s">
        <v>108</v>
      </c>
      <c r="AF769" s="1" t="s">
        <v>109</v>
      </c>
      <c r="AG769" s="1" t="s">
        <v>109</v>
      </c>
      <c r="AH769" s="59">
        <v>72</v>
      </c>
      <c r="AI769" s="1" t="s">
        <v>1849</v>
      </c>
      <c r="AJ769" s="59">
        <v>28</v>
      </c>
      <c r="AK769" s="1"/>
      <c r="AL769" s="59"/>
      <c r="AM769" s="1"/>
      <c r="AN769" s="60"/>
      <c r="AO769" s="1"/>
      <c r="AP769" s="60"/>
      <c r="AQ769" s="1"/>
      <c r="AR769" s="60"/>
      <c r="AS769" s="1"/>
      <c r="AT769" s="60"/>
      <c r="AU769" s="1"/>
      <c r="AV769" s="60"/>
      <c r="AW769" s="1"/>
      <c r="AX769" s="60"/>
      <c r="AY769" s="1"/>
      <c r="AZ769" s="4" t="s">
        <v>3825</v>
      </c>
      <c r="BA769" s="1" t="s">
        <v>3901</v>
      </c>
      <c r="BB769" s="1"/>
      <c r="BC769" s="1"/>
    </row>
    <row r="770" spans="1:55" s="78" customFormat="1" ht="15" customHeight="1" x14ac:dyDescent="0.25">
      <c r="A770" s="52" t="s">
        <v>4779</v>
      </c>
      <c r="B770" s="34" t="s">
        <v>59</v>
      </c>
      <c r="C770" s="53">
        <v>2026</v>
      </c>
      <c r="D770" s="53">
        <v>2026</v>
      </c>
      <c r="E770" s="54" t="s">
        <v>3446</v>
      </c>
      <c r="F770" s="55" t="s">
        <v>50</v>
      </c>
      <c r="G770" s="55" t="s">
        <v>50</v>
      </c>
      <c r="H770" s="45" t="s">
        <v>1850</v>
      </c>
      <c r="I770" s="56" t="s">
        <v>52</v>
      </c>
      <c r="J770" s="56"/>
      <c r="K770" s="56" t="s">
        <v>53</v>
      </c>
      <c r="L770" s="55" t="s">
        <v>54</v>
      </c>
      <c r="M770" s="55"/>
      <c r="N770" s="55" t="s">
        <v>327</v>
      </c>
      <c r="O770" s="56"/>
      <c r="P770" s="55" t="s">
        <v>56</v>
      </c>
      <c r="Q770" s="55" t="s">
        <v>57</v>
      </c>
      <c r="R770" s="55"/>
      <c r="S770" s="56" t="s">
        <v>58</v>
      </c>
      <c r="T770" s="55" t="s">
        <v>58</v>
      </c>
      <c r="U770" s="57">
        <v>400000</v>
      </c>
      <c r="V770" s="57" t="s">
        <v>101</v>
      </c>
      <c r="W770" s="55"/>
      <c r="X770" s="54" t="s">
        <v>4779</v>
      </c>
      <c r="Y770" s="60"/>
      <c r="Z770" s="1" t="s">
        <v>61</v>
      </c>
      <c r="AA770" s="1" t="s">
        <v>1848</v>
      </c>
      <c r="AB770" s="1"/>
      <c r="AC770" s="1"/>
      <c r="AD770" s="3" t="s">
        <v>62</v>
      </c>
      <c r="AE770" s="1" t="s">
        <v>108</v>
      </c>
      <c r="AF770" s="1"/>
      <c r="AG770" s="1" t="s">
        <v>109</v>
      </c>
      <c r="AH770" s="59">
        <v>72</v>
      </c>
      <c r="AI770" s="1" t="s">
        <v>1849</v>
      </c>
      <c r="AJ770" s="59">
        <v>25</v>
      </c>
      <c r="AK770" s="1"/>
      <c r="AL770" s="60"/>
      <c r="AM770" s="1"/>
      <c r="AN770" s="60"/>
      <c r="AO770" s="1"/>
      <c r="AP770" s="60"/>
      <c r="AQ770" s="1"/>
      <c r="AR770" s="60"/>
      <c r="AS770" s="1"/>
      <c r="AT770" s="60"/>
      <c r="AU770" s="1"/>
      <c r="AV770" s="60"/>
      <c r="AW770" s="1"/>
      <c r="AX770" s="60"/>
      <c r="AY770" s="1"/>
      <c r="AZ770" s="4" t="s">
        <v>3899</v>
      </c>
      <c r="BA770" s="1" t="s">
        <v>3900</v>
      </c>
      <c r="BB770" s="1"/>
      <c r="BC770" s="1"/>
    </row>
    <row r="771" spans="1:55" s="78" customFormat="1" ht="15" customHeight="1" x14ac:dyDescent="0.25">
      <c r="A771" s="52" t="s">
        <v>4780</v>
      </c>
      <c r="B771" s="34" t="s">
        <v>59</v>
      </c>
      <c r="C771" s="53">
        <v>2026</v>
      </c>
      <c r="D771" s="53">
        <v>2026</v>
      </c>
      <c r="E771" s="54" t="s">
        <v>3447</v>
      </c>
      <c r="F771" s="55" t="s">
        <v>50</v>
      </c>
      <c r="G771" s="55" t="s">
        <v>50</v>
      </c>
      <c r="H771" s="45" t="s">
        <v>1851</v>
      </c>
      <c r="I771" s="56" t="s">
        <v>52</v>
      </c>
      <c r="J771" s="56"/>
      <c r="K771" s="56" t="s">
        <v>204</v>
      </c>
      <c r="L771" s="55"/>
      <c r="M771" s="55"/>
      <c r="N771" s="56"/>
      <c r="O771" s="56"/>
      <c r="P771" s="55" t="s">
        <v>89</v>
      </c>
      <c r="Q771" s="55" t="s">
        <v>89</v>
      </c>
      <c r="R771" s="55"/>
      <c r="S771" s="56" t="s">
        <v>81</v>
      </c>
      <c r="T771" s="55" t="s">
        <v>81</v>
      </c>
      <c r="U771" s="57">
        <v>-999</v>
      </c>
      <c r="V771" s="57" t="s">
        <v>59</v>
      </c>
      <c r="W771" s="55" t="s">
        <v>2319</v>
      </c>
      <c r="X771" s="54" t="s">
        <v>4780</v>
      </c>
      <c r="Y771" s="52"/>
      <c r="Z771" s="2" t="s">
        <v>61</v>
      </c>
      <c r="AA771" s="1" t="s">
        <v>205</v>
      </c>
      <c r="AB771" s="1"/>
      <c r="AC771" s="1"/>
      <c r="AD771" s="3" t="s">
        <v>62</v>
      </c>
      <c r="AE771" s="1" t="s">
        <v>206</v>
      </c>
      <c r="AF771" s="2"/>
      <c r="AG771" s="2" t="s">
        <v>1852</v>
      </c>
      <c r="AH771" s="58"/>
      <c r="AI771" s="1"/>
      <c r="AJ771" s="1"/>
      <c r="AK771" s="1"/>
      <c r="AL771" s="1"/>
      <c r="AM771" s="1"/>
      <c r="AN771" s="1"/>
      <c r="AO771" s="1"/>
      <c r="AP771" s="1"/>
      <c r="AQ771" s="1"/>
      <c r="AR771" s="1"/>
      <c r="AS771" s="1"/>
      <c r="AT771" s="1"/>
      <c r="AU771" s="1"/>
      <c r="AV771" s="1"/>
      <c r="AW771" s="1"/>
      <c r="AX771" s="1"/>
      <c r="AY771" s="1"/>
      <c r="AZ771" s="4" t="s">
        <v>202</v>
      </c>
      <c r="BA771" s="1"/>
      <c r="BB771" s="1"/>
      <c r="BC771" s="1"/>
    </row>
    <row r="772" spans="1:55" s="78" customFormat="1" ht="15" customHeight="1" x14ac:dyDescent="0.25">
      <c r="A772" s="52" t="s">
        <v>4781</v>
      </c>
      <c r="B772" s="34" t="s">
        <v>59</v>
      </c>
      <c r="C772" s="53">
        <v>2026</v>
      </c>
      <c r="D772" s="53">
        <v>2026</v>
      </c>
      <c r="E772" s="54" t="s">
        <v>3448</v>
      </c>
      <c r="F772" s="55" t="s">
        <v>50</v>
      </c>
      <c r="G772" s="55" t="s">
        <v>50</v>
      </c>
      <c r="H772" s="45" t="s">
        <v>1854</v>
      </c>
      <c r="I772" s="56" t="s">
        <v>52</v>
      </c>
      <c r="J772" s="56"/>
      <c r="K772" s="56" t="s">
        <v>346</v>
      </c>
      <c r="L772" s="55" t="str">
        <f>IF(K772="Mine or Quarry","Mine","")</f>
        <v/>
      </c>
      <c r="M772" s="55"/>
      <c r="N772" s="56" t="s">
        <v>788</v>
      </c>
      <c r="O772" s="56" t="s">
        <v>789</v>
      </c>
      <c r="P772" s="56" t="s">
        <v>89</v>
      </c>
      <c r="Q772" s="56" t="s">
        <v>89</v>
      </c>
      <c r="R772" s="55"/>
      <c r="S772" s="56" t="s">
        <v>81</v>
      </c>
      <c r="T772" s="55" t="str">
        <f>IF(ISNUMBER(SEARCH(",",N772)),"Y","N")</f>
        <v>N</v>
      </c>
      <c r="U772" s="57">
        <v>11000</v>
      </c>
      <c r="V772" s="57" t="s">
        <v>101</v>
      </c>
      <c r="W772" s="55" t="s">
        <v>2319</v>
      </c>
      <c r="X772" s="54" t="s">
        <v>4781</v>
      </c>
      <c r="Y772" s="52"/>
      <c r="Z772" s="2" t="s">
        <v>61</v>
      </c>
      <c r="AA772" s="1" t="s">
        <v>1855</v>
      </c>
      <c r="AB772" s="1"/>
      <c r="AC772" s="1"/>
      <c r="AD772" s="3" t="s">
        <v>62</v>
      </c>
      <c r="AE772" s="2" t="s">
        <v>288</v>
      </c>
      <c r="AF772" s="2"/>
      <c r="AG772" s="1" t="s">
        <v>1856</v>
      </c>
      <c r="AH772" s="2">
        <v>100</v>
      </c>
      <c r="AI772" s="1"/>
      <c r="AJ772" s="1"/>
      <c r="AK772" s="1"/>
      <c r="AL772" s="1"/>
      <c r="AM772" s="1"/>
      <c r="AN772" s="1"/>
      <c r="AO772" s="1"/>
      <c r="AP772" s="1"/>
      <c r="AQ772" s="1"/>
      <c r="AR772" s="1"/>
      <c r="AS772" s="1"/>
      <c r="AT772" s="1"/>
      <c r="AU772" s="1"/>
      <c r="AV772" s="1"/>
      <c r="AW772" s="1"/>
      <c r="AX772" s="1"/>
      <c r="AY772" s="1"/>
      <c r="AZ772" s="4" t="s">
        <v>1853</v>
      </c>
      <c r="BA772" s="1"/>
      <c r="BB772" s="1"/>
      <c r="BC772" s="1"/>
    </row>
    <row r="773" spans="1:55" s="78" customFormat="1" ht="15" customHeight="1" x14ac:dyDescent="0.25">
      <c r="A773" s="52" t="s">
        <v>4782</v>
      </c>
      <c r="B773" s="34" t="s">
        <v>59</v>
      </c>
      <c r="C773" s="53">
        <v>2026</v>
      </c>
      <c r="D773" s="53">
        <v>2026</v>
      </c>
      <c r="E773" s="54" t="s">
        <v>3449</v>
      </c>
      <c r="F773" s="55" t="s">
        <v>50</v>
      </c>
      <c r="G773" s="55" t="s">
        <v>50</v>
      </c>
      <c r="H773" s="45" t="s">
        <v>1857</v>
      </c>
      <c r="I773" s="56" t="s">
        <v>52</v>
      </c>
      <c r="J773" s="56"/>
      <c r="K773" s="56" t="s">
        <v>140</v>
      </c>
      <c r="L773" s="55" t="s">
        <v>54</v>
      </c>
      <c r="M773" s="55"/>
      <c r="N773" s="55" t="s">
        <v>141</v>
      </c>
      <c r="O773" s="55"/>
      <c r="P773" s="55" t="s">
        <v>142</v>
      </c>
      <c r="Q773" s="55" t="s">
        <v>57</v>
      </c>
      <c r="R773" s="55"/>
      <c r="S773" s="56" t="s">
        <v>81</v>
      </c>
      <c r="T773" s="55" t="s">
        <v>81</v>
      </c>
      <c r="U773" s="57">
        <v>40700</v>
      </c>
      <c r="V773" s="57" t="s">
        <v>101</v>
      </c>
      <c r="W773" s="55" t="s">
        <v>2319</v>
      </c>
      <c r="X773" s="54" t="s">
        <v>4782</v>
      </c>
      <c r="Y773" s="52"/>
      <c r="Z773" s="1" t="s">
        <v>61</v>
      </c>
      <c r="AA773" s="3" t="s">
        <v>1858</v>
      </c>
      <c r="AB773" s="3"/>
      <c r="AC773" s="3"/>
      <c r="AD773" s="3" t="s">
        <v>62</v>
      </c>
      <c r="AE773" s="1" t="s">
        <v>63</v>
      </c>
      <c r="AF773" s="1" t="s">
        <v>1346</v>
      </c>
      <c r="AG773" s="1" t="s">
        <v>1347</v>
      </c>
      <c r="AH773" s="2">
        <v>100</v>
      </c>
      <c r="AI773" s="3"/>
      <c r="AJ773" s="3"/>
      <c r="AK773" s="3"/>
      <c r="AL773" s="3"/>
      <c r="AM773" s="3"/>
      <c r="AN773" s="3"/>
      <c r="AO773" s="3"/>
      <c r="AP773" s="3"/>
      <c r="AQ773" s="3"/>
      <c r="AR773" s="3"/>
      <c r="AS773" s="3"/>
      <c r="AT773" s="3"/>
      <c r="AU773" s="3"/>
      <c r="AV773" s="3"/>
      <c r="AW773" s="3"/>
      <c r="AX773" s="3"/>
      <c r="AY773" s="3"/>
      <c r="AZ773" s="4" t="s">
        <v>139</v>
      </c>
      <c r="BA773" s="3" t="s">
        <v>3873</v>
      </c>
      <c r="BB773" s="1"/>
      <c r="BC773" s="1"/>
    </row>
    <row r="774" spans="1:55" s="78" customFormat="1" ht="15" customHeight="1" x14ac:dyDescent="0.25">
      <c r="A774" s="52" t="s">
        <v>4783</v>
      </c>
      <c r="B774" s="34" t="s">
        <v>59</v>
      </c>
      <c r="C774" s="53">
        <v>2026</v>
      </c>
      <c r="D774" s="53">
        <v>2026</v>
      </c>
      <c r="E774" s="54" t="s">
        <v>3450</v>
      </c>
      <c r="F774" s="55" t="s">
        <v>50</v>
      </c>
      <c r="G774" s="55" t="s">
        <v>50</v>
      </c>
      <c r="H774" s="45" t="s">
        <v>1860</v>
      </c>
      <c r="I774" s="56" t="s">
        <v>52</v>
      </c>
      <c r="J774" s="56"/>
      <c r="K774" s="55" t="s">
        <v>173</v>
      </c>
      <c r="L774" s="55"/>
      <c r="M774" s="55"/>
      <c r="N774" s="56" t="s">
        <v>667</v>
      </c>
      <c r="O774" s="56" t="s">
        <v>668</v>
      </c>
      <c r="P774" s="56" t="s">
        <v>89</v>
      </c>
      <c r="Q774" s="56" t="s">
        <v>89</v>
      </c>
      <c r="R774" s="55"/>
      <c r="S774" s="56" t="s">
        <v>81</v>
      </c>
      <c r="T774" s="55" t="s">
        <v>81</v>
      </c>
      <c r="U774" s="57">
        <v>22600</v>
      </c>
      <c r="V774" s="57" t="s">
        <v>101</v>
      </c>
      <c r="W774" s="55" t="s">
        <v>2319</v>
      </c>
      <c r="X774" s="54" t="s">
        <v>4783</v>
      </c>
      <c r="Y774" s="52"/>
      <c r="Z774" s="2" t="s">
        <v>61</v>
      </c>
      <c r="AA774" s="1" t="s">
        <v>1861</v>
      </c>
      <c r="AB774" s="1"/>
      <c r="AC774" s="1"/>
      <c r="AD774" s="3" t="s">
        <v>62</v>
      </c>
      <c r="AE774" s="2" t="s">
        <v>214</v>
      </c>
      <c r="AF774" s="1" t="s">
        <v>670</v>
      </c>
      <c r="AG774" s="1" t="s">
        <v>671</v>
      </c>
      <c r="AH774" s="2">
        <v>100</v>
      </c>
      <c r="AI774" s="1"/>
      <c r="AJ774" s="1"/>
      <c r="AK774" s="1"/>
      <c r="AL774" s="1"/>
      <c r="AM774" s="1"/>
      <c r="AN774" s="1"/>
      <c r="AO774" s="1"/>
      <c r="AP774" s="1"/>
      <c r="AQ774" s="1"/>
      <c r="AR774" s="1"/>
      <c r="AS774" s="1"/>
      <c r="AT774" s="1"/>
      <c r="AU774" s="1"/>
      <c r="AV774" s="1"/>
      <c r="AW774" s="1"/>
      <c r="AX774" s="1"/>
      <c r="AY774" s="1"/>
      <c r="AZ774" s="4" t="s">
        <v>1859</v>
      </c>
      <c r="BA774" s="1"/>
      <c r="BB774" s="1"/>
      <c r="BC774" s="1"/>
    </row>
    <row r="775" spans="1:55" s="78" customFormat="1" ht="15" customHeight="1" x14ac:dyDescent="0.25">
      <c r="A775" s="52" t="s">
        <v>4784</v>
      </c>
      <c r="B775" s="34" t="s">
        <v>59</v>
      </c>
      <c r="C775" s="53">
        <v>2026</v>
      </c>
      <c r="D775" s="53">
        <v>2026</v>
      </c>
      <c r="E775" s="54" t="s">
        <v>3451</v>
      </c>
      <c r="F775" s="55" t="s">
        <v>50</v>
      </c>
      <c r="G775" s="55" t="s">
        <v>50</v>
      </c>
      <c r="H775" s="45" t="s">
        <v>1862</v>
      </c>
      <c r="I775" s="56" t="s">
        <v>78</v>
      </c>
      <c r="J775" s="56"/>
      <c r="K775" s="56" t="s">
        <v>71</v>
      </c>
      <c r="L775" s="55" t="s">
        <v>88</v>
      </c>
      <c r="M775" s="55"/>
      <c r="N775" s="56" t="s">
        <v>181</v>
      </c>
      <c r="O775" s="56"/>
      <c r="P775" s="55" t="s">
        <v>73</v>
      </c>
      <c r="Q775" s="55" t="s">
        <v>57</v>
      </c>
      <c r="R775" s="55"/>
      <c r="S775" s="56" t="s">
        <v>58</v>
      </c>
      <c r="T775" s="55" t="str">
        <f>IF(ISNUMBER(SEARCH(",",N775)),"Y","N")</f>
        <v>N</v>
      </c>
      <c r="U775" s="57">
        <v>1.276</v>
      </c>
      <c r="V775" s="57" t="s">
        <v>101</v>
      </c>
      <c r="W775" s="55"/>
      <c r="X775" s="54" t="s">
        <v>4784</v>
      </c>
      <c r="Y775" s="53"/>
      <c r="Z775" s="1" t="s">
        <v>61</v>
      </c>
      <c r="AA775" s="3" t="s">
        <v>1251</v>
      </c>
      <c r="AB775" s="3"/>
      <c r="AC775" s="3"/>
      <c r="AD775" s="3" t="s">
        <v>62</v>
      </c>
      <c r="AE775" s="1" t="s">
        <v>108</v>
      </c>
      <c r="AF775" s="1" t="s">
        <v>1743</v>
      </c>
      <c r="AG775" s="1" t="s">
        <v>1743</v>
      </c>
      <c r="AH775" s="2"/>
      <c r="AI775" s="1"/>
      <c r="AJ775" s="1"/>
      <c r="AK775" s="1"/>
      <c r="AL775" s="1"/>
      <c r="AM775" s="1"/>
      <c r="AN775" s="1"/>
      <c r="AO775" s="1"/>
      <c r="AP775" s="1"/>
      <c r="AQ775" s="1"/>
      <c r="AR775" s="1"/>
      <c r="AS775" s="1"/>
      <c r="AT775" s="1"/>
      <c r="AU775" s="1"/>
      <c r="AV775" s="1"/>
      <c r="AW775" s="1"/>
      <c r="AX775" s="1"/>
      <c r="AY775" s="1"/>
      <c r="AZ775" s="4" t="s">
        <v>1742</v>
      </c>
      <c r="BA775" s="5"/>
      <c r="BB775" s="1"/>
      <c r="BC775" s="1"/>
    </row>
    <row r="776" spans="1:55" s="78" customFormat="1" ht="15" customHeight="1" x14ac:dyDescent="0.25">
      <c r="A776" s="52" t="s">
        <v>4785</v>
      </c>
      <c r="B776" s="34" t="s">
        <v>59</v>
      </c>
      <c r="C776" s="53">
        <v>2026</v>
      </c>
      <c r="D776" s="53">
        <v>2026</v>
      </c>
      <c r="E776" s="54" t="s">
        <v>3452</v>
      </c>
      <c r="F776" s="55" t="s">
        <v>50</v>
      </c>
      <c r="G776" s="55" t="s">
        <v>50</v>
      </c>
      <c r="H776" s="45" t="s">
        <v>1862</v>
      </c>
      <c r="I776" s="56" t="s">
        <v>78</v>
      </c>
      <c r="J776" s="56"/>
      <c r="K776" s="56" t="s">
        <v>74</v>
      </c>
      <c r="L776" s="55" t="s">
        <v>88</v>
      </c>
      <c r="M776" s="55"/>
      <c r="N776" s="56" t="s">
        <v>181</v>
      </c>
      <c r="O776" s="56"/>
      <c r="P776" s="55" t="s">
        <v>75</v>
      </c>
      <c r="Q776" s="56" t="s">
        <v>57</v>
      </c>
      <c r="R776" s="55"/>
      <c r="S776" s="56" t="s">
        <v>58</v>
      </c>
      <c r="T776" s="55" t="str">
        <f>IF(ISNUMBER(SEARCH(",",N776)),"Y","N")</f>
        <v>N</v>
      </c>
      <c r="U776" s="57">
        <v>10.773</v>
      </c>
      <c r="V776" s="57" t="s">
        <v>101</v>
      </c>
      <c r="W776" s="55"/>
      <c r="X776" s="54" t="s">
        <v>4785</v>
      </c>
      <c r="Y776" s="53"/>
      <c r="Z776" s="1" t="s">
        <v>61</v>
      </c>
      <c r="AA776" s="3" t="s">
        <v>1251</v>
      </c>
      <c r="AB776" s="3"/>
      <c r="AC776" s="3"/>
      <c r="AD776" s="3" t="s">
        <v>62</v>
      </c>
      <c r="AE776" s="1" t="s">
        <v>108</v>
      </c>
      <c r="AF776" s="1" t="s">
        <v>1743</v>
      </c>
      <c r="AG776" s="1" t="s">
        <v>1743</v>
      </c>
      <c r="AH776" s="2"/>
      <c r="AI776" s="1"/>
      <c r="AJ776" s="1"/>
      <c r="AK776" s="1"/>
      <c r="AL776" s="1"/>
      <c r="AM776" s="1"/>
      <c r="AN776" s="1"/>
      <c r="AO776" s="1"/>
      <c r="AP776" s="1"/>
      <c r="AQ776" s="1"/>
      <c r="AR776" s="1"/>
      <c r="AS776" s="1"/>
      <c r="AT776" s="1"/>
      <c r="AU776" s="1"/>
      <c r="AV776" s="1"/>
      <c r="AW776" s="1"/>
      <c r="AX776" s="1"/>
      <c r="AY776" s="1"/>
      <c r="AZ776" s="5" t="s">
        <v>1742</v>
      </c>
      <c r="BA776" s="5"/>
      <c r="BB776" s="1"/>
      <c r="BC776" s="1"/>
    </row>
    <row r="777" spans="1:55" s="78" customFormat="1" ht="15" customHeight="1" x14ac:dyDescent="0.25">
      <c r="A777" s="52" t="s">
        <v>4786</v>
      </c>
      <c r="B777" s="34" t="s">
        <v>59</v>
      </c>
      <c r="C777" s="53">
        <v>2026</v>
      </c>
      <c r="D777" s="53">
        <v>2026</v>
      </c>
      <c r="E777" s="54" t="s">
        <v>3453</v>
      </c>
      <c r="F777" s="55" t="s">
        <v>50</v>
      </c>
      <c r="G777" s="55" t="s">
        <v>50</v>
      </c>
      <c r="H777" s="45" t="s">
        <v>4000</v>
      </c>
      <c r="I777" s="56" t="s">
        <v>52</v>
      </c>
      <c r="J777" s="45"/>
      <c r="K777" s="56" t="s">
        <v>204</v>
      </c>
      <c r="L777" s="45"/>
      <c r="M777" s="45"/>
      <c r="N777" s="45" t="s">
        <v>80</v>
      </c>
      <c r="O777" s="45"/>
      <c r="P777" s="56" t="s">
        <v>89</v>
      </c>
      <c r="Q777" s="55" t="s">
        <v>89</v>
      </c>
      <c r="R777" s="45"/>
      <c r="S777" s="56" t="s">
        <v>81</v>
      </c>
      <c r="T777" s="55" t="s">
        <v>81</v>
      </c>
      <c r="U777" s="45">
        <v>-999</v>
      </c>
      <c r="V777" s="57" t="s">
        <v>59</v>
      </c>
      <c r="W777" s="45"/>
      <c r="X777" s="54" t="s">
        <v>4786</v>
      </c>
      <c r="Y777" s="59"/>
      <c r="Z777" s="3" t="s">
        <v>61</v>
      </c>
      <c r="AA777" s="1" t="s">
        <v>4002</v>
      </c>
      <c r="AB777" s="2"/>
      <c r="AC777" s="2"/>
      <c r="AD777" s="3" t="s">
        <v>62</v>
      </c>
      <c r="AE777" s="3" t="s">
        <v>175</v>
      </c>
      <c r="AF777" s="2" t="s">
        <v>4003</v>
      </c>
      <c r="AG777" s="1" t="s">
        <v>4004</v>
      </c>
      <c r="AH777" s="59">
        <v>100</v>
      </c>
      <c r="AI777" s="2"/>
      <c r="AJ777" s="2"/>
      <c r="AK777" s="2"/>
      <c r="AL777" s="59"/>
      <c r="AM777" s="2"/>
      <c r="AN777" s="59"/>
      <c r="AO777" s="2"/>
      <c r="AP777" s="59"/>
      <c r="AQ777" s="2"/>
      <c r="AR777" s="59"/>
      <c r="AS777" s="2"/>
      <c r="AT777" s="59"/>
      <c r="AU777" s="2"/>
      <c r="AV777" s="59"/>
      <c r="AW777" s="2"/>
      <c r="AX777" s="59"/>
      <c r="AY777" s="2"/>
      <c r="AZ777" s="4" t="s">
        <v>4001</v>
      </c>
      <c r="BA777" s="2"/>
      <c r="BB777" s="2"/>
      <c r="BC777" s="2"/>
    </row>
    <row r="778" spans="1:55" s="78" customFormat="1" ht="15" customHeight="1" x14ac:dyDescent="0.25">
      <c r="A778" s="52" t="s">
        <v>4787</v>
      </c>
      <c r="B778" s="34" t="s">
        <v>59</v>
      </c>
      <c r="C778" s="53">
        <v>2026</v>
      </c>
      <c r="D778" s="53">
        <v>2026</v>
      </c>
      <c r="E778" s="54" t="s">
        <v>3454</v>
      </c>
      <c r="F778" s="55" t="s">
        <v>50</v>
      </c>
      <c r="G778" s="55" t="s">
        <v>50</v>
      </c>
      <c r="H778" s="45" t="s">
        <v>1864</v>
      </c>
      <c r="I778" s="45" t="s">
        <v>78</v>
      </c>
      <c r="J778" s="56"/>
      <c r="K778" s="56" t="s">
        <v>417</v>
      </c>
      <c r="L778" s="55" t="s">
        <v>88</v>
      </c>
      <c r="M778" s="55"/>
      <c r="N778" s="55" t="s">
        <v>418</v>
      </c>
      <c r="O778" s="55"/>
      <c r="P778" s="55" t="s">
        <v>89</v>
      </c>
      <c r="Q778" s="55" t="s">
        <v>89</v>
      </c>
      <c r="R778" s="55"/>
      <c r="S778" s="56" t="s">
        <v>81</v>
      </c>
      <c r="T778" s="55" t="s">
        <v>81</v>
      </c>
      <c r="U778" s="57">
        <v>1900000</v>
      </c>
      <c r="V778" s="57" t="s">
        <v>101</v>
      </c>
      <c r="W778" s="55" t="s">
        <v>2319</v>
      </c>
      <c r="X778" s="54" t="s">
        <v>4787</v>
      </c>
      <c r="Y778" s="52"/>
      <c r="Z778" s="3" t="s">
        <v>61</v>
      </c>
      <c r="AA778" s="3" t="s">
        <v>1865</v>
      </c>
      <c r="AB778" s="3"/>
      <c r="AC778" s="3"/>
      <c r="AD778" s="3" t="s">
        <v>62</v>
      </c>
      <c r="AE778" s="3" t="s">
        <v>175</v>
      </c>
      <c r="AF778" s="3" t="s">
        <v>1866</v>
      </c>
      <c r="AG778" s="3" t="s">
        <v>1585</v>
      </c>
      <c r="AH778" s="58">
        <v>100</v>
      </c>
      <c r="AI778" s="3"/>
      <c r="AJ778" s="3"/>
      <c r="AK778" s="3"/>
      <c r="AL778" s="3"/>
      <c r="AM778" s="3"/>
      <c r="AN778" s="3"/>
      <c r="AO778" s="3"/>
      <c r="AP778" s="3"/>
      <c r="AQ778" s="3"/>
      <c r="AR778" s="3"/>
      <c r="AS778" s="3"/>
      <c r="AT778" s="3"/>
      <c r="AU778" s="3"/>
      <c r="AV778" s="3"/>
      <c r="AW778" s="3"/>
      <c r="AX778" s="3"/>
      <c r="AY778" s="3"/>
      <c r="AZ778" s="4" t="s">
        <v>1863</v>
      </c>
      <c r="BA778" s="3"/>
      <c r="BB778" s="1"/>
      <c r="BC778" s="1"/>
    </row>
    <row r="779" spans="1:55" s="78" customFormat="1" ht="15" customHeight="1" x14ac:dyDescent="0.25">
      <c r="A779" s="52" t="s">
        <v>4788</v>
      </c>
      <c r="B779" s="34" t="s">
        <v>59</v>
      </c>
      <c r="C779" s="53">
        <v>2026</v>
      </c>
      <c r="D779" s="53">
        <v>2026</v>
      </c>
      <c r="E779" s="54" t="s">
        <v>3455</v>
      </c>
      <c r="F779" s="55" t="s">
        <v>50</v>
      </c>
      <c r="G779" s="55" t="s">
        <v>50</v>
      </c>
      <c r="H779" s="45" t="s">
        <v>1868</v>
      </c>
      <c r="I779" s="45" t="s">
        <v>78</v>
      </c>
      <c r="J779" s="55" t="s">
        <v>384</v>
      </c>
      <c r="K779" s="55" t="s">
        <v>384</v>
      </c>
      <c r="L779" s="55" t="s">
        <v>88</v>
      </c>
      <c r="M779" s="55"/>
      <c r="N779" s="56" t="s">
        <v>181</v>
      </c>
      <c r="O779" s="56"/>
      <c r="P779" s="55" t="s">
        <v>385</v>
      </c>
      <c r="Q779" s="55" t="s">
        <v>5353</v>
      </c>
      <c r="R779" s="55" t="s">
        <v>5310</v>
      </c>
      <c r="S779" s="56" t="s">
        <v>81</v>
      </c>
      <c r="T779" s="55" t="str">
        <f>IF(ISNUMBER(SEARCH(",",N779)),"Y","N")</f>
        <v>N</v>
      </c>
      <c r="U779" s="57">
        <v>15760</v>
      </c>
      <c r="V779" s="57" t="s">
        <v>101</v>
      </c>
      <c r="W779" s="55"/>
      <c r="X779" s="54" t="s">
        <v>4788</v>
      </c>
      <c r="Y779" s="52"/>
      <c r="Z779" s="2" t="s">
        <v>61</v>
      </c>
      <c r="AA779" s="3" t="s">
        <v>1869</v>
      </c>
      <c r="AB779" s="3"/>
      <c r="AC779" s="3"/>
      <c r="AD779" s="3" t="s">
        <v>62</v>
      </c>
      <c r="AE779" s="2" t="s">
        <v>464</v>
      </c>
      <c r="AF779" s="2"/>
      <c r="AG779" s="3" t="s">
        <v>1438</v>
      </c>
      <c r="AH779" s="58">
        <v>100</v>
      </c>
      <c r="AI779" s="1"/>
      <c r="AJ779" s="1"/>
      <c r="AK779" s="1"/>
      <c r="AL779" s="1"/>
      <c r="AM779" s="1"/>
      <c r="AN779" s="1"/>
      <c r="AO779" s="1"/>
      <c r="AP779" s="1"/>
      <c r="AQ779" s="1"/>
      <c r="AR779" s="1"/>
      <c r="AS779" s="1"/>
      <c r="AT779" s="1"/>
      <c r="AU779" s="1"/>
      <c r="AV779" s="1"/>
      <c r="AW779" s="1"/>
      <c r="AX779" s="1"/>
      <c r="AY779" s="1"/>
      <c r="AZ779" s="4" t="s">
        <v>1867</v>
      </c>
      <c r="BA779" s="1"/>
      <c r="BB779" s="1"/>
      <c r="BC779" s="1"/>
    </row>
    <row r="780" spans="1:55" s="78" customFormat="1" ht="15" customHeight="1" x14ac:dyDescent="0.25">
      <c r="A780" s="52" t="s">
        <v>4789</v>
      </c>
      <c r="B780" s="34" t="s">
        <v>59</v>
      </c>
      <c r="C780" s="53">
        <v>2026</v>
      </c>
      <c r="D780" s="53">
        <v>2026</v>
      </c>
      <c r="E780" s="54" t="s">
        <v>3456</v>
      </c>
      <c r="F780" s="55" t="s">
        <v>50</v>
      </c>
      <c r="G780" s="55" t="s">
        <v>50</v>
      </c>
      <c r="H780" s="45" t="s">
        <v>1870</v>
      </c>
      <c r="I780" s="56" t="s">
        <v>52</v>
      </c>
      <c r="J780" s="55" t="s">
        <v>384</v>
      </c>
      <c r="K780" s="55" t="s">
        <v>384</v>
      </c>
      <c r="L780" s="55" t="s">
        <v>54</v>
      </c>
      <c r="M780" s="55"/>
      <c r="N780" s="55" t="s">
        <v>110</v>
      </c>
      <c r="O780" s="55" t="s">
        <v>1871</v>
      </c>
      <c r="P780" s="55" t="s">
        <v>385</v>
      </c>
      <c r="Q780" s="55" t="s">
        <v>5353</v>
      </c>
      <c r="R780" s="55"/>
      <c r="S780" s="56" t="s">
        <v>81</v>
      </c>
      <c r="T780" s="55" t="s">
        <v>58</v>
      </c>
      <c r="U780" s="57">
        <v>600</v>
      </c>
      <c r="V780" s="57" t="s">
        <v>101</v>
      </c>
      <c r="W780" s="55"/>
      <c r="X780" s="54" t="s">
        <v>4789</v>
      </c>
      <c r="Y780" s="52"/>
      <c r="Z780" s="3" t="s">
        <v>61</v>
      </c>
      <c r="AA780" s="3" t="s">
        <v>1869</v>
      </c>
      <c r="AB780" s="3"/>
      <c r="AC780" s="3"/>
      <c r="AD780" s="3" t="s">
        <v>62</v>
      </c>
      <c r="AE780" s="3" t="s">
        <v>464</v>
      </c>
      <c r="AF780" s="3"/>
      <c r="AG780" s="3" t="s">
        <v>1438</v>
      </c>
      <c r="AH780" s="58">
        <v>100</v>
      </c>
      <c r="AI780" s="3"/>
      <c r="AJ780" s="3"/>
      <c r="AK780" s="3"/>
      <c r="AL780" s="3"/>
      <c r="AM780" s="3"/>
      <c r="AN780" s="3"/>
      <c r="AO780" s="3"/>
      <c r="AP780" s="3"/>
      <c r="AQ780" s="3"/>
      <c r="AR780" s="3"/>
      <c r="AS780" s="3"/>
      <c r="AT780" s="3"/>
      <c r="AU780" s="3"/>
      <c r="AV780" s="3"/>
      <c r="AW780" s="3"/>
      <c r="AX780" s="3"/>
      <c r="AY780" s="3"/>
      <c r="AZ780" s="4" t="s">
        <v>1867</v>
      </c>
      <c r="BA780" s="3"/>
      <c r="BB780" s="1"/>
      <c r="BC780" s="1"/>
    </row>
    <row r="781" spans="1:55" s="78" customFormat="1" ht="15" customHeight="1" x14ac:dyDescent="0.25">
      <c r="A781" s="52" t="s">
        <v>4790</v>
      </c>
      <c r="B781" s="34" t="s">
        <v>59</v>
      </c>
      <c r="C781" s="53">
        <v>2026</v>
      </c>
      <c r="D781" s="53">
        <v>2026</v>
      </c>
      <c r="E781" s="54" t="s">
        <v>3456</v>
      </c>
      <c r="F781" s="55" t="s">
        <v>50</v>
      </c>
      <c r="G781" s="55" t="s">
        <v>50</v>
      </c>
      <c r="H781" s="45" t="s">
        <v>1870</v>
      </c>
      <c r="I781" s="56" t="s">
        <v>52</v>
      </c>
      <c r="J781" s="55" t="s">
        <v>384</v>
      </c>
      <c r="K781" s="55" t="s">
        <v>384</v>
      </c>
      <c r="L781" s="55" t="s">
        <v>54</v>
      </c>
      <c r="M781" s="55"/>
      <c r="N781" s="55" t="s">
        <v>400</v>
      </c>
      <c r="O781" s="55" t="s">
        <v>1872</v>
      </c>
      <c r="P781" s="55" t="s">
        <v>385</v>
      </c>
      <c r="Q781" s="55" t="s">
        <v>5353</v>
      </c>
      <c r="R781" s="55"/>
      <c r="S781" s="56" t="s">
        <v>81</v>
      </c>
      <c r="T781" s="55" t="s">
        <v>58</v>
      </c>
      <c r="U781" s="57">
        <v>6000</v>
      </c>
      <c r="V781" s="57" t="s">
        <v>101</v>
      </c>
      <c r="W781" s="55"/>
      <c r="X781" s="54" t="s">
        <v>4790</v>
      </c>
      <c r="Y781" s="52"/>
      <c r="Z781" s="3" t="s">
        <v>61</v>
      </c>
      <c r="AA781" s="3" t="s">
        <v>1869</v>
      </c>
      <c r="AB781" s="3"/>
      <c r="AC781" s="3"/>
      <c r="AD781" s="3" t="s">
        <v>62</v>
      </c>
      <c r="AE781" s="3" t="s">
        <v>464</v>
      </c>
      <c r="AF781" s="3"/>
      <c r="AG781" s="3" t="s">
        <v>1438</v>
      </c>
      <c r="AH781" s="58">
        <v>100</v>
      </c>
      <c r="AI781" s="3"/>
      <c r="AJ781" s="3"/>
      <c r="AK781" s="3"/>
      <c r="AL781" s="3"/>
      <c r="AM781" s="3"/>
      <c r="AN781" s="3"/>
      <c r="AO781" s="3"/>
      <c r="AP781" s="3"/>
      <c r="AQ781" s="3"/>
      <c r="AR781" s="3"/>
      <c r="AS781" s="3"/>
      <c r="AT781" s="3"/>
      <c r="AU781" s="3"/>
      <c r="AV781" s="3"/>
      <c r="AW781" s="3"/>
      <c r="AX781" s="3"/>
      <c r="AY781" s="3"/>
      <c r="AZ781" s="4" t="s">
        <v>1867</v>
      </c>
      <c r="BA781" s="3"/>
      <c r="BB781" s="1"/>
      <c r="BC781" s="1"/>
    </row>
    <row r="782" spans="1:55" s="78" customFormat="1" ht="15" customHeight="1" x14ac:dyDescent="0.25">
      <c r="A782" s="52" t="s">
        <v>4791</v>
      </c>
      <c r="B782" s="34" t="s">
        <v>59</v>
      </c>
      <c r="C782" s="53">
        <v>2026</v>
      </c>
      <c r="D782" s="53">
        <v>2026</v>
      </c>
      <c r="E782" s="54" t="s">
        <v>3457</v>
      </c>
      <c r="F782" s="55" t="s">
        <v>50</v>
      </c>
      <c r="G782" s="55" t="s">
        <v>50</v>
      </c>
      <c r="H782" s="45" t="s">
        <v>1874</v>
      </c>
      <c r="I782" s="56" t="s">
        <v>78</v>
      </c>
      <c r="J782" s="56"/>
      <c r="K782" s="56" t="s">
        <v>204</v>
      </c>
      <c r="L782" s="55"/>
      <c r="M782" s="55"/>
      <c r="N782" s="56"/>
      <c r="O782" s="56"/>
      <c r="P782" s="55" t="s">
        <v>89</v>
      </c>
      <c r="Q782" s="55" t="s">
        <v>89</v>
      </c>
      <c r="R782" s="55"/>
      <c r="S782" s="56" t="s">
        <v>81</v>
      </c>
      <c r="T782" s="55" t="str">
        <f>IF(ISNUMBER(SEARCH(",",N782)),"Y","N")</f>
        <v>N</v>
      </c>
      <c r="U782" s="57">
        <v>90000</v>
      </c>
      <c r="V782" s="57" t="s">
        <v>101</v>
      </c>
      <c r="W782" s="55" t="s">
        <v>2319</v>
      </c>
      <c r="X782" s="54" t="s">
        <v>4791</v>
      </c>
      <c r="Y782" s="52"/>
      <c r="Z782" s="1" t="s">
        <v>61</v>
      </c>
      <c r="AA782" s="1" t="s">
        <v>1875</v>
      </c>
      <c r="AB782" s="1"/>
      <c r="AC782" s="1"/>
      <c r="AD782" s="3" t="s">
        <v>62</v>
      </c>
      <c r="AE782" s="1" t="s">
        <v>83</v>
      </c>
      <c r="AF782" s="1"/>
      <c r="AG782" s="3" t="s">
        <v>207</v>
      </c>
      <c r="AH782" s="1"/>
      <c r="AI782" s="1"/>
      <c r="AJ782" s="1"/>
      <c r="AK782" s="1"/>
      <c r="AL782" s="1"/>
      <c r="AM782" s="1"/>
      <c r="AN782" s="1"/>
      <c r="AO782" s="1"/>
      <c r="AP782" s="1"/>
      <c r="AQ782" s="1"/>
      <c r="AR782" s="1"/>
      <c r="AS782" s="1"/>
      <c r="AT782" s="1"/>
      <c r="AU782" s="1"/>
      <c r="AV782" s="1"/>
      <c r="AW782" s="1"/>
      <c r="AX782" s="1"/>
      <c r="AY782" s="1"/>
      <c r="AZ782" s="4" t="s">
        <v>202</v>
      </c>
      <c r="BA782" s="1" t="s">
        <v>3822</v>
      </c>
      <c r="BB782" s="1"/>
      <c r="BC782" s="1"/>
    </row>
    <row r="783" spans="1:55" s="78" customFormat="1" ht="15" customHeight="1" x14ac:dyDescent="0.25">
      <c r="A783" s="52" t="s">
        <v>4792</v>
      </c>
      <c r="B783" s="34" t="s">
        <v>59</v>
      </c>
      <c r="C783" s="53">
        <v>2026</v>
      </c>
      <c r="D783" s="53">
        <v>2026</v>
      </c>
      <c r="E783" s="54" t="s">
        <v>3458</v>
      </c>
      <c r="F783" s="55" t="s">
        <v>50</v>
      </c>
      <c r="G783" s="55" t="s">
        <v>50</v>
      </c>
      <c r="H783" s="45" t="s">
        <v>1876</v>
      </c>
      <c r="I783" s="45" t="s">
        <v>52</v>
      </c>
      <c r="J783" s="56" t="s">
        <v>316</v>
      </c>
      <c r="K783" s="55" t="s">
        <v>316</v>
      </c>
      <c r="L783" s="55" t="s">
        <v>317</v>
      </c>
      <c r="M783" s="55"/>
      <c r="N783" s="55" t="s">
        <v>55</v>
      </c>
      <c r="O783" s="55" t="s">
        <v>5380</v>
      </c>
      <c r="P783" s="55" t="s">
        <v>318</v>
      </c>
      <c r="Q783" s="55" t="s">
        <v>57</v>
      </c>
      <c r="R783" s="55"/>
      <c r="S783" s="56" t="s">
        <v>81</v>
      </c>
      <c r="T783" s="55" t="s">
        <v>58</v>
      </c>
      <c r="U783" s="57">
        <v>229000</v>
      </c>
      <c r="V783" s="57" t="s">
        <v>101</v>
      </c>
      <c r="W783" s="55" t="s">
        <v>2319</v>
      </c>
      <c r="X783" s="54" t="s">
        <v>4792</v>
      </c>
      <c r="Y783" s="52"/>
      <c r="Z783" s="3" t="s">
        <v>61</v>
      </c>
      <c r="AA783" s="3" t="s">
        <v>1877</v>
      </c>
      <c r="AB783" s="3"/>
      <c r="AC783" s="3"/>
      <c r="AD783" s="3" t="s">
        <v>62</v>
      </c>
      <c r="AE783" s="3" t="s">
        <v>353</v>
      </c>
      <c r="AF783" s="3"/>
      <c r="AG783" s="3" t="s">
        <v>1328</v>
      </c>
      <c r="AH783" s="58">
        <v>100</v>
      </c>
      <c r="AI783" s="3"/>
      <c r="AJ783" s="3"/>
      <c r="AK783" s="3"/>
      <c r="AL783" s="3"/>
      <c r="AM783" s="3"/>
      <c r="AN783" s="3"/>
      <c r="AO783" s="3"/>
      <c r="AP783" s="3"/>
      <c r="AQ783" s="3"/>
      <c r="AR783" s="3"/>
      <c r="AS783" s="3"/>
      <c r="AT783" s="3"/>
      <c r="AU783" s="3"/>
      <c r="AV783" s="3"/>
      <c r="AW783" s="3"/>
      <c r="AX783" s="3"/>
      <c r="AY783" s="3"/>
      <c r="AZ783" s="4" t="s">
        <v>3902</v>
      </c>
      <c r="BA783" s="3" t="s">
        <v>3889</v>
      </c>
      <c r="BB783" s="1"/>
      <c r="BC783" s="1"/>
    </row>
    <row r="784" spans="1:55" s="78" customFormat="1" ht="15" customHeight="1" x14ac:dyDescent="0.25">
      <c r="A784" s="52" t="s">
        <v>4793</v>
      </c>
      <c r="B784" s="34" t="s">
        <v>59</v>
      </c>
      <c r="C784" s="53">
        <v>2026</v>
      </c>
      <c r="D784" s="53">
        <v>2026</v>
      </c>
      <c r="E784" s="54" t="s">
        <v>3459</v>
      </c>
      <c r="F784" s="55" t="s">
        <v>50</v>
      </c>
      <c r="G784" s="55" t="s">
        <v>50</v>
      </c>
      <c r="H784" s="45" t="s">
        <v>1879</v>
      </c>
      <c r="I784" s="56" t="s">
        <v>52</v>
      </c>
      <c r="J784" s="56"/>
      <c r="K784" s="55" t="s">
        <v>173</v>
      </c>
      <c r="L784" s="55"/>
      <c r="M784" s="55"/>
      <c r="N784" s="56" t="s">
        <v>55</v>
      </c>
      <c r="O784" s="56"/>
      <c r="P784" s="55" t="s">
        <v>444</v>
      </c>
      <c r="Q784" s="55" t="s">
        <v>57</v>
      </c>
      <c r="R784" s="55"/>
      <c r="S784" s="56" t="s">
        <v>81</v>
      </c>
      <c r="T784" s="55" t="s">
        <v>81</v>
      </c>
      <c r="U784" s="57">
        <v>36000</v>
      </c>
      <c r="V784" s="57" t="s">
        <v>101</v>
      </c>
      <c r="W784" s="55" t="s">
        <v>2319</v>
      </c>
      <c r="X784" s="54" t="s">
        <v>4793</v>
      </c>
      <c r="Y784" s="52"/>
      <c r="Z784" s="2" t="s">
        <v>514</v>
      </c>
      <c r="AA784" s="1" t="s">
        <v>1880</v>
      </c>
      <c r="AB784" s="1"/>
      <c r="AC784" s="1"/>
      <c r="AD784" s="3" t="s">
        <v>62</v>
      </c>
      <c r="AE784" s="2" t="s">
        <v>131</v>
      </c>
      <c r="AF784" s="2"/>
      <c r="AG784" s="1" t="s">
        <v>976</v>
      </c>
      <c r="AH784" s="2">
        <v>100</v>
      </c>
      <c r="AI784" s="1"/>
      <c r="AJ784" s="1"/>
      <c r="AK784" s="1"/>
      <c r="AL784" s="1"/>
      <c r="AM784" s="1"/>
      <c r="AN784" s="1"/>
      <c r="AO784" s="1"/>
      <c r="AP784" s="1"/>
      <c r="AQ784" s="1"/>
      <c r="AR784" s="1"/>
      <c r="AS784" s="1"/>
      <c r="AT784" s="1"/>
      <c r="AU784" s="1"/>
      <c r="AV784" s="1"/>
      <c r="AW784" s="1"/>
      <c r="AX784" s="1"/>
      <c r="AY784" s="1"/>
      <c r="AZ784" s="4" t="s">
        <v>1878</v>
      </c>
      <c r="BA784" s="4"/>
      <c r="BB784" s="1"/>
      <c r="BC784" s="1"/>
    </row>
    <row r="785" spans="1:55" s="78" customFormat="1" ht="15" customHeight="1" x14ac:dyDescent="0.25">
      <c r="A785" s="52" t="s">
        <v>4794</v>
      </c>
      <c r="B785" s="34" t="s">
        <v>59</v>
      </c>
      <c r="C785" s="53">
        <v>2026</v>
      </c>
      <c r="D785" s="53">
        <v>2026</v>
      </c>
      <c r="E785" s="54" t="s">
        <v>3460</v>
      </c>
      <c r="F785" s="55" t="s">
        <v>50</v>
      </c>
      <c r="G785" s="55" t="s">
        <v>50</v>
      </c>
      <c r="H785" s="45" t="s">
        <v>1881</v>
      </c>
      <c r="I785" s="56" t="s">
        <v>52</v>
      </c>
      <c r="J785" s="56"/>
      <c r="K785" s="56" t="s">
        <v>204</v>
      </c>
      <c r="L785" s="55"/>
      <c r="M785" s="55"/>
      <c r="N785" s="56"/>
      <c r="O785" s="56"/>
      <c r="P785" s="55" t="s">
        <v>89</v>
      </c>
      <c r="Q785" s="55" t="s">
        <v>89</v>
      </c>
      <c r="R785" s="55"/>
      <c r="S785" s="56" t="s">
        <v>81</v>
      </c>
      <c r="T785" s="55" t="s">
        <v>81</v>
      </c>
      <c r="U785" s="57">
        <v>-999</v>
      </c>
      <c r="V785" s="57" t="s">
        <v>59</v>
      </c>
      <c r="W785" s="55" t="s">
        <v>2319</v>
      </c>
      <c r="X785" s="54" t="s">
        <v>4794</v>
      </c>
      <c r="Y785" s="52"/>
      <c r="Z785" s="2" t="s">
        <v>61</v>
      </c>
      <c r="AA785" s="1" t="s">
        <v>1882</v>
      </c>
      <c r="AB785" s="1"/>
      <c r="AC785" s="1"/>
      <c r="AD785" s="3" t="s">
        <v>62</v>
      </c>
      <c r="AE785" s="2" t="s">
        <v>221</v>
      </c>
      <c r="AF785" s="3" t="s">
        <v>765</v>
      </c>
      <c r="AG785" s="3" t="s">
        <v>766</v>
      </c>
      <c r="AH785" s="58"/>
      <c r="AI785" s="1"/>
      <c r="AJ785" s="1"/>
      <c r="AK785" s="1"/>
      <c r="AL785" s="1"/>
      <c r="AM785" s="1"/>
      <c r="AN785" s="1"/>
      <c r="AO785" s="1"/>
      <c r="AP785" s="1"/>
      <c r="AQ785" s="1"/>
      <c r="AR785" s="1"/>
      <c r="AS785" s="1"/>
      <c r="AT785" s="1"/>
      <c r="AU785" s="1"/>
      <c r="AV785" s="1"/>
      <c r="AW785" s="1"/>
      <c r="AX785" s="1"/>
      <c r="AY785" s="1"/>
      <c r="AZ785" s="4" t="s">
        <v>202</v>
      </c>
      <c r="BA785" s="1"/>
      <c r="BB785" s="1"/>
      <c r="BC785" s="1"/>
    </row>
    <row r="786" spans="1:55" s="78" customFormat="1" ht="15" customHeight="1" x14ac:dyDescent="0.25">
      <c r="A786" s="52" t="s">
        <v>4795</v>
      </c>
      <c r="B786" s="34" t="s">
        <v>59</v>
      </c>
      <c r="C786" s="53">
        <v>2026</v>
      </c>
      <c r="D786" s="53">
        <v>2026</v>
      </c>
      <c r="E786" s="54" t="s">
        <v>3461</v>
      </c>
      <c r="F786" s="55" t="s">
        <v>50</v>
      </c>
      <c r="G786" s="55" t="s">
        <v>50</v>
      </c>
      <c r="H786" s="45" t="s">
        <v>1883</v>
      </c>
      <c r="I786" s="45" t="s">
        <v>52</v>
      </c>
      <c r="J786" s="56"/>
      <c r="K786" s="55" t="s">
        <v>582</v>
      </c>
      <c r="L786" s="55" t="s">
        <v>54</v>
      </c>
      <c r="M786" s="55" t="s">
        <v>113</v>
      </c>
      <c r="N786" s="55" t="s">
        <v>141</v>
      </c>
      <c r="O786" s="55"/>
      <c r="P786" s="61" t="s">
        <v>583</v>
      </c>
      <c r="Q786" s="61" t="s">
        <v>57</v>
      </c>
      <c r="R786" s="55"/>
      <c r="S786" s="56" t="s">
        <v>81</v>
      </c>
      <c r="T786" s="55" t="str">
        <f>IF(ISNUMBER(SEARCH(",",N786)),"Y","N")</f>
        <v>N</v>
      </c>
      <c r="U786" s="57">
        <v>120000</v>
      </c>
      <c r="V786" s="57" t="s">
        <v>101</v>
      </c>
      <c r="W786" s="55"/>
      <c r="X786" s="54" t="s">
        <v>4795</v>
      </c>
      <c r="Y786" s="52"/>
      <c r="Z786" s="3" t="s">
        <v>61</v>
      </c>
      <c r="AA786" s="3" t="s">
        <v>1884</v>
      </c>
      <c r="AB786" s="3"/>
      <c r="AC786" s="3"/>
      <c r="AD786" s="3" t="s">
        <v>62</v>
      </c>
      <c r="AE786" s="3" t="s">
        <v>221</v>
      </c>
      <c r="AF786" s="3"/>
      <c r="AG786" s="3" t="s">
        <v>1165</v>
      </c>
      <c r="AH786" s="58">
        <v>100</v>
      </c>
      <c r="AI786" s="3"/>
      <c r="AJ786" s="3"/>
      <c r="AK786" s="3"/>
      <c r="AL786" s="3"/>
      <c r="AM786" s="3"/>
      <c r="AN786" s="3"/>
      <c r="AO786" s="3"/>
      <c r="AP786" s="3"/>
      <c r="AQ786" s="3"/>
      <c r="AR786" s="3"/>
      <c r="AS786" s="3"/>
      <c r="AT786" s="3"/>
      <c r="AU786" s="3"/>
      <c r="AV786" s="3"/>
      <c r="AW786" s="3"/>
      <c r="AX786" s="3"/>
      <c r="AY786" s="3"/>
      <c r="AZ786" s="4" t="s">
        <v>2897</v>
      </c>
      <c r="BA786" s="3"/>
      <c r="BB786" s="1"/>
      <c r="BC786" s="1"/>
    </row>
    <row r="787" spans="1:55" s="78" customFormat="1" ht="15" customHeight="1" x14ac:dyDescent="0.25">
      <c r="A787" s="52" t="s">
        <v>4796</v>
      </c>
      <c r="B787" s="34" t="s">
        <v>59</v>
      </c>
      <c r="C787" s="53">
        <v>2026</v>
      </c>
      <c r="D787" s="53">
        <v>2026</v>
      </c>
      <c r="E787" s="54" t="s">
        <v>3462</v>
      </c>
      <c r="F787" s="55" t="s">
        <v>50</v>
      </c>
      <c r="G787" s="55" t="s">
        <v>50</v>
      </c>
      <c r="H787" s="45" t="s">
        <v>1885</v>
      </c>
      <c r="I787" s="45" t="s">
        <v>52</v>
      </c>
      <c r="J787" s="56"/>
      <c r="K787" s="55" t="s">
        <v>582</v>
      </c>
      <c r="L787" s="55" t="s">
        <v>317</v>
      </c>
      <c r="M787" s="55" t="s">
        <v>113</v>
      </c>
      <c r="N787" s="55" t="s">
        <v>141</v>
      </c>
      <c r="O787" s="55"/>
      <c r="P787" s="61" t="s">
        <v>583</v>
      </c>
      <c r="Q787" s="61" t="s">
        <v>57</v>
      </c>
      <c r="R787" s="55"/>
      <c r="S787" s="56" t="s">
        <v>81</v>
      </c>
      <c r="T787" s="55" t="str">
        <f>IF(ISNUMBER(SEARCH(",",N787)),"Y","N")</f>
        <v>N</v>
      </c>
      <c r="U787" s="57">
        <v>120000</v>
      </c>
      <c r="V787" s="57" t="s">
        <v>101</v>
      </c>
      <c r="W787" s="55"/>
      <c r="X787" s="54" t="s">
        <v>4796</v>
      </c>
      <c r="Y787" s="52"/>
      <c r="Z787" s="3" t="s">
        <v>61</v>
      </c>
      <c r="AA787" s="3" t="s">
        <v>1884</v>
      </c>
      <c r="AB787" s="3"/>
      <c r="AC787" s="3"/>
      <c r="AD787" s="3" t="s">
        <v>62</v>
      </c>
      <c r="AE787" s="3" t="s">
        <v>221</v>
      </c>
      <c r="AF787" s="3"/>
      <c r="AG787" s="3" t="s">
        <v>1165</v>
      </c>
      <c r="AH787" s="58">
        <v>100</v>
      </c>
      <c r="AI787" s="3"/>
      <c r="AJ787" s="3"/>
      <c r="AK787" s="3"/>
      <c r="AL787" s="3"/>
      <c r="AM787" s="3"/>
      <c r="AN787" s="3"/>
      <c r="AO787" s="3"/>
      <c r="AP787" s="3"/>
      <c r="AQ787" s="3"/>
      <c r="AR787" s="3"/>
      <c r="AS787" s="3"/>
      <c r="AT787" s="3"/>
      <c r="AU787" s="3"/>
      <c r="AV787" s="3"/>
      <c r="AW787" s="3"/>
      <c r="AX787" s="3"/>
      <c r="AY787" s="3"/>
      <c r="AZ787" s="4" t="s">
        <v>2897</v>
      </c>
      <c r="BA787" s="3"/>
      <c r="BB787" s="1"/>
      <c r="BC787" s="1"/>
    </row>
    <row r="788" spans="1:55" s="78" customFormat="1" ht="15" customHeight="1" x14ac:dyDescent="0.25">
      <c r="A788" s="52" t="s">
        <v>4797</v>
      </c>
      <c r="B788" s="34" t="s">
        <v>59</v>
      </c>
      <c r="C788" s="53">
        <v>2026</v>
      </c>
      <c r="D788" s="53">
        <v>2026</v>
      </c>
      <c r="E788" s="54" t="s">
        <v>3463</v>
      </c>
      <c r="F788" s="55" t="s">
        <v>50</v>
      </c>
      <c r="G788" s="55" t="s">
        <v>50</v>
      </c>
      <c r="H788" s="45" t="s">
        <v>1886</v>
      </c>
      <c r="I788" s="61" t="s">
        <v>52</v>
      </c>
      <c r="J788" s="56"/>
      <c r="K788" s="45" t="s">
        <v>392</v>
      </c>
      <c r="L788" s="55"/>
      <c r="M788" s="55"/>
      <c r="N788" s="55"/>
      <c r="O788" s="55"/>
      <c r="P788" s="55" t="s">
        <v>394</v>
      </c>
      <c r="Q788" s="55" t="s">
        <v>57</v>
      </c>
      <c r="R788" s="55"/>
      <c r="S788" s="56" t="s">
        <v>58</v>
      </c>
      <c r="T788" s="55" t="s">
        <v>81</v>
      </c>
      <c r="U788" s="57">
        <v>-999</v>
      </c>
      <c r="V788" s="57" t="s">
        <v>59</v>
      </c>
      <c r="W788" s="55"/>
      <c r="X788" s="54" t="s">
        <v>4797</v>
      </c>
      <c r="Y788" s="52"/>
      <c r="Z788" s="3" t="s">
        <v>154</v>
      </c>
      <c r="AA788" s="3" t="s">
        <v>1887</v>
      </c>
      <c r="AB788" s="3"/>
      <c r="AC788" s="3"/>
      <c r="AD788" s="3" t="s">
        <v>62</v>
      </c>
      <c r="AE788" s="3" t="s">
        <v>574</v>
      </c>
      <c r="AF788" s="3"/>
      <c r="AG788" s="3" t="s">
        <v>1722</v>
      </c>
      <c r="AH788" s="58">
        <v>100</v>
      </c>
      <c r="AI788" s="3"/>
      <c r="AJ788" s="53"/>
      <c r="AK788" s="3"/>
      <c r="AL788" s="3"/>
      <c r="AM788" s="3"/>
      <c r="AN788" s="3"/>
      <c r="AO788" s="3"/>
      <c r="AP788" s="3"/>
      <c r="AQ788" s="3"/>
      <c r="AR788" s="3"/>
      <c r="AS788" s="3"/>
      <c r="AT788" s="3"/>
      <c r="AU788" s="3"/>
      <c r="AV788" s="3"/>
      <c r="AW788" s="3"/>
      <c r="AX788" s="3"/>
      <c r="AY788" s="3"/>
      <c r="AZ788" s="4" t="s">
        <v>1719</v>
      </c>
      <c r="BA788" s="3"/>
      <c r="BB788" s="1"/>
      <c r="BC788" s="1"/>
    </row>
    <row r="789" spans="1:55" s="78" customFormat="1" ht="15" customHeight="1" x14ac:dyDescent="0.25">
      <c r="A789" s="52" t="s">
        <v>4798</v>
      </c>
      <c r="B789" s="34" t="s">
        <v>59</v>
      </c>
      <c r="C789" s="53">
        <v>2026</v>
      </c>
      <c r="D789" s="53">
        <v>2026</v>
      </c>
      <c r="E789" s="54" t="s">
        <v>3463</v>
      </c>
      <c r="F789" s="55" t="s">
        <v>50</v>
      </c>
      <c r="G789" s="55" t="s">
        <v>50</v>
      </c>
      <c r="H789" s="45" t="s">
        <v>1886</v>
      </c>
      <c r="I789" s="61" t="s">
        <v>52</v>
      </c>
      <c r="J789" s="56"/>
      <c r="K789" s="45" t="s">
        <v>180</v>
      </c>
      <c r="L789" s="55"/>
      <c r="M789" s="55"/>
      <c r="N789" s="55"/>
      <c r="O789" s="55"/>
      <c r="P789" s="55" t="s">
        <v>182</v>
      </c>
      <c r="Q789" s="55" t="s">
        <v>5353</v>
      </c>
      <c r="R789" s="55"/>
      <c r="S789" s="56" t="s">
        <v>58</v>
      </c>
      <c r="T789" s="55" t="str">
        <f>IF(ISNUMBER(SEARCH(",",N789)),"Y","N")</f>
        <v>N</v>
      </c>
      <c r="U789" s="57">
        <v>1360</v>
      </c>
      <c r="V789" s="57" t="s">
        <v>101</v>
      </c>
      <c r="W789" s="55"/>
      <c r="X789" s="54" t="s">
        <v>4798</v>
      </c>
      <c r="Y789" s="52"/>
      <c r="Z789" s="3" t="s">
        <v>154</v>
      </c>
      <c r="AA789" s="3" t="s">
        <v>1887</v>
      </c>
      <c r="AB789" s="3"/>
      <c r="AC789" s="3"/>
      <c r="AD789" s="3" t="s">
        <v>62</v>
      </c>
      <c r="AE789" s="3" t="s">
        <v>574</v>
      </c>
      <c r="AF789" s="3"/>
      <c r="AG789" s="3" t="s">
        <v>1722</v>
      </c>
      <c r="AH789" s="58">
        <v>100</v>
      </c>
      <c r="AI789" s="3"/>
      <c r="AJ789" s="53"/>
      <c r="AK789" s="3"/>
      <c r="AL789" s="3"/>
      <c r="AM789" s="3"/>
      <c r="AN789" s="3"/>
      <c r="AO789" s="3"/>
      <c r="AP789" s="3"/>
      <c r="AQ789" s="3"/>
      <c r="AR789" s="3"/>
      <c r="AS789" s="3"/>
      <c r="AT789" s="3"/>
      <c r="AU789" s="3"/>
      <c r="AV789" s="3"/>
      <c r="AW789" s="3"/>
      <c r="AX789" s="3"/>
      <c r="AY789" s="3"/>
      <c r="AZ789" s="4" t="s">
        <v>1719</v>
      </c>
      <c r="BA789" s="3"/>
      <c r="BB789" s="1"/>
      <c r="BC789" s="1"/>
    </row>
    <row r="790" spans="1:55" s="78" customFormat="1" ht="15" customHeight="1" x14ac:dyDescent="0.25">
      <c r="A790" s="52" t="s">
        <v>4799</v>
      </c>
      <c r="B790" s="34" t="s">
        <v>59</v>
      </c>
      <c r="C790" s="53">
        <v>2026</v>
      </c>
      <c r="D790" s="53">
        <v>2026</v>
      </c>
      <c r="E790" s="54" t="s">
        <v>3464</v>
      </c>
      <c r="F790" s="55" t="s">
        <v>50</v>
      </c>
      <c r="G790" s="55" t="s">
        <v>50</v>
      </c>
      <c r="H790" s="45" t="s">
        <v>1888</v>
      </c>
      <c r="I790" s="56" t="s">
        <v>52</v>
      </c>
      <c r="J790" s="56"/>
      <c r="K790" s="56" t="s">
        <v>1019</v>
      </c>
      <c r="L790" s="55" t="str">
        <f>IF(K790="Mine or Quarry","Mine","")</f>
        <v/>
      </c>
      <c r="M790" s="55"/>
      <c r="N790" s="56"/>
      <c r="O790" s="56" t="s">
        <v>1470</v>
      </c>
      <c r="P790" s="56" t="s">
        <v>89</v>
      </c>
      <c r="Q790" s="56" t="s">
        <v>89</v>
      </c>
      <c r="R790" s="55"/>
      <c r="S790" s="56" t="s">
        <v>81</v>
      </c>
      <c r="T790" s="55" t="s">
        <v>81</v>
      </c>
      <c r="U790" s="57">
        <v>-999</v>
      </c>
      <c r="V790" s="57" t="s">
        <v>59</v>
      </c>
      <c r="W790" s="55" t="s">
        <v>2319</v>
      </c>
      <c r="X790" s="54" t="s">
        <v>4799</v>
      </c>
      <c r="Y790" s="52"/>
      <c r="Z790" s="1" t="s">
        <v>61</v>
      </c>
      <c r="AA790" s="1" t="s">
        <v>1608</v>
      </c>
      <c r="AB790" s="1"/>
      <c r="AC790" s="1"/>
      <c r="AD790" s="3" t="s">
        <v>62</v>
      </c>
      <c r="AE790" s="1" t="s">
        <v>506</v>
      </c>
      <c r="AF790" s="1" t="s">
        <v>1889</v>
      </c>
      <c r="AG790" s="1" t="s">
        <v>1543</v>
      </c>
      <c r="AH790" s="2">
        <v>100</v>
      </c>
      <c r="AI790" s="1"/>
      <c r="AJ790" s="1"/>
      <c r="AK790" s="1"/>
      <c r="AL790" s="1"/>
      <c r="AM790" s="1"/>
      <c r="AN790" s="1"/>
      <c r="AO790" s="1"/>
      <c r="AP790" s="1"/>
      <c r="AQ790" s="1"/>
      <c r="AR790" s="1"/>
      <c r="AS790" s="1"/>
      <c r="AT790" s="1"/>
      <c r="AU790" s="1"/>
      <c r="AV790" s="1"/>
      <c r="AW790" s="1"/>
      <c r="AX790" s="1"/>
      <c r="AY790" s="1"/>
      <c r="AZ790" s="4" t="s">
        <v>1017</v>
      </c>
      <c r="BA790" s="1"/>
      <c r="BB790" s="1"/>
      <c r="BC790" s="1"/>
    </row>
    <row r="791" spans="1:55" s="78" customFormat="1" ht="15" customHeight="1" x14ac:dyDescent="0.25">
      <c r="A791" s="52" t="s">
        <v>4800</v>
      </c>
      <c r="B791" s="34" t="s">
        <v>59</v>
      </c>
      <c r="C791" s="53">
        <v>2026</v>
      </c>
      <c r="D791" s="53">
        <v>2026</v>
      </c>
      <c r="E791" s="54" t="s">
        <v>3466</v>
      </c>
      <c r="F791" s="55" t="s">
        <v>50</v>
      </c>
      <c r="G791" s="55" t="s">
        <v>50</v>
      </c>
      <c r="H791" s="45" t="s">
        <v>1891</v>
      </c>
      <c r="I791" s="56" t="s">
        <v>52</v>
      </c>
      <c r="J791" s="56"/>
      <c r="K791" s="56" t="s">
        <v>87</v>
      </c>
      <c r="L791" s="55" t="str">
        <f>IF(K791="Mine or Quarry","Mine","")</f>
        <v/>
      </c>
      <c r="M791" s="55"/>
      <c r="N791" s="56"/>
      <c r="O791" s="56" t="s">
        <v>2892</v>
      </c>
      <c r="P791" s="56" t="s">
        <v>89</v>
      </c>
      <c r="Q791" s="56" t="s">
        <v>89</v>
      </c>
      <c r="R791" s="55"/>
      <c r="S791" s="56" t="s">
        <v>81</v>
      </c>
      <c r="T791" s="55" t="s">
        <v>58</v>
      </c>
      <c r="U791" s="57">
        <v>-999</v>
      </c>
      <c r="V791" s="57" t="s">
        <v>59</v>
      </c>
      <c r="W791" s="55" t="s">
        <v>2797</v>
      </c>
      <c r="X791" s="54" t="s">
        <v>4800</v>
      </c>
      <c r="Y791" s="52"/>
      <c r="Z791" s="1" t="s">
        <v>61</v>
      </c>
      <c r="AA791" s="1" t="s">
        <v>1892</v>
      </c>
      <c r="AB791" s="1"/>
      <c r="AC791" s="1"/>
      <c r="AD791" s="3" t="s">
        <v>62</v>
      </c>
      <c r="AE791" s="1" t="s">
        <v>108</v>
      </c>
      <c r="AF791" s="1" t="s">
        <v>1519</v>
      </c>
      <c r="AG791" s="1" t="s">
        <v>233</v>
      </c>
      <c r="AH791" s="2">
        <v>100</v>
      </c>
      <c r="AI791" s="1"/>
      <c r="AJ791" s="1"/>
      <c r="AK791" s="1"/>
      <c r="AL791" s="1"/>
      <c r="AM791" s="1"/>
      <c r="AN791" s="1"/>
      <c r="AO791" s="1"/>
      <c r="AP791" s="1"/>
      <c r="AQ791" s="1"/>
      <c r="AR791" s="1"/>
      <c r="AS791" s="1"/>
      <c r="AT791" s="1"/>
      <c r="AU791" s="1"/>
      <c r="AV791" s="1"/>
      <c r="AW791" s="1"/>
      <c r="AX791" s="1"/>
      <c r="AY791" s="1"/>
      <c r="AZ791" s="5" t="s">
        <v>1890</v>
      </c>
      <c r="BA791" s="5"/>
      <c r="BB791" s="1"/>
      <c r="BC791" s="1"/>
    </row>
    <row r="792" spans="1:55" s="78" customFormat="1" ht="15" customHeight="1" x14ac:dyDescent="0.25">
      <c r="A792" s="52" t="s">
        <v>4801</v>
      </c>
      <c r="B792" s="34" t="s">
        <v>59</v>
      </c>
      <c r="C792" s="53">
        <v>2026</v>
      </c>
      <c r="D792" s="53">
        <v>2026</v>
      </c>
      <c r="E792" s="54" t="s">
        <v>3467</v>
      </c>
      <c r="F792" s="55" t="s">
        <v>50</v>
      </c>
      <c r="G792" s="55" t="s">
        <v>50</v>
      </c>
      <c r="H792" s="45" t="s">
        <v>1894</v>
      </c>
      <c r="I792" s="56" t="s">
        <v>78</v>
      </c>
      <c r="J792" s="56"/>
      <c r="K792" s="56" t="s">
        <v>87</v>
      </c>
      <c r="L792" s="55"/>
      <c r="M792" s="55"/>
      <c r="N792" s="56"/>
      <c r="O792" s="56"/>
      <c r="P792" s="56" t="s">
        <v>89</v>
      </c>
      <c r="Q792" s="56" t="s">
        <v>89</v>
      </c>
      <c r="R792" s="55"/>
      <c r="S792" s="56" t="s">
        <v>81</v>
      </c>
      <c r="T792" s="55" t="s">
        <v>81</v>
      </c>
      <c r="U792" s="57">
        <v>-999</v>
      </c>
      <c r="V792" s="57" t="s">
        <v>59</v>
      </c>
      <c r="W792" s="55" t="s">
        <v>2797</v>
      </c>
      <c r="X792" s="54" t="s">
        <v>4801</v>
      </c>
      <c r="Y792" s="52"/>
      <c r="Z792" s="1" t="s">
        <v>61</v>
      </c>
      <c r="AA792" s="1" t="s">
        <v>1892</v>
      </c>
      <c r="AB792" s="1"/>
      <c r="AC792" s="1"/>
      <c r="AD792" s="3" t="s">
        <v>62</v>
      </c>
      <c r="AE792" s="1" t="s">
        <v>108</v>
      </c>
      <c r="AF792" s="1" t="s">
        <v>1519</v>
      </c>
      <c r="AG792" s="1" t="s">
        <v>233</v>
      </c>
      <c r="AH792" s="2">
        <v>100</v>
      </c>
      <c r="AI792" s="1"/>
      <c r="AJ792" s="1"/>
      <c r="AK792" s="1"/>
      <c r="AL792" s="1"/>
      <c r="AM792" s="1"/>
      <c r="AN792" s="1"/>
      <c r="AO792" s="1"/>
      <c r="AP792" s="1"/>
      <c r="AQ792" s="1"/>
      <c r="AR792" s="1"/>
      <c r="AS792" s="1"/>
      <c r="AT792" s="1"/>
      <c r="AU792" s="1"/>
      <c r="AV792" s="1"/>
      <c r="AW792" s="1"/>
      <c r="AX792" s="1"/>
      <c r="AY792" s="1"/>
      <c r="AZ792" s="5" t="s">
        <v>1893</v>
      </c>
      <c r="BA792" s="1"/>
      <c r="BB792" s="1"/>
      <c r="BC792" s="1"/>
    </row>
    <row r="793" spans="1:55" s="78" customFormat="1" ht="15" customHeight="1" x14ac:dyDescent="0.25">
      <c r="A793" s="52" t="s">
        <v>4802</v>
      </c>
      <c r="B793" s="34" t="s">
        <v>59</v>
      </c>
      <c r="C793" s="53">
        <v>2026</v>
      </c>
      <c r="D793" s="53">
        <v>2026</v>
      </c>
      <c r="E793" s="54" t="s">
        <v>3468</v>
      </c>
      <c r="F793" s="55" t="s">
        <v>50</v>
      </c>
      <c r="G793" s="55" t="s">
        <v>50</v>
      </c>
      <c r="H793" s="45" t="s">
        <v>1896</v>
      </c>
      <c r="I793" s="61" t="s">
        <v>52</v>
      </c>
      <c r="J793" s="56"/>
      <c r="K793" s="55" t="s">
        <v>126</v>
      </c>
      <c r="L793" s="55"/>
      <c r="M793" s="55" t="s">
        <v>113</v>
      </c>
      <c r="N793" s="55" t="s">
        <v>358</v>
      </c>
      <c r="O793" s="55" t="s">
        <v>201</v>
      </c>
      <c r="P793" s="55" t="s">
        <v>129</v>
      </c>
      <c r="Q793" s="56" t="s">
        <v>57</v>
      </c>
      <c r="R793" s="55"/>
      <c r="S793" s="56" t="s">
        <v>58</v>
      </c>
      <c r="T793" s="55" t="s">
        <v>81</v>
      </c>
      <c r="U793" s="57">
        <v>-999</v>
      </c>
      <c r="V793" s="57" t="s">
        <v>59</v>
      </c>
      <c r="W793" s="55" t="s">
        <v>2319</v>
      </c>
      <c r="X793" s="54" t="s">
        <v>4802</v>
      </c>
      <c r="Y793" s="52"/>
      <c r="Z793" s="3" t="s">
        <v>61</v>
      </c>
      <c r="AA793" s="3" t="s">
        <v>1897</v>
      </c>
      <c r="AB793" s="3"/>
      <c r="AC793" s="3"/>
      <c r="AD793" s="3" t="s">
        <v>62</v>
      </c>
      <c r="AE793" s="3" t="s">
        <v>83</v>
      </c>
      <c r="AF793" s="3"/>
      <c r="AG793" s="3" t="s">
        <v>1898</v>
      </c>
      <c r="AH793" s="58">
        <v>100</v>
      </c>
      <c r="AI793" s="3"/>
      <c r="AJ793" s="3"/>
      <c r="AK793" s="3"/>
      <c r="AL793" s="3"/>
      <c r="AM793" s="3"/>
      <c r="AN793" s="3"/>
      <c r="AO793" s="3"/>
      <c r="AP793" s="3"/>
      <c r="AQ793" s="3"/>
      <c r="AR793" s="3"/>
      <c r="AS793" s="3"/>
      <c r="AT793" s="3"/>
      <c r="AU793" s="3"/>
      <c r="AV793" s="3"/>
      <c r="AW793" s="3"/>
      <c r="AX793" s="3"/>
      <c r="AY793" s="3"/>
      <c r="AZ793" s="4" t="s">
        <v>1895</v>
      </c>
      <c r="BA793" s="3"/>
      <c r="BB793" s="1"/>
      <c r="BC793" s="1"/>
    </row>
    <row r="794" spans="1:55" s="78" customFormat="1" ht="15" customHeight="1" x14ac:dyDescent="0.25">
      <c r="A794" s="52" t="s">
        <v>4803</v>
      </c>
      <c r="B794" s="34" t="s">
        <v>59</v>
      </c>
      <c r="C794" s="53">
        <v>2026</v>
      </c>
      <c r="D794" s="53">
        <v>2026</v>
      </c>
      <c r="E794" s="54" t="s">
        <v>3468</v>
      </c>
      <c r="F794" s="55" t="s">
        <v>50</v>
      </c>
      <c r="G794" s="55" t="s">
        <v>50</v>
      </c>
      <c r="H794" s="45" t="s">
        <v>1896</v>
      </c>
      <c r="I794" s="61" t="s">
        <v>52</v>
      </c>
      <c r="J794" s="56"/>
      <c r="K794" s="55" t="s">
        <v>53</v>
      </c>
      <c r="L794" s="55"/>
      <c r="M794" s="55" t="s">
        <v>113</v>
      </c>
      <c r="N794" s="55" t="s">
        <v>55</v>
      </c>
      <c r="O794" s="55" t="s">
        <v>1899</v>
      </c>
      <c r="P794" s="55" t="s">
        <v>56</v>
      </c>
      <c r="Q794" s="55" t="s">
        <v>57</v>
      </c>
      <c r="R794" s="55"/>
      <c r="S794" s="56" t="s">
        <v>58</v>
      </c>
      <c r="T794" s="55" t="s">
        <v>81</v>
      </c>
      <c r="U794" s="57">
        <v>-999</v>
      </c>
      <c r="V794" s="57" t="s">
        <v>59</v>
      </c>
      <c r="W794" s="55" t="s">
        <v>2319</v>
      </c>
      <c r="X794" s="54" t="s">
        <v>4803</v>
      </c>
      <c r="Y794" s="52"/>
      <c r="Z794" s="3" t="s">
        <v>61</v>
      </c>
      <c r="AA794" s="3" t="s">
        <v>1897</v>
      </c>
      <c r="AB794" s="3"/>
      <c r="AC794" s="3"/>
      <c r="AD794" s="3" t="s">
        <v>62</v>
      </c>
      <c r="AE794" s="3" t="s">
        <v>83</v>
      </c>
      <c r="AF794" s="3"/>
      <c r="AG794" s="3" t="s">
        <v>1898</v>
      </c>
      <c r="AH794" s="58">
        <v>100</v>
      </c>
      <c r="AI794" s="3"/>
      <c r="AJ794" s="3"/>
      <c r="AK794" s="3"/>
      <c r="AL794" s="3"/>
      <c r="AM794" s="3"/>
      <c r="AN794" s="3"/>
      <c r="AO794" s="3"/>
      <c r="AP794" s="3"/>
      <c r="AQ794" s="3"/>
      <c r="AR794" s="3"/>
      <c r="AS794" s="3"/>
      <c r="AT794" s="3"/>
      <c r="AU794" s="3"/>
      <c r="AV794" s="3"/>
      <c r="AW794" s="3"/>
      <c r="AX794" s="3"/>
      <c r="AY794" s="3"/>
      <c r="AZ794" s="4" t="s">
        <v>1895</v>
      </c>
      <c r="BA794" s="3"/>
      <c r="BB794" s="1"/>
      <c r="BC794" s="1"/>
    </row>
    <row r="795" spans="1:55" s="78" customFormat="1" ht="15" customHeight="1" x14ac:dyDescent="0.25">
      <c r="A795" s="52" t="s">
        <v>4804</v>
      </c>
      <c r="B795" s="34" t="s">
        <v>59</v>
      </c>
      <c r="C795" s="53">
        <v>2026</v>
      </c>
      <c r="D795" s="53">
        <v>2026</v>
      </c>
      <c r="E795" s="54" t="s">
        <v>3468</v>
      </c>
      <c r="F795" s="55" t="s">
        <v>50</v>
      </c>
      <c r="G795" s="55" t="s">
        <v>50</v>
      </c>
      <c r="H795" s="45" t="s">
        <v>1896</v>
      </c>
      <c r="I795" s="61" t="s">
        <v>52</v>
      </c>
      <c r="J795" s="56"/>
      <c r="K795" s="55" t="s">
        <v>133</v>
      </c>
      <c r="L795" s="55"/>
      <c r="M795" s="55" t="s">
        <v>113</v>
      </c>
      <c r="N795" s="55" t="s">
        <v>358</v>
      </c>
      <c r="O795" s="55" t="s">
        <v>1084</v>
      </c>
      <c r="P795" s="55" t="s">
        <v>134</v>
      </c>
      <c r="Q795" s="55" t="s">
        <v>57</v>
      </c>
      <c r="R795" s="55"/>
      <c r="S795" s="56" t="s">
        <v>58</v>
      </c>
      <c r="T795" s="55" t="s">
        <v>81</v>
      </c>
      <c r="U795" s="57">
        <v>-999</v>
      </c>
      <c r="V795" s="57" t="s">
        <v>59</v>
      </c>
      <c r="W795" s="55" t="s">
        <v>2319</v>
      </c>
      <c r="X795" s="54" t="s">
        <v>4804</v>
      </c>
      <c r="Y795" s="52"/>
      <c r="Z795" s="3" t="s">
        <v>61</v>
      </c>
      <c r="AA795" s="3" t="s">
        <v>1897</v>
      </c>
      <c r="AB795" s="3"/>
      <c r="AC795" s="3"/>
      <c r="AD795" s="3" t="s">
        <v>62</v>
      </c>
      <c r="AE795" s="3" t="s">
        <v>83</v>
      </c>
      <c r="AF795" s="3"/>
      <c r="AG795" s="3" t="s">
        <v>1898</v>
      </c>
      <c r="AH795" s="58">
        <v>100</v>
      </c>
      <c r="AI795" s="3"/>
      <c r="AJ795" s="3"/>
      <c r="AK795" s="3"/>
      <c r="AL795" s="3"/>
      <c r="AM795" s="3"/>
      <c r="AN795" s="3"/>
      <c r="AO795" s="3"/>
      <c r="AP795" s="3"/>
      <c r="AQ795" s="3"/>
      <c r="AR795" s="3"/>
      <c r="AS795" s="3"/>
      <c r="AT795" s="3"/>
      <c r="AU795" s="3"/>
      <c r="AV795" s="3"/>
      <c r="AW795" s="3"/>
      <c r="AX795" s="3"/>
      <c r="AY795" s="3"/>
      <c r="AZ795" s="4" t="s">
        <v>1895</v>
      </c>
      <c r="BA795" s="3" t="s">
        <v>3903</v>
      </c>
      <c r="BB795" s="1"/>
      <c r="BC795" s="1"/>
    </row>
    <row r="796" spans="1:55" s="78" customFormat="1" ht="15" customHeight="1" x14ac:dyDescent="0.25">
      <c r="A796" s="52" t="s">
        <v>4805</v>
      </c>
      <c r="B796" s="34" t="s">
        <v>59</v>
      </c>
      <c r="C796" s="53">
        <v>2026</v>
      </c>
      <c r="D796" s="53">
        <v>2026</v>
      </c>
      <c r="E796" s="54" t="s">
        <v>3468</v>
      </c>
      <c r="F796" s="55" t="s">
        <v>50</v>
      </c>
      <c r="G796" s="55" t="s">
        <v>50</v>
      </c>
      <c r="H796" s="45" t="s">
        <v>1896</v>
      </c>
      <c r="I796" s="61" t="s">
        <v>52</v>
      </c>
      <c r="J796" s="56"/>
      <c r="K796" s="55" t="s">
        <v>137</v>
      </c>
      <c r="L796" s="55"/>
      <c r="M796" s="55" t="s">
        <v>113</v>
      </c>
      <c r="N796" s="55" t="s">
        <v>358</v>
      </c>
      <c r="O796" s="55" t="s">
        <v>201</v>
      </c>
      <c r="P796" s="55" t="s">
        <v>138</v>
      </c>
      <c r="Q796" s="55" t="s">
        <v>57</v>
      </c>
      <c r="R796" s="55"/>
      <c r="S796" s="56" t="s">
        <v>58</v>
      </c>
      <c r="T796" s="55" t="s">
        <v>81</v>
      </c>
      <c r="U796" s="57">
        <v>-999</v>
      </c>
      <c r="V796" s="57" t="s">
        <v>59</v>
      </c>
      <c r="W796" s="55" t="s">
        <v>2319</v>
      </c>
      <c r="X796" s="54" t="s">
        <v>4805</v>
      </c>
      <c r="Y796" s="52"/>
      <c r="Z796" s="3" t="s">
        <v>61</v>
      </c>
      <c r="AA796" s="3" t="s">
        <v>1897</v>
      </c>
      <c r="AB796" s="3"/>
      <c r="AC796" s="3"/>
      <c r="AD796" s="3" t="s">
        <v>62</v>
      </c>
      <c r="AE796" s="3" t="s">
        <v>83</v>
      </c>
      <c r="AF796" s="3"/>
      <c r="AG796" s="3" t="s">
        <v>1898</v>
      </c>
      <c r="AH796" s="58">
        <v>100</v>
      </c>
      <c r="AI796" s="3"/>
      <c r="AJ796" s="3"/>
      <c r="AK796" s="3"/>
      <c r="AL796" s="3"/>
      <c r="AM796" s="3"/>
      <c r="AN796" s="3"/>
      <c r="AO796" s="3"/>
      <c r="AP796" s="3"/>
      <c r="AQ796" s="3"/>
      <c r="AR796" s="3"/>
      <c r="AS796" s="3"/>
      <c r="AT796" s="3"/>
      <c r="AU796" s="3"/>
      <c r="AV796" s="3"/>
      <c r="AW796" s="3"/>
      <c r="AX796" s="3"/>
      <c r="AY796" s="3"/>
      <c r="AZ796" s="4" t="s">
        <v>1895</v>
      </c>
      <c r="BA796" s="3"/>
      <c r="BB796" s="1"/>
      <c r="BC796" s="1"/>
    </row>
    <row r="797" spans="1:55" s="78" customFormat="1" ht="15" customHeight="1" x14ac:dyDescent="0.25">
      <c r="A797" s="52" t="s">
        <v>4806</v>
      </c>
      <c r="B797" s="34" t="s">
        <v>59</v>
      </c>
      <c r="C797" s="53">
        <v>2026</v>
      </c>
      <c r="D797" s="53">
        <v>2026</v>
      </c>
      <c r="E797" s="54" t="s">
        <v>3469</v>
      </c>
      <c r="F797" s="55" t="s">
        <v>50</v>
      </c>
      <c r="G797" s="55" t="s">
        <v>50</v>
      </c>
      <c r="H797" s="45" t="s">
        <v>1900</v>
      </c>
      <c r="I797" s="56" t="s">
        <v>52</v>
      </c>
      <c r="J797" s="56"/>
      <c r="K797" s="56" t="s">
        <v>87</v>
      </c>
      <c r="L797" s="55" t="str">
        <f>IF(K797="Mine or Quarry","Mine","")</f>
        <v/>
      </c>
      <c r="M797" s="55"/>
      <c r="N797" s="56"/>
      <c r="O797" s="56" t="s">
        <v>2988</v>
      </c>
      <c r="P797" s="56" t="s">
        <v>89</v>
      </c>
      <c r="Q797" s="56" t="s">
        <v>89</v>
      </c>
      <c r="R797" s="55"/>
      <c r="S797" s="56" t="s">
        <v>81</v>
      </c>
      <c r="T797" s="55" t="s">
        <v>58</v>
      </c>
      <c r="U797" s="57">
        <v>-999</v>
      </c>
      <c r="V797" s="57" t="s">
        <v>59</v>
      </c>
      <c r="W797" s="55" t="s">
        <v>2797</v>
      </c>
      <c r="X797" s="54" t="s">
        <v>4806</v>
      </c>
      <c r="Y797" s="52"/>
      <c r="Z797" s="1" t="s">
        <v>61</v>
      </c>
      <c r="AA797" s="1" t="s">
        <v>1901</v>
      </c>
      <c r="AB797" s="1"/>
      <c r="AC797" s="1"/>
      <c r="AD797" s="3" t="s">
        <v>62</v>
      </c>
      <c r="AE797" s="1" t="s">
        <v>184</v>
      </c>
      <c r="AF797" s="1" t="s">
        <v>1519</v>
      </c>
      <c r="AG797" s="1" t="s">
        <v>233</v>
      </c>
      <c r="AH797" s="2">
        <v>100</v>
      </c>
      <c r="AI797" s="1"/>
      <c r="AJ797" s="1"/>
      <c r="AK797" s="1"/>
      <c r="AL797" s="1"/>
      <c r="AM797" s="1"/>
      <c r="AN797" s="1"/>
      <c r="AO797" s="1"/>
      <c r="AP797" s="1"/>
      <c r="AQ797" s="1"/>
      <c r="AR797" s="1"/>
      <c r="AS797" s="1"/>
      <c r="AT797" s="1"/>
      <c r="AU797" s="1"/>
      <c r="AV797" s="1"/>
      <c r="AW797" s="1"/>
      <c r="AX797" s="1"/>
      <c r="AY797" s="1"/>
      <c r="AZ797" s="5" t="s">
        <v>1890</v>
      </c>
      <c r="BA797" s="5"/>
      <c r="BB797" s="1"/>
      <c r="BC797" s="1"/>
    </row>
    <row r="798" spans="1:55" s="78" customFormat="1" ht="15" customHeight="1" x14ac:dyDescent="0.25">
      <c r="A798" s="52" t="s">
        <v>4807</v>
      </c>
      <c r="B798" s="34" t="s">
        <v>59</v>
      </c>
      <c r="C798" s="53">
        <v>2026</v>
      </c>
      <c r="D798" s="53">
        <v>2026</v>
      </c>
      <c r="E798" s="54" t="s">
        <v>3470</v>
      </c>
      <c r="F798" s="55" t="s">
        <v>50</v>
      </c>
      <c r="G798" s="55" t="s">
        <v>50</v>
      </c>
      <c r="H798" s="45" t="s">
        <v>1902</v>
      </c>
      <c r="I798" s="56" t="s">
        <v>78</v>
      </c>
      <c r="J798" s="56"/>
      <c r="K798" s="56" t="s">
        <v>87</v>
      </c>
      <c r="L798" s="55" t="str">
        <f>IF(K798="Mine or Quarry","Mine","")</f>
        <v/>
      </c>
      <c r="M798" s="55"/>
      <c r="N798" s="56" t="s">
        <v>181</v>
      </c>
      <c r="O798" s="56" t="s">
        <v>370</v>
      </c>
      <c r="P798" s="56" t="s">
        <v>89</v>
      </c>
      <c r="Q798" s="56" t="s">
        <v>89</v>
      </c>
      <c r="R798" s="55"/>
      <c r="S798" s="56" t="s">
        <v>81</v>
      </c>
      <c r="T798" s="55" t="s">
        <v>81</v>
      </c>
      <c r="U798" s="57">
        <v>-999</v>
      </c>
      <c r="V798" s="57" t="s">
        <v>59</v>
      </c>
      <c r="W798" s="55" t="s">
        <v>2797</v>
      </c>
      <c r="X798" s="54" t="s">
        <v>4807</v>
      </c>
      <c r="Y798" s="52"/>
      <c r="Z798" s="1" t="s">
        <v>61</v>
      </c>
      <c r="AA798" s="1" t="s">
        <v>1901</v>
      </c>
      <c r="AB798" s="1"/>
      <c r="AC798" s="1"/>
      <c r="AD798" s="3" t="s">
        <v>62</v>
      </c>
      <c r="AE798" s="1" t="s">
        <v>184</v>
      </c>
      <c r="AF798" s="1" t="s">
        <v>1519</v>
      </c>
      <c r="AG798" s="1" t="s">
        <v>233</v>
      </c>
      <c r="AH798" s="2">
        <v>100</v>
      </c>
      <c r="AI798" s="1"/>
      <c r="AJ798" s="1"/>
      <c r="AK798" s="1"/>
      <c r="AL798" s="1"/>
      <c r="AM798" s="1"/>
      <c r="AN798" s="1"/>
      <c r="AO798" s="1"/>
      <c r="AP798" s="1"/>
      <c r="AQ798" s="1"/>
      <c r="AR798" s="1"/>
      <c r="AS798" s="1"/>
      <c r="AT798" s="1"/>
      <c r="AU798" s="1"/>
      <c r="AV798" s="1"/>
      <c r="AW798" s="1"/>
      <c r="AX798" s="1"/>
      <c r="AY798" s="1"/>
      <c r="AZ798" s="5" t="s">
        <v>1893</v>
      </c>
      <c r="BA798" s="5"/>
      <c r="BB798" s="1"/>
      <c r="BC798" s="1"/>
    </row>
    <row r="799" spans="1:55" s="78" customFormat="1" ht="15" customHeight="1" x14ac:dyDescent="0.25">
      <c r="A799" s="52" t="s">
        <v>4808</v>
      </c>
      <c r="B799" s="34" t="s">
        <v>59</v>
      </c>
      <c r="C799" s="53">
        <v>2026</v>
      </c>
      <c r="D799" s="53">
        <v>2026</v>
      </c>
      <c r="E799" s="54" t="s">
        <v>3471</v>
      </c>
      <c r="F799" s="55" t="s">
        <v>50</v>
      </c>
      <c r="G799" s="55" t="s">
        <v>50</v>
      </c>
      <c r="H799" s="45" t="s">
        <v>1904</v>
      </c>
      <c r="I799" s="56" t="s">
        <v>52</v>
      </c>
      <c r="J799" s="56"/>
      <c r="K799" s="56" t="s">
        <v>53</v>
      </c>
      <c r="L799" s="55" t="s">
        <v>54</v>
      </c>
      <c r="M799" s="55" t="s">
        <v>113</v>
      </c>
      <c r="N799" s="55" t="s">
        <v>327</v>
      </c>
      <c r="O799" s="56"/>
      <c r="P799" s="55" t="s">
        <v>56</v>
      </c>
      <c r="Q799" s="55" t="s">
        <v>57</v>
      </c>
      <c r="R799" s="55"/>
      <c r="S799" s="56" t="s">
        <v>81</v>
      </c>
      <c r="T799" s="55" t="str">
        <f>IF(ISNUMBER(SEARCH(",",N799)),"Y","N")</f>
        <v>N</v>
      </c>
      <c r="U799" s="57">
        <v>113000</v>
      </c>
      <c r="V799" s="57" t="s">
        <v>101</v>
      </c>
      <c r="W799" s="55" t="s">
        <v>2319</v>
      </c>
      <c r="X799" s="54" t="s">
        <v>4808</v>
      </c>
      <c r="Y799" s="52"/>
      <c r="Z799" s="1" t="s">
        <v>61</v>
      </c>
      <c r="AA799" s="1" t="s">
        <v>1905</v>
      </c>
      <c r="AB799" s="1"/>
      <c r="AC799" s="1"/>
      <c r="AD799" s="3" t="s">
        <v>62</v>
      </c>
      <c r="AE799" s="1" t="s">
        <v>221</v>
      </c>
      <c r="AF799" s="1" t="s">
        <v>1906</v>
      </c>
      <c r="AG799" s="1" t="s">
        <v>1907</v>
      </c>
      <c r="AH799" s="2">
        <v>100</v>
      </c>
      <c r="AI799" s="1"/>
      <c r="AJ799" s="1"/>
      <c r="AK799" s="1"/>
      <c r="AL799" s="1"/>
      <c r="AM799" s="1"/>
      <c r="AN799" s="1"/>
      <c r="AO799" s="1"/>
      <c r="AP799" s="1"/>
      <c r="AQ799" s="1"/>
      <c r="AR799" s="1"/>
      <c r="AS799" s="1"/>
      <c r="AT799" s="1"/>
      <c r="AU799" s="1"/>
      <c r="AV799" s="1"/>
      <c r="AW799" s="1"/>
      <c r="AX799" s="1"/>
      <c r="AY799" s="1"/>
      <c r="AZ799" s="4" t="s">
        <v>1903</v>
      </c>
      <c r="BA799" s="1"/>
      <c r="BB799" s="1"/>
      <c r="BC799" s="1"/>
    </row>
    <row r="800" spans="1:55" s="78" customFormat="1" ht="15" customHeight="1" x14ac:dyDescent="0.25">
      <c r="A800" s="52" t="s">
        <v>4809</v>
      </c>
      <c r="B800" s="34" t="s">
        <v>59</v>
      </c>
      <c r="C800" s="53">
        <v>2026</v>
      </c>
      <c r="D800" s="53">
        <v>2026</v>
      </c>
      <c r="E800" s="54" t="s">
        <v>3472</v>
      </c>
      <c r="F800" s="55" t="s">
        <v>50</v>
      </c>
      <c r="G800" s="55" t="s">
        <v>50</v>
      </c>
      <c r="H800" s="45" t="s">
        <v>1908</v>
      </c>
      <c r="I800" s="56" t="s">
        <v>52</v>
      </c>
      <c r="J800" s="56"/>
      <c r="K800" s="56" t="s">
        <v>204</v>
      </c>
      <c r="L800" s="55"/>
      <c r="M800" s="55"/>
      <c r="N800" s="56"/>
      <c r="O800" s="56"/>
      <c r="P800" s="55" t="s">
        <v>89</v>
      </c>
      <c r="Q800" s="55" t="s">
        <v>89</v>
      </c>
      <c r="R800" s="55"/>
      <c r="S800" s="56" t="s">
        <v>81</v>
      </c>
      <c r="T800" s="55" t="s">
        <v>81</v>
      </c>
      <c r="U800" s="57">
        <v>-999</v>
      </c>
      <c r="V800" s="57" t="s">
        <v>59</v>
      </c>
      <c r="W800" s="55" t="s">
        <v>2319</v>
      </c>
      <c r="X800" s="54" t="s">
        <v>4809</v>
      </c>
      <c r="Y800" s="52"/>
      <c r="Z800" s="2" t="s">
        <v>61</v>
      </c>
      <c r="AA800" s="1" t="s">
        <v>1909</v>
      </c>
      <c r="AB800" s="1"/>
      <c r="AC800" s="1"/>
      <c r="AD800" s="3" t="s">
        <v>62</v>
      </c>
      <c r="AE800" s="2" t="s">
        <v>206</v>
      </c>
      <c r="AF800" s="3" t="s">
        <v>765</v>
      </c>
      <c r="AG800" s="3" t="s">
        <v>766</v>
      </c>
      <c r="AH800" s="58"/>
      <c r="AI800" s="1"/>
      <c r="AJ800" s="1"/>
      <c r="AK800" s="1"/>
      <c r="AL800" s="1"/>
      <c r="AM800" s="1"/>
      <c r="AN800" s="1"/>
      <c r="AO800" s="1"/>
      <c r="AP800" s="1"/>
      <c r="AQ800" s="1"/>
      <c r="AR800" s="1"/>
      <c r="AS800" s="1"/>
      <c r="AT800" s="1"/>
      <c r="AU800" s="1"/>
      <c r="AV800" s="1"/>
      <c r="AW800" s="1"/>
      <c r="AX800" s="1"/>
      <c r="AY800" s="1"/>
      <c r="AZ800" s="4" t="s">
        <v>202</v>
      </c>
      <c r="BA800" s="1"/>
      <c r="BB800" s="1"/>
      <c r="BC800" s="1"/>
    </row>
    <row r="801" spans="1:55" s="78" customFormat="1" ht="15" customHeight="1" x14ac:dyDescent="0.25">
      <c r="A801" s="52" t="s">
        <v>4810</v>
      </c>
      <c r="B801" s="34" t="s">
        <v>59</v>
      </c>
      <c r="C801" s="53">
        <v>2026</v>
      </c>
      <c r="D801" s="53">
        <v>2026</v>
      </c>
      <c r="E801" s="54" t="s">
        <v>3473</v>
      </c>
      <c r="F801" s="55" t="s">
        <v>50</v>
      </c>
      <c r="G801" s="55" t="s">
        <v>50</v>
      </c>
      <c r="H801" s="45" t="s">
        <v>1910</v>
      </c>
      <c r="I801" s="45" t="s">
        <v>52</v>
      </c>
      <c r="J801" s="56"/>
      <c r="K801" s="55" t="s">
        <v>71</v>
      </c>
      <c r="L801" s="55" t="str">
        <f>IF(K801="Mine or Quarry","Mine","")</f>
        <v/>
      </c>
      <c r="M801" s="55"/>
      <c r="N801" s="55" t="s">
        <v>110</v>
      </c>
      <c r="O801" s="55"/>
      <c r="P801" s="55" t="s">
        <v>73</v>
      </c>
      <c r="Q801" s="55" t="s">
        <v>57</v>
      </c>
      <c r="R801" s="55"/>
      <c r="S801" s="56" t="s">
        <v>81</v>
      </c>
      <c r="T801" s="55" t="str">
        <f>IF(ISNUMBER(SEARCH(",",N801)),"Y","N")</f>
        <v>N</v>
      </c>
      <c r="U801" s="57">
        <v>0.32600000000000001</v>
      </c>
      <c r="V801" s="57" t="s">
        <v>101</v>
      </c>
      <c r="W801" s="55" t="s">
        <v>2319</v>
      </c>
      <c r="X801" s="54" t="s">
        <v>4810</v>
      </c>
      <c r="Y801" s="52"/>
      <c r="Z801" s="3" t="s">
        <v>61</v>
      </c>
      <c r="AA801" s="3" t="s">
        <v>621</v>
      </c>
      <c r="AB801" s="3"/>
      <c r="AC801" s="3"/>
      <c r="AD801" s="3" t="s">
        <v>62</v>
      </c>
      <c r="AE801" s="3" t="s">
        <v>336</v>
      </c>
      <c r="AF801" s="3" t="s">
        <v>1259</v>
      </c>
      <c r="AG801" s="3" t="s">
        <v>1259</v>
      </c>
      <c r="AH801" s="53">
        <v>65</v>
      </c>
      <c r="AI801" s="3" t="s">
        <v>1911</v>
      </c>
      <c r="AJ801" s="53">
        <v>35</v>
      </c>
      <c r="AK801" s="3"/>
      <c r="AL801" s="53"/>
      <c r="AM801" s="3"/>
      <c r="AN801" s="53"/>
      <c r="AO801" s="3"/>
      <c r="AP801" s="53"/>
      <c r="AQ801" s="3"/>
      <c r="AR801" s="53"/>
      <c r="AS801" s="3"/>
      <c r="AT801" s="53"/>
      <c r="AU801" s="3"/>
      <c r="AV801" s="53"/>
      <c r="AW801" s="3"/>
      <c r="AX801" s="53"/>
      <c r="AY801" s="3"/>
      <c r="AZ801" s="4" t="s">
        <v>3904</v>
      </c>
      <c r="BA801" s="3" t="s">
        <v>3905</v>
      </c>
      <c r="BB801" s="1"/>
      <c r="BC801" s="1"/>
    </row>
    <row r="802" spans="1:55" s="78" customFormat="1" ht="15" customHeight="1" x14ac:dyDescent="0.25">
      <c r="A802" s="52" t="s">
        <v>4811</v>
      </c>
      <c r="B802" s="34" t="s">
        <v>59</v>
      </c>
      <c r="C802" s="53">
        <v>2026</v>
      </c>
      <c r="D802" s="53">
        <v>2026</v>
      </c>
      <c r="E802" s="54" t="s">
        <v>3474</v>
      </c>
      <c r="F802" s="55" t="s">
        <v>50</v>
      </c>
      <c r="G802" s="55" t="s">
        <v>50</v>
      </c>
      <c r="H802" s="45" t="s">
        <v>3465</v>
      </c>
      <c r="I802" s="56" t="s">
        <v>52</v>
      </c>
      <c r="J802" s="56"/>
      <c r="K802" s="56" t="s">
        <v>140</v>
      </c>
      <c r="L802" s="55" t="s">
        <v>54</v>
      </c>
      <c r="M802" s="55"/>
      <c r="N802" s="34" t="s">
        <v>270</v>
      </c>
      <c r="O802" s="56"/>
      <c r="P802" s="55" t="s">
        <v>271</v>
      </c>
      <c r="Q802" s="55" t="s">
        <v>5353</v>
      </c>
      <c r="R802" s="55"/>
      <c r="S802" s="56" t="s">
        <v>81</v>
      </c>
      <c r="T802" s="55" t="str">
        <f>IF(ISNUMBER(SEARCH(",",N802)),"Y","N")</f>
        <v>N</v>
      </c>
      <c r="U802" s="57">
        <v>350000</v>
      </c>
      <c r="V802" s="57" t="s">
        <v>101</v>
      </c>
      <c r="W802" s="55"/>
      <c r="X802" s="54" t="s">
        <v>4811</v>
      </c>
      <c r="Y802" s="52"/>
      <c r="Z802" s="1" t="s">
        <v>61</v>
      </c>
      <c r="AA802" s="1" t="s">
        <v>1912</v>
      </c>
      <c r="AB802" s="1"/>
      <c r="AC802" s="1"/>
      <c r="AD802" s="3" t="s">
        <v>62</v>
      </c>
      <c r="AE802" s="1" t="s">
        <v>695</v>
      </c>
      <c r="AF802" s="1"/>
      <c r="AG802" s="3" t="s">
        <v>983</v>
      </c>
      <c r="AH802" s="58">
        <v>100</v>
      </c>
      <c r="AI802" s="1"/>
      <c r="AJ802" s="1"/>
      <c r="AK802" s="1"/>
      <c r="AL802" s="1"/>
      <c r="AM802" s="1"/>
      <c r="AN802" s="1"/>
      <c r="AO802" s="1"/>
      <c r="AP802" s="1"/>
      <c r="AQ802" s="1"/>
      <c r="AR802" s="1"/>
      <c r="AS802" s="1"/>
      <c r="AT802" s="1"/>
      <c r="AU802" s="1"/>
      <c r="AV802" s="1"/>
      <c r="AW802" s="1"/>
      <c r="AX802" s="1"/>
      <c r="AY802" s="1"/>
      <c r="AZ802" s="4" t="s">
        <v>139</v>
      </c>
      <c r="BA802" s="1"/>
      <c r="BB802" s="1"/>
      <c r="BC802" s="1"/>
    </row>
    <row r="803" spans="1:55" s="78" customFormat="1" ht="15" customHeight="1" x14ac:dyDescent="0.25">
      <c r="A803" s="52" t="s">
        <v>4812</v>
      </c>
      <c r="B803" s="34" t="s">
        <v>59</v>
      </c>
      <c r="C803" s="53">
        <v>2026</v>
      </c>
      <c r="D803" s="53">
        <v>2026</v>
      </c>
      <c r="E803" s="54" t="s">
        <v>3475</v>
      </c>
      <c r="F803" s="55" t="s">
        <v>50</v>
      </c>
      <c r="G803" s="55" t="s">
        <v>50</v>
      </c>
      <c r="H803" s="45" t="s">
        <v>1913</v>
      </c>
      <c r="I803" s="56" t="s">
        <v>52</v>
      </c>
      <c r="J803" s="56"/>
      <c r="K803" s="55" t="s">
        <v>135</v>
      </c>
      <c r="L803" s="55"/>
      <c r="M803" s="55"/>
      <c r="N803" s="55" t="s">
        <v>270</v>
      </c>
      <c r="O803" s="55"/>
      <c r="P803" s="55" t="s">
        <v>136</v>
      </c>
      <c r="Q803" s="55" t="s">
        <v>57</v>
      </c>
      <c r="R803" s="55"/>
      <c r="S803" s="56" t="s">
        <v>58</v>
      </c>
      <c r="T803" s="55" t="s">
        <v>81</v>
      </c>
      <c r="U803" s="57">
        <v>-999</v>
      </c>
      <c r="V803" s="57" t="s">
        <v>59</v>
      </c>
      <c r="W803" s="55" t="s">
        <v>2319</v>
      </c>
      <c r="X803" s="54" t="s">
        <v>4812</v>
      </c>
      <c r="Y803" s="52"/>
      <c r="Z803" s="3" t="s">
        <v>61</v>
      </c>
      <c r="AA803" s="3" t="s">
        <v>1912</v>
      </c>
      <c r="AB803" s="3"/>
      <c r="AC803" s="3"/>
      <c r="AD803" s="3" t="s">
        <v>62</v>
      </c>
      <c r="AE803" s="1" t="s">
        <v>695</v>
      </c>
      <c r="AF803" s="1"/>
      <c r="AG803" s="1" t="s">
        <v>343</v>
      </c>
      <c r="AH803" s="2">
        <v>100</v>
      </c>
      <c r="AI803" s="3"/>
      <c r="AJ803" s="3"/>
      <c r="AK803" s="3"/>
      <c r="AL803" s="3"/>
      <c r="AM803" s="3"/>
      <c r="AN803" s="3"/>
      <c r="AO803" s="3"/>
      <c r="AP803" s="3"/>
      <c r="AQ803" s="3"/>
      <c r="AR803" s="3"/>
      <c r="AS803" s="3"/>
      <c r="AT803" s="3"/>
      <c r="AU803" s="3"/>
      <c r="AV803" s="3"/>
      <c r="AW803" s="3"/>
      <c r="AX803" s="3"/>
      <c r="AY803" s="3"/>
      <c r="AZ803" s="4" t="s">
        <v>339</v>
      </c>
      <c r="BA803" s="3"/>
      <c r="BB803" s="1"/>
      <c r="BC803" s="1"/>
    </row>
    <row r="804" spans="1:55" s="78" customFormat="1" ht="15" customHeight="1" x14ac:dyDescent="0.25">
      <c r="A804" s="52" t="s">
        <v>4813</v>
      </c>
      <c r="B804" s="34" t="s">
        <v>59</v>
      </c>
      <c r="C804" s="53">
        <v>2026</v>
      </c>
      <c r="D804" s="53">
        <v>2026</v>
      </c>
      <c r="E804" s="54" t="s">
        <v>3476</v>
      </c>
      <c r="F804" s="55" t="s">
        <v>50</v>
      </c>
      <c r="G804" s="55" t="s">
        <v>50</v>
      </c>
      <c r="H804" s="45" t="s">
        <v>1914</v>
      </c>
      <c r="I804" s="56" t="s">
        <v>52</v>
      </c>
      <c r="J804" s="56" t="s">
        <v>316</v>
      </c>
      <c r="K804" s="56" t="s">
        <v>316</v>
      </c>
      <c r="L804" s="55" t="s">
        <v>317</v>
      </c>
      <c r="M804" s="55"/>
      <c r="N804" s="55" t="s">
        <v>55</v>
      </c>
      <c r="O804" s="56" t="s">
        <v>141</v>
      </c>
      <c r="P804" s="55" t="s">
        <v>318</v>
      </c>
      <c r="Q804" s="55" t="s">
        <v>57</v>
      </c>
      <c r="R804" s="55"/>
      <c r="S804" s="56" t="s">
        <v>81</v>
      </c>
      <c r="T804" s="55" t="str">
        <f>IF(ISNUMBER(SEARCH(",",N804)),"Y","N")</f>
        <v>N</v>
      </c>
      <c r="U804" s="57">
        <v>250000</v>
      </c>
      <c r="V804" s="57" t="s">
        <v>101</v>
      </c>
      <c r="W804" s="55" t="s">
        <v>2319</v>
      </c>
      <c r="X804" s="54" t="s">
        <v>4813</v>
      </c>
      <c r="Y804" s="52"/>
      <c r="Z804" s="2" t="s">
        <v>2005</v>
      </c>
      <c r="AA804" s="1" t="s">
        <v>1915</v>
      </c>
      <c r="AB804" s="1"/>
      <c r="AC804" s="1"/>
      <c r="AD804" s="3" t="s">
        <v>62</v>
      </c>
      <c r="AE804" s="2" t="s">
        <v>524</v>
      </c>
      <c r="AF804" s="2"/>
      <c r="AG804" s="3" t="s">
        <v>1916</v>
      </c>
      <c r="AH804" s="58">
        <v>100</v>
      </c>
      <c r="AI804" s="1"/>
      <c r="AJ804" s="1"/>
      <c r="AK804" s="1"/>
      <c r="AL804" s="1"/>
      <c r="AM804" s="1"/>
      <c r="AN804" s="1"/>
      <c r="AO804" s="1"/>
      <c r="AP804" s="1"/>
      <c r="AQ804" s="1"/>
      <c r="AR804" s="1"/>
      <c r="AS804" s="1"/>
      <c r="AT804" s="1"/>
      <c r="AU804" s="1"/>
      <c r="AV804" s="1"/>
      <c r="AW804" s="1"/>
      <c r="AX804" s="1"/>
      <c r="AY804" s="1"/>
      <c r="AZ804" s="4" t="s">
        <v>3888</v>
      </c>
      <c r="BA804" s="1" t="s">
        <v>3889</v>
      </c>
      <c r="BB804" s="1" t="s">
        <v>3906</v>
      </c>
      <c r="BC804" s="1"/>
    </row>
    <row r="805" spans="1:55" s="78" customFormat="1" ht="15" customHeight="1" x14ac:dyDescent="0.25">
      <c r="A805" s="52" t="s">
        <v>4814</v>
      </c>
      <c r="B805" s="34" t="s">
        <v>59</v>
      </c>
      <c r="C805" s="53">
        <v>2026</v>
      </c>
      <c r="D805" s="53">
        <v>2026</v>
      </c>
      <c r="E805" s="54" t="s">
        <v>3477</v>
      </c>
      <c r="F805" s="55" t="s">
        <v>50</v>
      </c>
      <c r="G805" s="55" t="s">
        <v>50</v>
      </c>
      <c r="H805" s="45" t="s">
        <v>1918</v>
      </c>
      <c r="I805" s="56" t="s">
        <v>52</v>
      </c>
      <c r="J805" s="56" t="s">
        <v>291</v>
      </c>
      <c r="K805" s="56" t="s">
        <v>291</v>
      </c>
      <c r="L805" s="55"/>
      <c r="M805" s="55"/>
      <c r="N805" s="56" t="s">
        <v>1919</v>
      </c>
      <c r="O805" s="56"/>
      <c r="P805" s="56" t="s">
        <v>293</v>
      </c>
      <c r="Q805" s="55" t="s">
        <v>57</v>
      </c>
      <c r="R805" s="55"/>
      <c r="S805" s="56" t="s">
        <v>81</v>
      </c>
      <c r="T805" s="55" t="str">
        <f>IF(ISNUMBER(SEARCH(",",N805)),"Y","N")</f>
        <v>N</v>
      </c>
      <c r="U805" s="57">
        <v>3000000</v>
      </c>
      <c r="V805" s="57" t="s">
        <v>101</v>
      </c>
      <c r="W805" s="55" t="s">
        <v>2319</v>
      </c>
      <c r="X805" s="54" t="s">
        <v>4814</v>
      </c>
      <c r="Y805" s="52"/>
      <c r="Z805" s="2" t="s">
        <v>61</v>
      </c>
      <c r="AA805" s="1" t="s">
        <v>1920</v>
      </c>
      <c r="AB805" s="1"/>
      <c r="AC805" s="1"/>
      <c r="AD805" s="3" t="s">
        <v>62</v>
      </c>
      <c r="AE805" s="2" t="s">
        <v>360</v>
      </c>
      <c r="AF805" s="2"/>
      <c r="AG805" s="3" t="s">
        <v>361</v>
      </c>
      <c r="AH805" s="58">
        <v>100</v>
      </c>
      <c r="AI805" s="1"/>
      <c r="AJ805" s="1"/>
      <c r="AK805" s="1"/>
      <c r="AL805" s="1"/>
      <c r="AM805" s="1"/>
      <c r="AN805" s="1"/>
      <c r="AO805" s="1"/>
      <c r="AP805" s="1"/>
      <c r="AQ805" s="1"/>
      <c r="AR805" s="1"/>
      <c r="AS805" s="1"/>
      <c r="AT805" s="1"/>
      <c r="AU805" s="1"/>
      <c r="AV805" s="1"/>
      <c r="AW805" s="1"/>
      <c r="AX805" s="1"/>
      <c r="AY805" s="1"/>
      <c r="AZ805" s="2" t="s">
        <v>1917</v>
      </c>
      <c r="BA805" s="1"/>
      <c r="BB805" s="1"/>
      <c r="BC805" s="1"/>
    </row>
    <row r="806" spans="1:55" s="78" customFormat="1" ht="15" customHeight="1" x14ac:dyDescent="0.25">
      <c r="A806" s="52" t="s">
        <v>4815</v>
      </c>
      <c r="B806" s="34" t="s">
        <v>59</v>
      </c>
      <c r="C806" s="53">
        <v>2026</v>
      </c>
      <c r="D806" s="53">
        <v>2026</v>
      </c>
      <c r="E806" s="54" t="s">
        <v>3478</v>
      </c>
      <c r="F806" s="55" t="s">
        <v>50</v>
      </c>
      <c r="G806" s="55" t="s">
        <v>50</v>
      </c>
      <c r="H806" s="45" t="s">
        <v>1922</v>
      </c>
      <c r="I806" s="56" t="s">
        <v>52</v>
      </c>
      <c r="J806" s="56" t="s">
        <v>551</v>
      </c>
      <c r="K806" s="55" t="s">
        <v>552</v>
      </c>
      <c r="L806" s="55" t="s">
        <v>54</v>
      </c>
      <c r="M806" s="55" t="s">
        <v>113</v>
      </c>
      <c r="N806" s="55" t="s">
        <v>55</v>
      </c>
      <c r="O806" s="55" t="s">
        <v>1188</v>
      </c>
      <c r="P806" s="55" t="s">
        <v>553</v>
      </c>
      <c r="Q806" s="55" t="s">
        <v>57</v>
      </c>
      <c r="R806" s="55"/>
      <c r="S806" s="56" t="s">
        <v>58</v>
      </c>
      <c r="T806" s="55" t="s">
        <v>58</v>
      </c>
      <c r="U806" s="57">
        <v>-999</v>
      </c>
      <c r="V806" s="57" t="s">
        <v>59</v>
      </c>
      <c r="W806" s="55" t="s">
        <v>2319</v>
      </c>
      <c r="X806" s="54" t="s">
        <v>4815</v>
      </c>
      <c r="Y806" s="52"/>
      <c r="Z806" s="3" t="s">
        <v>61</v>
      </c>
      <c r="AA806" s="3" t="s">
        <v>1923</v>
      </c>
      <c r="AB806" s="3"/>
      <c r="AC806" s="3"/>
      <c r="AD806" s="3" t="s">
        <v>62</v>
      </c>
      <c r="AE806" s="3" t="s">
        <v>91</v>
      </c>
      <c r="AF806" s="3"/>
      <c r="AG806" s="3" t="s">
        <v>1718</v>
      </c>
      <c r="AH806" s="58">
        <v>100</v>
      </c>
      <c r="AI806" s="3"/>
      <c r="AJ806" s="3"/>
      <c r="AK806" s="3"/>
      <c r="AL806" s="3"/>
      <c r="AM806" s="3"/>
      <c r="AN806" s="3"/>
      <c r="AO806" s="3"/>
      <c r="AP806" s="3"/>
      <c r="AQ806" s="3"/>
      <c r="AR806" s="3"/>
      <c r="AS806" s="3"/>
      <c r="AT806" s="3"/>
      <c r="AU806" s="3"/>
      <c r="AV806" s="3"/>
      <c r="AW806" s="3"/>
      <c r="AX806" s="3"/>
      <c r="AY806" s="3"/>
      <c r="AZ806" s="4" t="s">
        <v>1921</v>
      </c>
      <c r="BA806" s="3"/>
      <c r="BB806" s="1"/>
      <c r="BC806" s="1"/>
    </row>
    <row r="807" spans="1:55" s="78" customFormat="1" ht="15" customHeight="1" x14ac:dyDescent="0.25">
      <c r="A807" s="52" t="s">
        <v>4816</v>
      </c>
      <c r="B807" s="34" t="s">
        <v>59</v>
      </c>
      <c r="C807" s="53">
        <v>2026</v>
      </c>
      <c r="D807" s="53">
        <v>2026</v>
      </c>
      <c r="E807" s="54" t="s">
        <v>3478</v>
      </c>
      <c r="F807" s="55" t="s">
        <v>50</v>
      </c>
      <c r="G807" s="55" t="s">
        <v>50</v>
      </c>
      <c r="H807" s="45" t="s">
        <v>1922</v>
      </c>
      <c r="I807" s="56" t="s">
        <v>52</v>
      </c>
      <c r="J807" s="56" t="s">
        <v>551</v>
      </c>
      <c r="K807" s="55" t="s">
        <v>557</v>
      </c>
      <c r="L807" s="55"/>
      <c r="M807" s="55" t="s">
        <v>113</v>
      </c>
      <c r="N807" s="55" t="s">
        <v>55</v>
      </c>
      <c r="O807" s="55" t="s">
        <v>149</v>
      </c>
      <c r="P807" s="55" t="s">
        <v>559</v>
      </c>
      <c r="Q807" s="55" t="s">
        <v>57</v>
      </c>
      <c r="R807" s="55"/>
      <c r="S807" s="56" t="s">
        <v>58</v>
      </c>
      <c r="T807" s="55" t="s">
        <v>81</v>
      </c>
      <c r="U807" s="57">
        <v>-999</v>
      </c>
      <c r="V807" s="57" t="s">
        <v>59</v>
      </c>
      <c r="W807" s="55" t="s">
        <v>2319</v>
      </c>
      <c r="X807" s="54" t="s">
        <v>4816</v>
      </c>
      <c r="Y807" s="52"/>
      <c r="Z807" s="3" t="s">
        <v>61</v>
      </c>
      <c r="AA807" s="3" t="s">
        <v>1923</v>
      </c>
      <c r="AB807" s="3"/>
      <c r="AC807" s="3"/>
      <c r="AD807" s="3" t="s">
        <v>62</v>
      </c>
      <c r="AE807" s="3" t="s">
        <v>91</v>
      </c>
      <c r="AF807" s="3"/>
      <c r="AG807" s="3" t="s">
        <v>1718</v>
      </c>
      <c r="AH807" s="58">
        <v>100</v>
      </c>
      <c r="AI807" s="3"/>
      <c r="AJ807" s="3"/>
      <c r="AK807" s="3"/>
      <c r="AL807" s="3"/>
      <c r="AM807" s="3"/>
      <c r="AN807" s="3"/>
      <c r="AO807" s="3"/>
      <c r="AP807" s="3"/>
      <c r="AQ807" s="3"/>
      <c r="AR807" s="3"/>
      <c r="AS807" s="3"/>
      <c r="AT807" s="3"/>
      <c r="AU807" s="3"/>
      <c r="AV807" s="3"/>
      <c r="AW807" s="3"/>
      <c r="AX807" s="3"/>
      <c r="AY807" s="3"/>
      <c r="AZ807" s="4" t="s">
        <v>1924</v>
      </c>
      <c r="BA807" s="3"/>
      <c r="BB807" s="1"/>
      <c r="BC807" s="1"/>
    </row>
    <row r="808" spans="1:55" s="78" customFormat="1" ht="15" customHeight="1" x14ac:dyDescent="0.25">
      <c r="A808" s="52" t="s">
        <v>4817</v>
      </c>
      <c r="B808" s="34" t="s">
        <v>59</v>
      </c>
      <c r="C808" s="53">
        <v>2026</v>
      </c>
      <c r="D808" s="53">
        <v>2026</v>
      </c>
      <c r="E808" s="54" t="s">
        <v>3479</v>
      </c>
      <c r="F808" s="55" t="s">
        <v>50</v>
      </c>
      <c r="G808" s="55" t="s">
        <v>50</v>
      </c>
      <c r="H808" s="45" t="s">
        <v>1926</v>
      </c>
      <c r="I808" s="56" t="s">
        <v>78</v>
      </c>
      <c r="J808" s="56"/>
      <c r="K808" s="45" t="s">
        <v>180</v>
      </c>
      <c r="L808" s="55" t="str">
        <f>IF(K808="Mine or Quarry","Mine","")</f>
        <v/>
      </c>
      <c r="M808" s="55"/>
      <c r="N808" s="55" t="s">
        <v>181</v>
      </c>
      <c r="O808" s="55"/>
      <c r="P808" s="55" t="s">
        <v>182</v>
      </c>
      <c r="Q808" s="55" t="s">
        <v>5353</v>
      </c>
      <c r="R808" s="55"/>
      <c r="S808" s="56" t="s">
        <v>81</v>
      </c>
      <c r="T808" s="55" t="str">
        <f>IF(ISNUMBER(SEARCH(",",N808)),"Y","N")</f>
        <v>N</v>
      </c>
      <c r="U808" s="57">
        <v>3628</v>
      </c>
      <c r="V808" s="57" t="s">
        <v>101</v>
      </c>
      <c r="W808" s="55" t="s">
        <v>2797</v>
      </c>
      <c r="X808" s="54" t="s">
        <v>5335</v>
      </c>
      <c r="Y808" s="53"/>
      <c r="Z808" s="3" t="s">
        <v>2005</v>
      </c>
      <c r="AA808" s="3" t="s">
        <v>1927</v>
      </c>
      <c r="AB808" s="3"/>
      <c r="AC808" s="3"/>
      <c r="AD808" s="3" t="s">
        <v>62</v>
      </c>
      <c r="AE808" s="3" t="s">
        <v>387</v>
      </c>
      <c r="AF808" s="3"/>
      <c r="AG808" s="3" t="s">
        <v>618</v>
      </c>
      <c r="AH808" s="58">
        <v>100</v>
      </c>
      <c r="AI808" s="3"/>
      <c r="AJ808" s="53"/>
      <c r="AK808" s="3"/>
      <c r="AL808" s="3"/>
      <c r="AM808" s="3"/>
      <c r="AN808" s="3"/>
      <c r="AO808" s="3"/>
      <c r="AP808" s="3"/>
      <c r="AQ808" s="3"/>
      <c r="AR808" s="3"/>
      <c r="AS808" s="3"/>
      <c r="AT808" s="3"/>
      <c r="AU808" s="3"/>
      <c r="AV808" s="3"/>
      <c r="AW808" s="3"/>
      <c r="AX808" s="3"/>
      <c r="AY808" s="3"/>
      <c r="AZ808" s="4" t="s">
        <v>1925</v>
      </c>
      <c r="BA808" s="3"/>
      <c r="BB808" s="1"/>
      <c r="BC808" s="1"/>
    </row>
    <row r="809" spans="1:55" s="78" customFormat="1" ht="15" customHeight="1" x14ac:dyDescent="0.25">
      <c r="A809" s="52" t="s">
        <v>4818</v>
      </c>
      <c r="B809" s="34" t="s">
        <v>59</v>
      </c>
      <c r="C809" s="53">
        <v>2026</v>
      </c>
      <c r="D809" s="53">
        <v>2026</v>
      </c>
      <c r="E809" s="54" t="s">
        <v>3480</v>
      </c>
      <c r="F809" s="55" t="s">
        <v>50</v>
      </c>
      <c r="G809" s="55" t="s">
        <v>50</v>
      </c>
      <c r="H809" s="45" t="s">
        <v>5294</v>
      </c>
      <c r="I809" s="56" t="s">
        <v>52</v>
      </c>
      <c r="J809" s="56"/>
      <c r="K809" s="56" t="s">
        <v>140</v>
      </c>
      <c r="L809" s="55" t="s">
        <v>54</v>
      </c>
      <c r="M809" s="55"/>
      <c r="N809" s="55" t="s">
        <v>141</v>
      </c>
      <c r="O809" s="55"/>
      <c r="P809" s="55" t="s">
        <v>142</v>
      </c>
      <c r="Q809" s="55" t="s">
        <v>57</v>
      </c>
      <c r="R809" s="55"/>
      <c r="S809" s="56" t="s">
        <v>81</v>
      </c>
      <c r="T809" s="55" t="s">
        <v>81</v>
      </c>
      <c r="U809" s="57">
        <v>13600</v>
      </c>
      <c r="V809" s="57" t="s">
        <v>101</v>
      </c>
      <c r="W809" s="55" t="s">
        <v>2319</v>
      </c>
      <c r="X809" s="54" t="s">
        <v>4818</v>
      </c>
      <c r="Y809" s="52"/>
      <c r="Z809" s="1" t="s">
        <v>61</v>
      </c>
      <c r="AA809" s="3" t="s">
        <v>1928</v>
      </c>
      <c r="AB809" s="3"/>
      <c r="AC809" s="3"/>
      <c r="AD809" s="3" t="s">
        <v>62</v>
      </c>
      <c r="AE809" s="1" t="s">
        <v>115</v>
      </c>
      <c r="AF809" s="1"/>
      <c r="AG809" s="3" t="s">
        <v>706</v>
      </c>
      <c r="AH809" s="2">
        <v>100</v>
      </c>
      <c r="AI809" s="3"/>
      <c r="AJ809" s="3"/>
      <c r="AK809" s="3"/>
      <c r="AL809" s="3"/>
      <c r="AM809" s="3"/>
      <c r="AN809" s="3"/>
      <c r="AO809" s="3"/>
      <c r="AP809" s="3"/>
      <c r="AQ809" s="3"/>
      <c r="AR809" s="3"/>
      <c r="AS809" s="3"/>
      <c r="AT809" s="3"/>
      <c r="AU809" s="3"/>
      <c r="AV809" s="3"/>
      <c r="AW809" s="3"/>
      <c r="AX809" s="3"/>
      <c r="AY809" s="3"/>
      <c r="AZ809" s="4" t="s">
        <v>139</v>
      </c>
      <c r="BA809" s="3"/>
      <c r="BB809" s="1"/>
      <c r="BC809" s="1"/>
    </row>
    <row r="810" spans="1:55" s="78" customFormat="1" ht="15" customHeight="1" x14ac:dyDescent="0.25">
      <c r="A810" s="52" t="s">
        <v>4819</v>
      </c>
      <c r="B810" s="34" t="s">
        <v>59</v>
      </c>
      <c r="C810" s="53">
        <v>2026</v>
      </c>
      <c r="D810" s="53">
        <v>2026</v>
      </c>
      <c r="E810" s="54" t="s">
        <v>3481</v>
      </c>
      <c r="F810" s="55" t="s">
        <v>50</v>
      </c>
      <c r="G810" s="55" t="s">
        <v>50</v>
      </c>
      <c r="H810" s="45" t="s">
        <v>1930</v>
      </c>
      <c r="I810" s="56" t="s">
        <v>78</v>
      </c>
      <c r="J810" s="56"/>
      <c r="K810" s="56" t="s">
        <v>74</v>
      </c>
      <c r="L810" s="55" t="s">
        <v>88</v>
      </c>
      <c r="M810" s="55"/>
      <c r="N810" s="55" t="s">
        <v>110</v>
      </c>
      <c r="O810" s="55"/>
      <c r="P810" s="55" t="s">
        <v>75</v>
      </c>
      <c r="Q810" s="55" t="s">
        <v>57</v>
      </c>
      <c r="R810" s="55"/>
      <c r="S810" s="56" t="s">
        <v>58</v>
      </c>
      <c r="T810" s="55" t="s">
        <v>81</v>
      </c>
      <c r="U810" s="57">
        <v>-999</v>
      </c>
      <c r="V810" s="57" t="s">
        <v>59</v>
      </c>
      <c r="W810" s="55"/>
      <c r="X810" s="54" t="s">
        <v>4819</v>
      </c>
      <c r="Y810" s="52"/>
      <c r="Z810" s="1" t="s">
        <v>61</v>
      </c>
      <c r="AA810" s="1" t="s">
        <v>1931</v>
      </c>
      <c r="AB810" s="1"/>
      <c r="AC810" s="1"/>
      <c r="AD810" s="3" t="s">
        <v>62</v>
      </c>
      <c r="AE810" s="1" t="s">
        <v>519</v>
      </c>
      <c r="AF810" s="1"/>
      <c r="AG810" s="3" t="s">
        <v>1932</v>
      </c>
      <c r="AH810" s="2">
        <v>100</v>
      </c>
      <c r="AI810" s="3"/>
      <c r="AJ810" s="3"/>
      <c r="AK810" s="3"/>
      <c r="AL810" s="3"/>
      <c r="AM810" s="3"/>
      <c r="AN810" s="3"/>
      <c r="AO810" s="3"/>
      <c r="AP810" s="3"/>
      <c r="AQ810" s="3"/>
      <c r="AR810" s="3"/>
      <c r="AS810" s="3"/>
      <c r="AT810" s="3"/>
      <c r="AU810" s="3"/>
      <c r="AV810" s="3"/>
      <c r="AW810" s="3"/>
      <c r="AX810" s="3"/>
      <c r="AY810" s="3"/>
      <c r="AZ810" s="4" t="s">
        <v>1929</v>
      </c>
      <c r="BA810" s="3"/>
      <c r="BB810" s="1"/>
      <c r="BC810" s="1"/>
    </row>
    <row r="811" spans="1:55" s="78" customFormat="1" ht="15" customHeight="1" x14ac:dyDescent="0.25">
      <c r="A811" s="52" t="s">
        <v>4820</v>
      </c>
      <c r="B811" s="34" t="s">
        <v>59</v>
      </c>
      <c r="C811" s="53">
        <v>2026</v>
      </c>
      <c r="D811" s="53">
        <v>2026</v>
      </c>
      <c r="E811" s="54" t="s">
        <v>3481</v>
      </c>
      <c r="F811" s="55" t="s">
        <v>50</v>
      </c>
      <c r="G811" s="55" t="s">
        <v>50</v>
      </c>
      <c r="H811" s="45" t="s">
        <v>1930</v>
      </c>
      <c r="I811" s="56" t="s">
        <v>78</v>
      </c>
      <c r="J811" s="56"/>
      <c r="K811" s="56" t="s">
        <v>71</v>
      </c>
      <c r="L811" s="55" t="s">
        <v>88</v>
      </c>
      <c r="M811" s="55"/>
      <c r="N811" s="55" t="s">
        <v>110</v>
      </c>
      <c r="O811" s="56"/>
      <c r="P811" s="55" t="s">
        <v>73</v>
      </c>
      <c r="Q811" s="55" t="s">
        <v>57</v>
      </c>
      <c r="R811" s="55"/>
      <c r="S811" s="56" t="s">
        <v>58</v>
      </c>
      <c r="T811" s="55" t="str">
        <f>IF(ISNUMBER(SEARCH(",",N811)),"Y","N")</f>
        <v>N</v>
      </c>
      <c r="U811" s="57">
        <v>1.2929999999999999</v>
      </c>
      <c r="V811" s="57" t="s">
        <v>101</v>
      </c>
      <c r="W811" s="55"/>
      <c r="X811" s="54" t="s">
        <v>4820</v>
      </c>
      <c r="Y811" s="52"/>
      <c r="Z811" s="2" t="s">
        <v>2005</v>
      </c>
      <c r="AA811" s="1" t="s">
        <v>1931</v>
      </c>
      <c r="AB811" s="1"/>
      <c r="AC811" s="1"/>
      <c r="AD811" s="3" t="s">
        <v>62</v>
      </c>
      <c r="AE811" s="2" t="s">
        <v>519</v>
      </c>
      <c r="AF811" s="2"/>
      <c r="AG811" s="3" t="s">
        <v>1932</v>
      </c>
      <c r="AH811" s="58">
        <v>100</v>
      </c>
      <c r="AI811" s="1"/>
      <c r="AJ811" s="1"/>
      <c r="AK811" s="1"/>
      <c r="AL811" s="1"/>
      <c r="AM811" s="1"/>
      <c r="AN811" s="1"/>
      <c r="AO811" s="1"/>
      <c r="AP811" s="1"/>
      <c r="AQ811" s="1"/>
      <c r="AR811" s="1"/>
      <c r="AS811" s="1"/>
      <c r="AT811" s="1"/>
      <c r="AU811" s="1"/>
      <c r="AV811" s="1"/>
      <c r="AW811" s="1"/>
      <c r="AX811" s="1"/>
      <c r="AY811" s="1"/>
      <c r="AZ811" s="4" t="s">
        <v>1929</v>
      </c>
      <c r="BA811" s="4"/>
      <c r="BB811" s="1"/>
      <c r="BC811" s="1"/>
    </row>
    <row r="812" spans="1:55" s="78" customFormat="1" ht="15" customHeight="1" x14ac:dyDescent="0.25">
      <c r="A812" s="52" t="s">
        <v>4821</v>
      </c>
      <c r="B812" s="34" t="s">
        <v>59</v>
      </c>
      <c r="C812" s="53">
        <v>2026</v>
      </c>
      <c r="D812" s="53">
        <v>2026</v>
      </c>
      <c r="E812" s="54" t="s">
        <v>3482</v>
      </c>
      <c r="F812" s="55" t="s">
        <v>50</v>
      </c>
      <c r="G812" s="55" t="s">
        <v>50</v>
      </c>
      <c r="H812" s="45" t="s">
        <v>1933</v>
      </c>
      <c r="I812" s="45" t="s">
        <v>52</v>
      </c>
      <c r="J812" s="56"/>
      <c r="K812" s="55" t="s">
        <v>74</v>
      </c>
      <c r="L812" s="55"/>
      <c r="M812" s="55"/>
      <c r="N812" s="55" t="s">
        <v>110</v>
      </c>
      <c r="O812" s="56" t="s">
        <v>296</v>
      </c>
      <c r="P812" s="55" t="s">
        <v>75</v>
      </c>
      <c r="Q812" s="56" t="s">
        <v>57</v>
      </c>
      <c r="R812" s="55"/>
      <c r="S812" s="56" t="s">
        <v>58</v>
      </c>
      <c r="T812" s="55" t="s">
        <v>81</v>
      </c>
      <c r="U812" s="57">
        <v>-999</v>
      </c>
      <c r="V812" s="57" t="s">
        <v>59</v>
      </c>
      <c r="W812" s="55"/>
      <c r="X812" s="54" t="s">
        <v>4821</v>
      </c>
      <c r="Y812" s="52"/>
      <c r="Z812" s="2" t="s">
        <v>2005</v>
      </c>
      <c r="AA812" s="1" t="s">
        <v>1931</v>
      </c>
      <c r="AB812" s="1"/>
      <c r="AC812" s="1"/>
      <c r="AD812" s="3" t="s">
        <v>62</v>
      </c>
      <c r="AE812" s="3" t="s">
        <v>519</v>
      </c>
      <c r="AF812" s="3"/>
      <c r="AG812" s="3" t="s">
        <v>1932</v>
      </c>
      <c r="AH812" s="58">
        <v>100</v>
      </c>
      <c r="AI812" s="1"/>
      <c r="AJ812" s="3"/>
      <c r="AK812" s="3"/>
      <c r="AL812" s="3"/>
      <c r="AM812" s="3"/>
      <c r="AN812" s="3"/>
      <c r="AO812" s="3"/>
      <c r="AP812" s="3"/>
      <c r="AQ812" s="3"/>
      <c r="AR812" s="3"/>
      <c r="AS812" s="3"/>
      <c r="AT812" s="3"/>
      <c r="AU812" s="3"/>
      <c r="AV812" s="3"/>
      <c r="AW812" s="3"/>
      <c r="AX812" s="3"/>
      <c r="AY812" s="3"/>
      <c r="AZ812" s="4" t="s">
        <v>1934</v>
      </c>
      <c r="BA812" s="3" t="s">
        <v>3907</v>
      </c>
      <c r="BB812" s="1"/>
      <c r="BC812" s="1"/>
    </row>
    <row r="813" spans="1:55" s="78" customFormat="1" ht="15" customHeight="1" x14ac:dyDescent="0.25">
      <c r="A813" s="52" t="s">
        <v>4822</v>
      </c>
      <c r="B813" s="34" t="s">
        <v>59</v>
      </c>
      <c r="C813" s="53">
        <v>2026</v>
      </c>
      <c r="D813" s="53">
        <v>2026</v>
      </c>
      <c r="E813" s="54" t="s">
        <v>3482</v>
      </c>
      <c r="F813" s="55" t="s">
        <v>50</v>
      </c>
      <c r="G813" s="55" t="s">
        <v>50</v>
      </c>
      <c r="H813" s="45" t="s">
        <v>1933</v>
      </c>
      <c r="I813" s="45" t="s">
        <v>52</v>
      </c>
      <c r="J813" s="56"/>
      <c r="K813" s="55" t="s">
        <v>71</v>
      </c>
      <c r="L813" s="55"/>
      <c r="M813" s="55"/>
      <c r="N813" s="55" t="s">
        <v>110</v>
      </c>
      <c r="O813" s="45" t="s">
        <v>296</v>
      </c>
      <c r="P813" s="55" t="s">
        <v>73</v>
      </c>
      <c r="Q813" s="55" t="s">
        <v>57</v>
      </c>
      <c r="R813" s="55"/>
      <c r="S813" s="56" t="s">
        <v>58</v>
      </c>
      <c r="T813" s="55" t="s">
        <v>81</v>
      </c>
      <c r="U813" s="57">
        <v>1.2929999999999999</v>
      </c>
      <c r="V813" s="57" t="s">
        <v>101</v>
      </c>
      <c r="W813" s="55"/>
      <c r="X813" s="54" t="s">
        <v>4822</v>
      </c>
      <c r="Y813" s="52"/>
      <c r="Z813" s="2" t="s">
        <v>2005</v>
      </c>
      <c r="AA813" s="1" t="s">
        <v>1931</v>
      </c>
      <c r="AB813" s="1"/>
      <c r="AC813" s="1"/>
      <c r="AD813" s="3" t="s">
        <v>62</v>
      </c>
      <c r="AE813" s="3" t="s">
        <v>519</v>
      </c>
      <c r="AF813" s="3"/>
      <c r="AG813" s="3" t="s">
        <v>1932</v>
      </c>
      <c r="AH813" s="58">
        <v>100</v>
      </c>
      <c r="AI813" s="3"/>
      <c r="AJ813" s="3"/>
      <c r="AK813" s="3"/>
      <c r="AL813" s="3"/>
      <c r="AM813" s="3"/>
      <c r="AN813" s="3"/>
      <c r="AO813" s="3"/>
      <c r="AP813" s="3"/>
      <c r="AQ813" s="3"/>
      <c r="AR813" s="3"/>
      <c r="AS813" s="3"/>
      <c r="AT813" s="3"/>
      <c r="AU813" s="3"/>
      <c r="AV813" s="3"/>
      <c r="AW813" s="3"/>
      <c r="AX813" s="3"/>
      <c r="AY813" s="3"/>
      <c r="AZ813" s="4" t="s">
        <v>1934</v>
      </c>
      <c r="BA813" s="3"/>
      <c r="BB813" s="1"/>
      <c r="BC813" s="1"/>
    </row>
    <row r="814" spans="1:55" s="78" customFormat="1" ht="15" customHeight="1" x14ac:dyDescent="0.25">
      <c r="A814" s="52" t="s">
        <v>4823</v>
      </c>
      <c r="B814" s="34" t="s">
        <v>59</v>
      </c>
      <c r="C814" s="53">
        <v>2026</v>
      </c>
      <c r="D814" s="53">
        <v>2026</v>
      </c>
      <c r="E814" s="54" t="s">
        <v>3483</v>
      </c>
      <c r="F814" s="55" t="s">
        <v>50</v>
      </c>
      <c r="G814" s="55" t="s">
        <v>50</v>
      </c>
      <c r="H814" s="45" t="s">
        <v>1935</v>
      </c>
      <c r="I814" s="56" t="s">
        <v>52</v>
      </c>
      <c r="J814" s="56"/>
      <c r="K814" s="45" t="s">
        <v>285</v>
      </c>
      <c r="L814" s="55" t="str">
        <f>IF(K814="Mine or Quarry","Mine","")</f>
        <v/>
      </c>
      <c r="M814" s="55"/>
      <c r="N814" s="56" t="s">
        <v>286</v>
      </c>
      <c r="O814" s="56"/>
      <c r="P814" s="55" t="s">
        <v>89</v>
      </c>
      <c r="Q814" s="55" t="s">
        <v>89</v>
      </c>
      <c r="R814" s="55"/>
      <c r="S814" s="56" t="s">
        <v>58</v>
      </c>
      <c r="T814" s="55" t="str">
        <f>IF(ISNUMBER(SEARCH(",",N814)),"Y","N")</f>
        <v>N</v>
      </c>
      <c r="U814" s="57">
        <v>-999</v>
      </c>
      <c r="V814" s="57" t="s">
        <v>59</v>
      </c>
      <c r="W814" s="55" t="s">
        <v>2319</v>
      </c>
      <c r="X814" s="54" t="s">
        <v>4823</v>
      </c>
      <c r="Y814" s="52"/>
      <c r="Z814" s="1" t="s">
        <v>61</v>
      </c>
      <c r="AA814" s="1" t="s">
        <v>1936</v>
      </c>
      <c r="AB814" s="1"/>
      <c r="AC814" s="1"/>
      <c r="AD814" s="3" t="s">
        <v>62</v>
      </c>
      <c r="AE814" s="1" t="s">
        <v>184</v>
      </c>
      <c r="AF814" s="1"/>
      <c r="AG814" s="1" t="s">
        <v>1937</v>
      </c>
      <c r="AH814" s="1"/>
      <c r="AI814" s="1"/>
      <c r="AJ814" s="1"/>
      <c r="AK814" s="1"/>
      <c r="AL814" s="1"/>
      <c r="AM814" s="1"/>
      <c r="AN814" s="1"/>
      <c r="AO814" s="1"/>
      <c r="AP814" s="1"/>
      <c r="AQ814" s="1"/>
      <c r="AR814" s="1"/>
      <c r="AS814" s="1"/>
      <c r="AT814" s="1"/>
      <c r="AU814" s="1"/>
      <c r="AV814" s="1"/>
      <c r="AW814" s="1"/>
      <c r="AX814" s="1"/>
      <c r="AY814" s="1"/>
      <c r="AZ814" s="1" t="s">
        <v>284</v>
      </c>
      <c r="BA814" s="1"/>
      <c r="BB814" s="1"/>
      <c r="BC814" s="1"/>
    </row>
    <row r="815" spans="1:55" s="78" customFormat="1" ht="15" customHeight="1" x14ac:dyDescent="0.25">
      <c r="A815" s="52" t="s">
        <v>4824</v>
      </c>
      <c r="B815" s="34" t="s">
        <v>59</v>
      </c>
      <c r="C815" s="53">
        <v>2026</v>
      </c>
      <c r="D815" s="53">
        <v>2026</v>
      </c>
      <c r="E815" s="54" t="s">
        <v>3484</v>
      </c>
      <c r="F815" s="55" t="s">
        <v>50</v>
      </c>
      <c r="G815" s="55" t="s">
        <v>50</v>
      </c>
      <c r="H815" s="45" t="s">
        <v>1939</v>
      </c>
      <c r="I815" s="56" t="s">
        <v>52</v>
      </c>
      <c r="J815" s="45" t="s">
        <v>65</v>
      </c>
      <c r="K815" s="55" t="s">
        <v>68</v>
      </c>
      <c r="L815" s="55" t="s">
        <v>54</v>
      </c>
      <c r="M815" s="55" t="s">
        <v>113</v>
      </c>
      <c r="N815" s="56" t="s">
        <v>55</v>
      </c>
      <c r="O815" s="56"/>
      <c r="P815" s="56" t="s">
        <v>69</v>
      </c>
      <c r="Q815" s="55" t="s">
        <v>57</v>
      </c>
      <c r="R815" s="55"/>
      <c r="S815" s="56" t="s">
        <v>58</v>
      </c>
      <c r="T815" s="55" t="s">
        <v>81</v>
      </c>
      <c r="U815" s="57">
        <v>-999</v>
      </c>
      <c r="V815" s="57" t="s">
        <v>59</v>
      </c>
      <c r="W815" s="55" t="s">
        <v>2319</v>
      </c>
      <c r="X815" s="54" t="s">
        <v>4824</v>
      </c>
      <c r="Y815" s="52"/>
      <c r="Z815" s="1" t="s">
        <v>61</v>
      </c>
      <c r="AA815" s="2" t="s">
        <v>1940</v>
      </c>
      <c r="AB815" s="2"/>
      <c r="AC815" s="2"/>
      <c r="AD815" s="3" t="s">
        <v>62</v>
      </c>
      <c r="AE815" s="3" t="s">
        <v>91</v>
      </c>
      <c r="AF815" s="1" t="s">
        <v>1941</v>
      </c>
      <c r="AG815" s="1" t="s">
        <v>1942</v>
      </c>
      <c r="AH815" s="2">
        <v>100</v>
      </c>
      <c r="AI815" s="1"/>
      <c r="AJ815" s="1"/>
      <c r="AK815" s="1"/>
      <c r="AL815" s="1"/>
      <c r="AM815" s="1"/>
      <c r="AN815" s="1"/>
      <c r="AO815" s="1"/>
      <c r="AP815" s="1"/>
      <c r="AQ815" s="1"/>
      <c r="AR815" s="1"/>
      <c r="AS815" s="1"/>
      <c r="AT815" s="1"/>
      <c r="AU815" s="1"/>
      <c r="AV815" s="1"/>
      <c r="AW815" s="1"/>
      <c r="AX815" s="1"/>
      <c r="AY815" s="1"/>
      <c r="AZ815" s="4" t="s">
        <v>1938</v>
      </c>
      <c r="BA815" s="1"/>
      <c r="BB815" s="1"/>
      <c r="BC815" s="1"/>
    </row>
    <row r="816" spans="1:55" s="78" customFormat="1" ht="15" customHeight="1" x14ac:dyDescent="0.25">
      <c r="A816" s="52" t="s">
        <v>4825</v>
      </c>
      <c r="B816" s="34" t="s">
        <v>59</v>
      </c>
      <c r="C816" s="53">
        <v>2026</v>
      </c>
      <c r="D816" s="53">
        <v>2026</v>
      </c>
      <c r="E816" s="54" t="s">
        <v>3484</v>
      </c>
      <c r="F816" s="55" t="s">
        <v>50</v>
      </c>
      <c r="G816" s="55" t="s">
        <v>50</v>
      </c>
      <c r="H816" s="45" t="s">
        <v>1939</v>
      </c>
      <c r="I816" s="56" t="s">
        <v>52</v>
      </c>
      <c r="J816" s="45" t="s">
        <v>65</v>
      </c>
      <c r="K816" s="55" t="s">
        <v>66</v>
      </c>
      <c r="L816" s="55" t="s">
        <v>54</v>
      </c>
      <c r="M816" s="55" t="s">
        <v>113</v>
      </c>
      <c r="N816" s="56"/>
      <c r="O816" s="56"/>
      <c r="P816" s="56" t="s">
        <v>67</v>
      </c>
      <c r="Q816" s="55" t="s">
        <v>57</v>
      </c>
      <c r="R816" s="55"/>
      <c r="S816" s="56" t="s">
        <v>58</v>
      </c>
      <c r="T816" s="55" t="str">
        <f>IF(ISNUMBER(SEARCH(",",N816)),"Y","N")</f>
        <v>N</v>
      </c>
      <c r="U816" s="57">
        <v>-999</v>
      </c>
      <c r="V816" s="57" t="s">
        <v>59</v>
      </c>
      <c r="W816" s="55" t="s">
        <v>2319</v>
      </c>
      <c r="X816" s="54" t="s">
        <v>4825</v>
      </c>
      <c r="Y816" s="52"/>
      <c r="Z816" s="1" t="s">
        <v>61</v>
      </c>
      <c r="AA816" s="2" t="s">
        <v>1940</v>
      </c>
      <c r="AB816" s="2"/>
      <c r="AC816" s="2"/>
      <c r="AD816" s="3" t="s">
        <v>62</v>
      </c>
      <c r="AE816" s="3" t="s">
        <v>91</v>
      </c>
      <c r="AF816" s="1" t="s">
        <v>1941</v>
      </c>
      <c r="AG816" s="1" t="s">
        <v>1942</v>
      </c>
      <c r="AH816" s="2">
        <v>100</v>
      </c>
      <c r="AI816" s="1"/>
      <c r="AJ816" s="1"/>
      <c r="AK816" s="1"/>
      <c r="AL816" s="1"/>
      <c r="AM816" s="1"/>
      <c r="AN816" s="1"/>
      <c r="AO816" s="1"/>
      <c r="AP816" s="1"/>
      <c r="AQ816" s="1"/>
      <c r="AR816" s="1"/>
      <c r="AS816" s="1"/>
      <c r="AT816" s="1"/>
      <c r="AU816" s="1"/>
      <c r="AV816" s="1"/>
      <c r="AW816" s="1"/>
      <c r="AX816" s="1"/>
      <c r="AY816" s="1"/>
      <c r="AZ816" s="4" t="s">
        <v>1938</v>
      </c>
      <c r="BA816" s="1"/>
      <c r="BB816" s="1"/>
      <c r="BC816" s="1"/>
    </row>
    <row r="817" spans="1:55" s="78" customFormat="1" ht="15" customHeight="1" x14ac:dyDescent="0.25">
      <c r="A817" s="52" t="s">
        <v>4826</v>
      </c>
      <c r="B817" s="34" t="s">
        <v>59</v>
      </c>
      <c r="C817" s="53">
        <v>2026</v>
      </c>
      <c r="D817" s="53">
        <v>2026</v>
      </c>
      <c r="E817" s="54" t="s">
        <v>3484</v>
      </c>
      <c r="F817" s="55" t="s">
        <v>50</v>
      </c>
      <c r="G817" s="55" t="s">
        <v>50</v>
      </c>
      <c r="H817" s="45" t="s">
        <v>1939</v>
      </c>
      <c r="I817" s="45" t="s">
        <v>52</v>
      </c>
      <c r="J817" s="56"/>
      <c r="K817" s="55" t="s">
        <v>71</v>
      </c>
      <c r="L817" s="55" t="str">
        <f>IF(K817="Mine or Quarry","Mine","")</f>
        <v/>
      </c>
      <c r="M817" s="55"/>
      <c r="N817" s="55" t="s">
        <v>55</v>
      </c>
      <c r="O817" s="55" t="s">
        <v>249</v>
      </c>
      <c r="P817" s="55" t="s">
        <v>73</v>
      </c>
      <c r="Q817" s="55" t="s">
        <v>57</v>
      </c>
      <c r="R817" s="55"/>
      <c r="S817" s="56" t="s">
        <v>58</v>
      </c>
      <c r="T817" s="55" t="str">
        <f>IF(ISNUMBER(SEARCH(",",N817)),"Y","N")</f>
        <v>N</v>
      </c>
      <c r="U817" s="57">
        <v>150000</v>
      </c>
      <c r="V817" s="57" t="s">
        <v>101</v>
      </c>
      <c r="W817" s="55" t="s">
        <v>2319</v>
      </c>
      <c r="X817" s="54" t="s">
        <v>4826</v>
      </c>
      <c r="Y817" s="52"/>
      <c r="Z817" s="3" t="s">
        <v>61</v>
      </c>
      <c r="AA817" s="2" t="s">
        <v>1940</v>
      </c>
      <c r="AB817" s="2"/>
      <c r="AC817" s="2"/>
      <c r="AD817" s="3" t="s">
        <v>62</v>
      </c>
      <c r="AE817" s="3" t="s">
        <v>91</v>
      </c>
      <c r="AF817" s="1" t="s">
        <v>1941</v>
      </c>
      <c r="AG817" s="1" t="s">
        <v>1942</v>
      </c>
      <c r="AH817" s="58">
        <v>100</v>
      </c>
      <c r="AI817" s="3"/>
      <c r="AJ817" s="3"/>
      <c r="AK817" s="3"/>
      <c r="AL817" s="3"/>
      <c r="AM817" s="3"/>
      <c r="AN817" s="3"/>
      <c r="AO817" s="3"/>
      <c r="AP817" s="3"/>
      <c r="AQ817" s="3"/>
      <c r="AR817" s="3"/>
      <c r="AS817" s="3"/>
      <c r="AT817" s="3"/>
      <c r="AU817" s="3"/>
      <c r="AV817" s="3"/>
      <c r="AW817" s="3"/>
      <c r="AX817" s="3"/>
      <c r="AY817" s="3"/>
      <c r="AZ817" s="4" t="s">
        <v>1943</v>
      </c>
      <c r="BA817" s="3"/>
      <c r="BB817" s="1"/>
      <c r="BC817" s="1"/>
    </row>
    <row r="818" spans="1:55" s="78" customFormat="1" ht="15" customHeight="1" x14ac:dyDescent="0.25">
      <c r="A818" s="52" t="s">
        <v>4827</v>
      </c>
      <c r="B818" s="34" t="s">
        <v>59</v>
      </c>
      <c r="C818" s="53">
        <v>2026</v>
      </c>
      <c r="D818" s="53">
        <v>2026</v>
      </c>
      <c r="E818" s="54" t="s">
        <v>3485</v>
      </c>
      <c r="F818" s="55" t="s">
        <v>50</v>
      </c>
      <c r="G818" s="55" t="s">
        <v>50</v>
      </c>
      <c r="H818" s="45" t="s">
        <v>1945</v>
      </c>
      <c r="I818" s="56" t="s">
        <v>78</v>
      </c>
      <c r="J818" s="56"/>
      <c r="K818" s="45" t="s">
        <v>180</v>
      </c>
      <c r="L818" s="55" t="str">
        <f>IF(K818="Mine or Quarry","Mine","")</f>
        <v/>
      </c>
      <c r="M818" s="55"/>
      <c r="N818" s="55" t="s">
        <v>181</v>
      </c>
      <c r="O818" s="55" t="s">
        <v>629</v>
      </c>
      <c r="P818" s="55" t="s">
        <v>182</v>
      </c>
      <c r="Q818" s="55" t="s">
        <v>5353</v>
      </c>
      <c r="R818" s="55"/>
      <c r="S818" s="56" t="s">
        <v>81</v>
      </c>
      <c r="T818" s="55" t="str">
        <f>IF(ISNUMBER(SEARCH(",",N818)),"Y","N")</f>
        <v>N</v>
      </c>
      <c r="U818" s="57">
        <v>2500</v>
      </c>
      <c r="V818" s="57" t="s">
        <v>101</v>
      </c>
      <c r="W818" s="55" t="s">
        <v>2797</v>
      </c>
      <c r="X818" s="62" t="s">
        <v>5339</v>
      </c>
      <c r="Y818" s="53"/>
      <c r="Z818" s="3" t="s">
        <v>2005</v>
      </c>
      <c r="AA818" s="3" t="s">
        <v>1946</v>
      </c>
      <c r="AB818" s="3"/>
      <c r="AC818" s="3"/>
      <c r="AD818" s="3" t="s">
        <v>62</v>
      </c>
      <c r="AE818" s="3" t="s">
        <v>387</v>
      </c>
      <c r="AF818" s="3"/>
      <c r="AG818" s="3" t="s">
        <v>957</v>
      </c>
      <c r="AH818" s="58">
        <v>100</v>
      </c>
      <c r="AI818" s="3"/>
      <c r="AJ818" s="53"/>
      <c r="AK818" s="3"/>
      <c r="AL818" s="3"/>
      <c r="AM818" s="3"/>
      <c r="AN818" s="3"/>
      <c r="AO818" s="3"/>
      <c r="AP818" s="3"/>
      <c r="AQ818" s="3"/>
      <c r="AR818" s="3"/>
      <c r="AS818" s="3"/>
      <c r="AT818" s="3"/>
      <c r="AU818" s="3"/>
      <c r="AV818" s="3"/>
      <c r="AW818" s="3"/>
      <c r="AX818" s="3"/>
      <c r="AY818" s="3"/>
      <c r="AZ818" s="4" t="s">
        <v>1944</v>
      </c>
      <c r="BA818" s="3"/>
      <c r="BB818" s="1"/>
      <c r="BC818" s="1"/>
    </row>
    <row r="819" spans="1:55" s="78" customFormat="1" ht="15" customHeight="1" x14ac:dyDescent="0.25">
      <c r="A819" s="52" t="s">
        <v>4828</v>
      </c>
      <c r="B819" s="34" t="s">
        <v>59</v>
      </c>
      <c r="C819" s="53">
        <v>2026</v>
      </c>
      <c r="D819" s="53">
        <v>2026</v>
      </c>
      <c r="E819" s="54" t="s">
        <v>3486</v>
      </c>
      <c r="F819" s="55" t="s">
        <v>50</v>
      </c>
      <c r="G819" s="55" t="s">
        <v>50</v>
      </c>
      <c r="H819" s="45" t="s">
        <v>1948</v>
      </c>
      <c r="I819" s="56" t="s">
        <v>52</v>
      </c>
      <c r="J819" s="45"/>
      <c r="K819" s="55" t="s">
        <v>71</v>
      </c>
      <c r="L819" s="55" t="s">
        <v>54</v>
      </c>
      <c r="M819" s="55"/>
      <c r="N819" s="56" t="s">
        <v>55</v>
      </c>
      <c r="O819" s="56"/>
      <c r="P819" s="55" t="s">
        <v>73</v>
      </c>
      <c r="Q819" s="55" t="s">
        <v>57</v>
      </c>
      <c r="R819" s="55"/>
      <c r="S819" s="56" t="s">
        <v>58</v>
      </c>
      <c r="T819" s="55" t="s">
        <v>81</v>
      </c>
      <c r="U819" s="57">
        <v>-999</v>
      </c>
      <c r="V819" s="57" t="s">
        <v>59</v>
      </c>
      <c r="W819" s="55" t="s">
        <v>2319</v>
      </c>
      <c r="X819" s="54" t="s">
        <v>4828</v>
      </c>
      <c r="Y819" s="52"/>
      <c r="Z819" s="1" t="s">
        <v>61</v>
      </c>
      <c r="AA819" s="3" t="s">
        <v>1949</v>
      </c>
      <c r="AB819" s="3"/>
      <c r="AC819" s="3"/>
      <c r="AD819" s="3" t="s">
        <v>62</v>
      </c>
      <c r="AE819" s="3" t="s">
        <v>592</v>
      </c>
      <c r="AF819" s="1" t="s">
        <v>1950</v>
      </c>
      <c r="AG819" s="1" t="s">
        <v>1950</v>
      </c>
      <c r="AH819" s="2"/>
      <c r="AI819" s="1"/>
      <c r="AJ819" s="1"/>
      <c r="AK819" s="1"/>
      <c r="AL819" s="1"/>
      <c r="AM819" s="1"/>
      <c r="AN819" s="1"/>
      <c r="AO819" s="1"/>
      <c r="AP819" s="1"/>
      <c r="AQ819" s="1"/>
      <c r="AR819" s="1"/>
      <c r="AS819" s="1"/>
      <c r="AT819" s="1"/>
      <c r="AU819" s="1"/>
      <c r="AV819" s="1"/>
      <c r="AW819" s="1"/>
      <c r="AX819" s="1"/>
      <c r="AY819" s="1"/>
      <c r="AZ819" s="4" t="s">
        <v>1947</v>
      </c>
      <c r="BA819" s="5"/>
      <c r="BB819" s="1"/>
      <c r="BC819" s="1"/>
    </row>
    <row r="820" spans="1:55" s="78" customFormat="1" ht="15" customHeight="1" x14ac:dyDescent="0.25">
      <c r="A820" s="52" t="s">
        <v>4829</v>
      </c>
      <c r="B820" s="34" t="s">
        <v>59</v>
      </c>
      <c r="C820" s="53">
        <v>2026</v>
      </c>
      <c r="D820" s="53">
        <v>2026</v>
      </c>
      <c r="E820" s="54" t="s">
        <v>3486</v>
      </c>
      <c r="F820" s="55" t="s">
        <v>50</v>
      </c>
      <c r="G820" s="55" t="s">
        <v>50</v>
      </c>
      <c r="H820" s="45" t="s">
        <v>1948</v>
      </c>
      <c r="I820" s="56" t="s">
        <v>52</v>
      </c>
      <c r="J820" s="45" t="s">
        <v>65</v>
      </c>
      <c r="K820" s="55" t="s">
        <v>66</v>
      </c>
      <c r="L820" s="55" t="s">
        <v>54</v>
      </c>
      <c r="M820" s="55"/>
      <c r="N820" s="56" t="s">
        <v>55</v>
      </c>
      <c r="O820" s="56"/>
      <c r="P820" s="56" t="s">
        <v>67</v>
      </c>
      <c r="Q820" s="55" t="s">
        <v>57</v>
      </c>
      <c r="R820" s="55"/>
      <c r="S820" s="56" t="s">
        <v>58</v>
      </c>
      <c r="T820" s="55" t="str">
        <f>IF(ISNUMBER(SEARCH(",",N820)),"Y","N")</f>
        <v>N</v>
      </c>
      <c r="U820" s="57">
        <v>-999</v>
      </c>
      <c r="V820" s="57" t="s">
        <v>59</v>
      </c>
      <c r="W820" s="55" t="s">
        <v>2319</v>
      </c>
      <c r="X820" s="54" t="s">
        <v>4829</v>
      </c>
      <c r="Y820" s="52"/>
      <c r="Z820" s="1" t="s">
        <v>61</v>
      </c>
      <c r="AA820" s="3" t="s">
        <v>1949</v>
      </c>
      <c r="AB820" s="3"/>
      <c r="AC820" s="3"/>
      <c r="AD820" s="3" t="s">
        <v>62</v>
      </c>
      <c r="AE820" s="3" t="s">
        <v>592</v>
      </c>
      <c r="AF820" s="1" t="s">
        <v>1950</v>
      </c>
      <c r="AG820" s="1" t="s">
        <v>1950</v>
      </c>
      <c r="AH820" s="2">
        <v>100</v>
      </c>
      <c r="AI820" s="1"/>
      <c r="AJ820" s="1"/>
      <c r="AK820" s="1"/>
      <c r="AL820" s="1"/>
      <c r="AM820" s="1"/>
      <c r="AN820" s="1"/>
      <c r="AO820" s="1"/>
      <c r="AP820" s="1"/>
      <c r="AQ820" s="1"/>
      <c r="AR820" s="1"/>
      <c r="AS820" s="1"/>
      <c r="AT820" s="1"/>
      <c r="AU820" s="1"/>
      <c r="AV820" s="1"/>
      <c r="AW820" s="1"/>
      <c r="AX820" s="1"/>
      <c r="AY820" s="1"/>
      <c r="AZ820" s="4" t="s">
        <v>1947</v>
      </c>
      <c r="BA820" s="1"/>
      <c r="BB820" s="1"/>
      <c r="BC820" s="1"/>
    </row>
    <row r="821" spans="1:55" s="78" customFormat="1" ht="15" customHeight="1" x14ac:dyDescent="0.25">
      <c r="A821" s="52" t="s">
        <v>4830</v>
      </c>
      <c r="B821" s="34" t="s">
        <v>59</v>
      </c>
      <c r="C821" s="53">
        <v>2026</v>
      </c>
      <c r="D821" s="53">
        <v>2026</v>
      </c>
      <c r="E821" s="54" t="s">
        <v>3486</v>
      </c>
      <c r="F821" s="55" t="s">
        <v>50</v>
      </c>
      <c r="G821" s="55" t="s">
        <v>50</v>
      </c>
      <c r="H821" s="45" t="s">
        <v>1948</v>
      </c>
      <c r="I821" s="56" t="s">
        <v>52</v>
      </c>
      <c r="J821" s="45" t="s">
        <v>65</v>
      </c>
      <c r="K821" s="55" t="s">
        <v>68</v>
      </c>
      <c r="L821" s="55" t="s">
        <v>54</v>
      </c>
      <c r="M821" s="55"/>
      <c r="N821" s="56" t="s">
        <v>55</v>
      </c>
      <c r="O821" s="56"/>
      <c r="P821" s="55" t="s">
        <v>69</v>
      </c>
      <c r="Q821" s="55" t="s">
        <v>57</v>
      </c>
      <c r="R821" s="55"/>
      <c r="S821" s="56" t="s">
        <v>58</v>
      </c>
      <c r="T821" s="55" t="str">
        <f>IF(ISNUMBER(SEARCH(",",N821)),"Y","N")</f>
        <v>N</v>
      </c>
      <c r="U821" s="57">
        <v>-999</v>
      </c>
      <c r="V821" s="57" t="s">
        <v>59</v>
      </c>
      <c r="W821" s="55" t="s">
        <v>2319</v>
      </c>
      <c r="X821" s="54" t="s">
        <v>4830</v>
      </c>
      <c r="Y821" s="52"/>
      <c r="Z821" s="1" t="s">
        <v>61</v>
      </c>
      <c r="AA821" s="3" t="s">
        <v>1949</v>
      </c>
      <c r="AB821" s="3"/>
      <c r="AC821" s="3"/>
      <c r="AD821" s="3" t="s">
        <v>62</v>
      </c>
      <c r="AE821" s="3" t="s">
        <v>592</v>
      </c>
      <c r="AF821" s="1"/>
      <c r="AG821" s="1" t="s">
        <v>1950</v>
      </c>
      <c r="AH821" s="2">
        <v>100</v>
      </c>
      <c r="AI821" s="1"/>
      <c r="AJ821" s="1"/>
      <c r="AK821" s="1"/>
      <c r="AL821" s="1"/>
      <c r="AM821" s="1"/>
      <c r="AN821" s="1"/>
      <c r="AO821" s="1"/>
      <c r="AP821" s="1"/>
      <c r="AQ821" s="1"/>
      <c r="AR821" s="1"/>
      <c r="AS821" s="1"/>
      <c r="AT821" s="1"/>
      <c r="AU821" s="1"/>
      <c r="AV821" s="1"/>
      <c r="AW821" s="1"/>
      <c r="AX821" s="1"/>
      <c r="AY821" s="1"/>
      <c r="AZ821" s="4" t="s">
        <v>1947</v>
      </c>
      <c r="BA821" s="1"/>
      <c r="BB821" s="1"/>
      <c r="BC821" s="1"/>
    </row>
    <row r="822" spans="1:55" s="78" customFormat="1" ht="15" customHeight="1" x14ac:dyDescent="0.25">
      <c r="A822" s="52" t="s">
        <v>4831</v>
      </c>
      <c r="B822" s="34" t="s">
        <v>59</v>
      </c>
      <c r="C822" s="53">
        <v>2026</v>
      </c>
      <c r="D822" s="53">
        <v>2026</v>
      </c>
      <c r="E822" s="54" t="s">
        <v>3486</v>
      </c>
      <c r="F822" s="55" t="s">
        <v>50</v>
      </c>
      <c r="G822" s="55" t="s">
        <v>50</v>
      </c>
      <c r="H822" s="45" t="s">
        <v>1948</v>
      </c>
      <c r="I822" s="56" t="s">
        <v>52</v>
      </c>
      <c r="J822" s="45"/>
      <c r="K822" s="55" t="s">
        <v>74</v>
      </c>
      <c r="L822" s="55" t="s">
        <v>54</v>
      </c>
      <c r="M822" s="55"/>
      <c r="N822" s="56" t="s">
        <v>55</v>
      </c>
      <c r="O822" s="56"/>
      <c r="P822" s="56" t="s">
        <v>75</v>
      </c>
      <c r="Q822" s="56" t="s">
        <v>57</v>
      </c>
      <c r="R822" s="55"/>
      <c r="S822" s="56" t="s">
        <v>58</v>
      </c>
      <c r="T822" s="55" t="s">
        <v>81</v>
      </c>
      <c r="U822" s="57">
        <v>-999</v>
      </c>
      <c r="V822" s="57" t="s">
        <v>59</v>
      </c>
      <c r="W822" s="55" t="s">
        <v>2319</v>
      </c>
      <c r="X822" s="54" t="s">
        <v>4831</v>
      </c>
      <c r="Y822" s="52"/>
      <c r="Z822" s="1" t="s">
        <v>61</v>
      </c>
      <c r="AA822" s="3" t="s">
        <v>1949</v>
      </c>
      <c r="AB822" s="3"/>
      <c r="AC822" s="3"/>
      <c r="AD822" s="3" t="s">
        <v>62</v>
      </c>
      <c r="AE822" s="3" t="s">
        <v>592</v>
      </c>
      <c r="AF822" s="1" t="s">
        <v>1950</v>
      </c>
      <c r="AG822" s="1" t="s">
        <v>1950</v>
      </c>
      <c r="AH822" s="2"/>
      <c r="AI822" s="1"/>
      <c r="AJ822" s="1"/>
      <c r="AK822" s="1"/>
      <c r="AL822" s="1"/>
      <c r="AM822" s="1"/>
      <c r="AN822" s="1"/>
      <c r="AO822" s="1"/>
      <c r="AP822" s="1"/>
      <c r="AQ822" s="1"/>
      <c r="AR822" s="1"/>
      <c r="AS822" s="1"/>
      <c r="AT822" s="1"/>
      <c r="AU822" s="1"/>
      <c r="AV822" s="1"/>
      <c r="AW822" s="1"/>
      <c r="AX822" s="1"/>
      <c r="AY822" s="1"/>
      <c r="AZ822" s="4" t="s">
        <v>1947</v>
      </c>
      <c r="BA822" s="5"/>
      <c r="BB822" s="1"/>
      <c r="BC822" s="1"/>
    </row>
    <row r="823" spans="1:55" s="78" customFormat="1" ht="15" customHeight="1" x14ac:dyDescent="0.25">
      <c r="A823" s="52" t="s">
        <v>4832</v>
      </c>
      <c r="B823" s="34" t="s">
        <v>59</v>
      </c>
      <c r="C823" s="53">
        <v>2026</v>
      </c>
      <c r="D823" s="53">
        <v>2026</v>
      </c>
      <c r="E823" s="54" t="s">
        <v>3487</v>
      </c>
      <c r="F823" s="55" t="s">
        <v>50</v>
      </c>
      <c r="G823" s="55" t="s">
        <v>50</v>
      </c>
      <c r="H823" s="45" t="s">
        <v>1951</v>
      </c>
      <c r="I823" s="45" t="s">
        <v>52</v>
      </c>
      <c r="J823" s="56"/>
      <c r="K823" s="55" t="s">
        <v>715</v>
      </c>
      <c r="L823" s="55" t="str">
        <f>IF(K823="Mine or Quarry","Mine","")</f>
        <v/>
      </c>
      <c r="M823" s="55"/>
      <c r="N823" s="55" t="s">
        <v>1952</v>
      </c>
      <c r="O823" s="55"/>
      <c r="P823" s="55" t="s">
        <v>716</v>
      </c>
      <c r="Q823" s="55" t="s">
        <v>5353</v>
      </c>
      <c r="R823" s="55"/>
      <c r="S823" s="56" t="s">
        <v>81</v>
      </c>
      <c r="T823" s="55" t="str">
        <f>IF(ISNUMBER(SEARCH(",",N823)),"Y","N")</f>
        <v>N</v>
      </c>
      <c r="U823" s="57">
        <v>11560</v>
      </c>
      <c r="V823" s="57" t="s">
        <v>101</v>
      </c>
      <c r="W823" s="55"/>
      <c r="X823" s="54" t="s">
        <v>4832</v>
      </c>
      <c r="Y823" s="52"/>
      <c r="Z823" s="3" t="s">
        <v>61</v>
      </c>
      <c r="AA823" s="3" t="s">
        <v>717</v>
      </c>
      <c r="AB823" s="3"/>
      <c r="AC823" s="3"/>
      <c r="AD823" s="3" t="s">
        <v>62</v>
      </c>
      <c r="AE823" s="3" t="s">
        <v>718</v>
      </c>
      <c r="AF823" s="1" t="s">
        <v>1950</v>
      </c>
      <c r="AG823" s="3" t="s">
        <v>719</v>
      </c>
      <c r="AH823" s="58">
        <v>100</v>
      </c>
      <c r="AI823" s="3"/>
      <c r="AJ823" s="3"/>
      <c r="AK823" s="3"/>
      <c r="AL823" s="3"/>
      <c r="AM823" s="3"/>
      <c r="AN823" s="3"/>
      <c r="AO823" s="3"/>
      <c r="AP823" s="3"/>
      <c r="AQ823" s="3"/>
      <c r="AR823" s="3"/>
      <c r="AS823" s="3"/>
      <c r="AT823" s="3"/>
      <c r="AU823" s="3"/>
      <c r="AV823" s="3"/>
      <c r="AW823" s="3"/>
      <c r="AX823" s="3"/>
      <c r="AY823" s="3"/>
      <c r="AZ823" s="4" t="s">
        <v>1332</v>
      </c>
      <c r="BA823" s="3"/>
      <c r="BB823" s="1"/>
      <c r="BC823" s="1"/>
    </row>
    <row r="824" spans="1:55" s="78" customFormat="1" ht="15" customHeight="1" x14ac:dyDescent="0.25">
      <c r="A824" s="52" t="s">
        <v>4833</v>
      </c>
      <c r="B824" s="34" t="s">
        <v>59</v>
      </c>
      <c r="C824" s="53">
        <v>2026</v>
      </c>
      <c r="D824" s="53">
        <v>2026</v>
      </c>
      <c r="E824" s="54" t="s">
        <v>3488</v>
      </c>
      <c r="F824" s="55" t="s">
        <v>50</v>
      </c>
      <c r="G824" s="55" t="s">
        <v>50</v>
      </c>
      <c r="H824" s="45" t="s">
        <v>1954</v>
      </c>
      <c r="I824" s="56" t="s">
        <v>52</v>
      </c>
      <c r="J824" s="56"/>
      <c r="K824" s="55" t="s">
        <v>135</v>
      </c>
      <c r="L824" s="55" t="s">
        <v>54</v>
      </c>
      <c r="M824" s="55"/>
      <c r="N824" s="55" t="s">
        <v>201</v>
      </c>
      <c r="O824" s="55"/>
      <c r="P824" s="55" t="s">
        <v>136</v>
      </c>
      <c r="Q824" s="55" t="s">
        <v>57</v>
      </c>
      <c r="R824" s="55"/>
      <c r="S824" s="56" t="s">
        <v>81</v>
      </c>
      <c r="T824" s="55" t="s">
        <v>81</v>
      </c>
      <c r="U824" s="57">
        <v>57600</v>
      </c>
      <c r="V824" s="57" t="s">
        <v>101</v>
      </c>
      <c r="W824" s="55"/>
      <c r="X824" s="54" t="s">
        <v>4833</v>
      </c>
      <c r="Y824" s="52"/>
      <c r="Z824" s="3" t="s">
        <v>154</v>
      </c>
      <c r="AA824" s="3" t="s">
        <v>1955</v>
      </c>
      <c r="AB824" s="3"/>
      <c r="AC824" s="3"/>
      <c r="AD824" s="3" t="s">
        <v>62</v>
      </c>
      <c r="AE824" s="1" t="s">
        <v>1054</v>
      </c>
      <c r="AF824" s="1"/>
      <c r="AG824" s="1" t="s">
        <v>1956</v>
      </c>
      <c r="AH824" s="2">
        <v>100</v>
      </c>
      <c r="AI824" s="3"/>
      <c r="AJ824" s="3"/>
      <c r="AK824" s="3"/>
      <c r="AL824" s="3"/>
      <c r="AM824" s="3"/>
      <c r="AN824" s="3"/>
      <c r="AO824" s="3"/>
      <c r="AP824" s="3"/>
      <c r="AQ824" s="3"/>
      <c r="AR824" s="3"/>
      <c r="AS824" s="3"/>
      <c r="AT824" s="3"/>
      <c r="AU824" s="3"/>
      <c r="AV824" s="3"/>
      <c r="AW824" s="3"/>
      <c r="AX824" s="3"/>
      <c r="AY824" s="3"/>
      <c r="AZ824" s="4" t="s">
        <v>1953</v>
      </c>
      <c r="BA824" s="3"/>
      <c r="BB824" s="1"/>
      <c r="BC824" s="1"/>
    </row>
    <row r="825" spans="1:55" s="78" customFormat="1" ht="15" customHeight="1" x14ac:dyDescent="0.25">
      <c r="A825" s="52" t="s">
        <v>4834</v>
      </c>
      <c r="B825" s="34" t="s">
        <v>59</v>
      </c>
      <c r="C825" s="53">
        <v>2026</v>
      </c>
      <c r="D825" s="53">
        <v>2026</v>
      </c>
      <c r="E825" s="54" t="s">
        <v>3489</v>
      </c>
      <c r="F825" s="55" t="s">
        <v>50</v>
      </c>
      <c r="G825" s="55" t="s">
        <v>50</v>
      </c>
      <c r="H825" s="45" t="s">
        <v>1957</v>
      </c>
      <c r="I825" s="56" t="s">
        <v>78</v>
      </c>
      <c r="J825" s="56"/>
      <c r="K825" s="55" t="s">
        <v>135</v>
      </c>
      <c r="L825" s="55" t="s">
        <v>88</v>
      </c>
      <c r="M825" s="55"/>
      <c r="N825" s="55" t="s">
        <v>110</v>
      </c>
      <c r="O825" s="55"/>
      <c r="P825" s="55" t="s">
        <v>136</v>
      </c>
      <c r="Q825" s="55" t="s">
        <v>57</v>
      </c>
      <c r="R825" s="55"/>
      <c r="S825" s="56" t="s">
        <v>81</v>
      </c>
      <c r="T825" s="55" t="s">
        <v>81</v>
      </c>
      <c r="U825" s="57">
        <v>57600</v>
      </c>
      <c r="V825" s="57" t="s">
        <v>101</v>
      </c>
      <c r="W825" s="55"/>
      <c r="X825" s="54" t="s">
        <v>4834</v>
      </c>
      <c r="Y825" s="52"/>
      <c r="Z825" s="3" t="s">
        <v>154</v>
      </c>
      <c r="AA825" s="3" t="s">
        <v>1955</v>
      </c>
      <c r="AB825" s="3"/>
      <c r="AC825" s="3"/>
      <c r="AD825" s="3" t="s">
        <v>62</v>
      </c>
      <c r="AE825" s="1" t="s">
        <v>1054</v>
      </c>
      <c r="AF825" s="1"/>
      <c r="AG825" s="1" t="s">
        <v>1956</v>
      </c>
      <c r="AH825" s="2">
        <v>100</v>
      </c>
      <c r="AI825" s="3"/>
      <c r="AJ825" s="3"/>
      <c r="AK825" s="3"/>
      <c r="AL825" s="3"/>
      <c r="AM825" s="3"/>
      <c r="AN825" s="3"/>
      <c r="AO825" s="3"/>
      <c r="AP825" s="3"/>
      <c r="AQ825" s="3"/>
      <c r="AR825" s="3"/>
      <c r="AS825" s="3"/>
      <c r="AT825" s="3"/>
      <c r="AU825" s="3"/>
      <c r="AV825" s="3"/>
      <c r="AW825" s="3"/>
      <c r="AX825" s="3"/>
      <c r="AY825" s="3"/>
      <c r="AZ825" s="4" t="s">
        <v>1953</v>
      </c>
      <c r="BA825" s="3"/>
      <c r="BB825" s="1"/>
      <c r="BC825" s="1"/>
    </row>
    <row r="826" spans="1:55" s="78" customFormat="1" ht="15" customHeight="1" x14ac:dyDescent="0.25">
      <c r="A826" s="52" t="s">
        <v>4835</v>
      </c>
      <c r="B826" s="34" t="s">
        <v>59</v>
      </c>
      <c r="C826" s="53">
        <v>2026</v>
      </c>
      <c r="D826" s="53">
        <v>2026</v>
      </c>
      <c r="E826" s="54" t="s">
        <v>3490</v>
      </c>
      <c r="F826" s="55" t="s">
        <v>50</v>
      </c>
      <c r="G826" s="55" t="s">
        <v>50</v>
      </c>
      <c r="H826" s="45" t="s">
        <v>1959</v>
      </c>
      <c r="I826" s="56" t="s">
        <v>52</v>
      </c>
      <c r="J826" s="55" t="s">
        <v>384</v>
      </c>
      <c r="K826" s="55" t="s">
        <v>384</v>
      </c>
      <c r="L826" s="55"/>
      <c r="M826" s="55" t="s">
        <v>113</v>
      </c>
      <c r="N826" s="56" t="s">
        <v>55</v>
      </c>
      <c r="O826" s="56" t="s">
        <v>1439</v>
      </c>
      <c r="P826" s="56" t="s">
        <v>89</v>
      </c>
      <c r="Q826" s="55" t="s">
        <v>89</v>
      </c>
      <c r="R826" s="56" t="s">
        <v>1439</v>
      </c>
      <c r="S826" s="56" t="s">
        <v>81</v>
      </c>
      <c r="T826" s="55" t="s">
        <v>81</v>
      </c>
      <c r="U826" s="57">
        <v>4650</v>
      </c>
      <c r="V826" s="57" t="s">
        <v>101</v>
      </c>
      <c r="W826" s="55" t="s">
        <v>2319</v>
      </c>
      <c r="X826" s="54" t="s">
        <v>4835</v>
      </c>
      <c r="Y826" s="52"/>
      <c r="Z826" s="2" t="s">
        <v>154</v>
      </c>
      <c r="AA826" s="1" t="s">
        <v>1960</v>
      </c>
      <c r="AB826" s="1"/>
      <c r="AC826" s="1"/>
      <c r="AD826" s="3" t="s">
        <v>62</v>
      </c>
      <c r="AE826" s="2" t="s">
        <v>184</v>
      </c>
      <c r="AF826" s="2" t="s">
        <v>1961</v>
      </c>
      <c r="AG826" s="1" t="s">
        <v>1962</v>
      </c>
      <c r="AH826" s="2">
        <v>50</v>
      </c>
      <c r="AI826" s="1" t="s">
        <v>1963</v>
      </c>
      <c r="AJ826" s="2">
        <v>50</v>
      </c>
      <c r="AK826" s="1"/>
      <c r="AL826" s="1"/>
      <c r="AM826" s="1"/>
      <c r="AN826" s="1"/>
      <c r="AO826" s="1"/>
      <c r="AP826" s="1"/>
      <c r="AQ826" s="1"/>
      <c r="AR826" s="1"/>
      <c r="AS826" s="1"/>
      <c r="AT826" s="1"/>
      <c r="AU826" s="1"/>
      <c r="AV826" s="1"/>
      <c r="AW826" s="1"/>
      <c r="AX826" s="1"/>
      <c r="AY826" s="1"/>
      <c r="AZ826" s="4" t="s">
        <v>1958</v>
      </c>
      <c r="BA826" s="1"/>
      <c r="BB826" s="1"/>
      <c r="BC826" s="1"/>
    </row>
    <row r="827" spans="1:55" s="78" customFormat="1" ht="15" customHeight="1" x14ac:dyDescent="0.25">
      <c r="A827" s="52" t="s">
        <v>4836</v>
      </c>
      <c r="B827" s="34" t="s">
        <v>59</v>
      </c>
      <c r="C827" s="53">
        <v>2026</v>
      </c>
      <c r="D827" s="53">
        <v>2026</v>
      </c>
      <c r="E827" s="54" t="s">
        <v>3491</v>
      </c>
      <c r="F827" s="55" t="s">
        <v>50</v>
      </c>
      <c r="G827" s="55" t="s">
        <v>50</v>
      </c>
      <c r="H827" s="45" t="s">
        <v>1969</v>
      </c>
      <c r="I827" s="56" t="s">
        <v>78</v>
      </c>
      <c r="J827" s="56"/>
      <c r="K827" s="56" t="s">
        <v>137</v>
      </c>
      <c r="L827" s="55" t="s">
        <v>88</v>
      </c>
      <c r="M827" s="55"/>
      <c r="N827" s="55" t="s">
        <v>110</v>
      </c>
      <c r="O827" s="55"/>
      <c r="P827" s="55" t="s">
        <v>1964</v>
      </c>
      <c r="Q827" s="55" t="s">
        <v>57</v>
      </c>
      <c r="R827" s="55"/>
      <c r="S827" s="56" t="s">
        <v>58</v>
      </c>
      <c r="T827" s="55" t="s">
        <v>81</v>
      </c>
      <c r="U827" s="57">
        <v>3000</v>
      </c>
      <c r="V827" s="57" t="s">
        <v>101</v>
      </c>
      <c r="W827" s="55"/>
      <c r="X827" s="54" t="s">
        <v>4836</v>
      </c>
      <c r="Y827" s="52"/>
      <c r="Z827" s="1" t="s">
        <v>154</v>
      </c>
      <c r="AA827" s="3" t="s">
        <v>1965</v>
      </c>
      <c r="AB827" s="3"/>
      <c r="AC827" s="3"/>
      <c r="AD827" s="3" t="s">
        <v>62</v>
      </c>
      <c r="AE827" s="1" t="s">
        <v>1054</v>
      </c>
      <c r="AF827" s="1" t="s">
        <v>1966</v>
      </c>
      <c r="AG827" s="3" t="s">
        <v>132</v>
      </c>
      <c r="AH827" s="53">
        <v>50</v>
      </c>
      <c r="AI827" s="1" t="s">
        <v>1970</v>
      </c>
      <c r="AJ827" s="59">
        <v>50</v>
      </c>
      <c r="AK827" s="3"/>
      <c r="AL827" s="53"/>
      <c r="AM827" s="3"/>
      <c r="AN827" s="53"/>
      <c r="AO827" s="3"/>
      <c r="AP827" s="53"/>
      <c r="AQ827" s="3"/>
      <c r="AR827" s="53"/>
      <c r="AS827" s="3"/>
      <c r="AT827" s="53"/>
      <c r="AU827" s="3"/>
      <c r="AV827" s="53"/>
      <c r="AW827" s="3"/>
      <c r="AX827" s="53"/>
      <c r="AY827" s="3"/>
      <c r="AZ827" s="4" t="s">
        <v>3876</v>
      </c>
      <c r="BA827" s="3" t="s">
        <v>3908</v>
      </c>
      <c r="BB827" s="1"/>
      <c r="BC827" s="1"/>
    </row>
    <row r="828" spans="1:55" s="78" customFormat="1" ht="15" customHeight="1" x14ac:dyDescent="0.25">
      <c r="A828" s="52" t="s">
        <v>4837</v>
      </c>
      <c r="B828" s="34" t="s">
        <v>59</v>
      </c>
      <c r="C828" s="53">
        <v>2026</v>
      </c>
      <c r="D828" s="53">
        <v>2026</v>
      </c>
      <c r="E828" s="54" t="s">
        <v>3491</v>
      </c>
      <c r="F828" s="55" t="s">
        <v>50</v>
      </c>
      <c r="G828" s="55" t="s">
        <v>50</v>
      </c>
      <c r="H828" s="45" t="s">
        <v>1969</v>
      </c>
      <c r="I828" s="56" t="s">
        <v>78</v>
      </c>
      <c r="J828" s="56"/>
      <c r="K828" s="56" t="s">
        <v>71</v>
      </c>
      <c r="L828" s="55"/>
      <c r="M828" s="55"/>
      <c r="N828" s="55" t="s">
        <v>110</v>
      </c>
      <c r="O828" s="55"/>
      <c r="P828" s="55" t="s">
        <v>73</v>
      </c>
      <c r="Q828" s="55" t="s">
        <v>57</v>
      </c>
      <c r="R828" s="55"/>
      <c r="S828" s="56" t="s">
        <v>58</v>
      </c>
      <c r="T828" s="55" t="s">
        <v>81</v>
      </c>
      <c r="U828" s="57">
        <v>7.0999999999999994E-2</v>
      </c>
      <c r="V828" s="57" t="s">
        <v>101</v>
      </c>
      <c r="W828" s="55"/>
      <c r="X828" s="54" t="s">
        <v>4837</v>
      </c>
      <c r="Y828" s="52"/>
      <c r="Z828" s="1" t="s">
        <v>154</v>
      </c>
      <c r="AA828" s="3" t="s">
        <v>1965</v>
      </c>
      <c r="AB828" s="3"/>
      <c r="AC828" s="3"/>
      <c r="AD828" s="3" t="s">
        <v>62</v>
      </c>
      <c r="AE828" s="1" t="s">
        <v>1054</v>
      </c>
      <c r="AF828" s="1"/>
      <c r="AG828" s="3" t="s">
        <v>132</v>
      </c>
      <c r="AH828" s="53">
        <v>50</v>
      </c>
      <c r="AI828" s="1" t="s">
        <v>1970</v>
      </c>
      <c r="AJ828" s="59">
        <v>50</v>
      </c>
      <c r="AK828" s="3"/>
      <c r="AL828" s="53"/>
      <c r="AM828" s="3"/>
      <c r="AN828" s="53"/>
      <c r="AO828" s="3"/>
      <c r="AP828" s="53"/>
      <c r="AQ828" s="3"/>
      <c r="AR828" s="53"/>
      <c r="AS828" s="3"/>
      <c r="AT828" s="53"/>
      <c r="AU828" s="3"/>
      <c r="AV828" s="53"/>
      <c r="AW828" s="3"/>
      <c r="AX828" s="53"/>
      <c r="AY828" s="3"/>
      <c r="AZ828" s="4" t="s">
        <v>3876</v>
      </c>
      <c r="BA828" s="32" t="s">
        <v>3908</v>
      </c>
      <c r="BB828" s="1"/>
      <c r="BC828" s="1"/>
    </row>
    <row r="829" spans="1:55" s="78" customFormat="1" ht="15" customHeight="1" x14ac:dyDescent="0.25">
      <c r="A829" s="52" t="s">
        <v>4838</v>
      </c>
      <c r="B829" s="34" t="s">
        <v>59</v>
      </c>
      <c r="C829" s="53">
        <v>2026</v>
      </c>
      <c r="D829" s="53">
        <v>2026</v>
      </c>
      <c r="E829" s="54" t="s">
        <v>3491</v>
      </c>
      <c r="F829" s="55" t="s">
        <v>50</v>
      </c>
      <c r="G829" s="55" t="s">
        <v>50</v>
      </c>
      <c r="H829" s="45" t="s">
        <v>1969</v>
      </c>
      <c r="I829" s="56" t="s">
        <v>78</v>
      </c>
      <c r="J829" s="56"/>
      <c r="K829" s="56" t="s">
        <v>74</v>
      </c>
      <c r="L829" s="55"/>
      <c r="M829" s="55"/>
      <c r="N829" s="55" t="s">
        <v>110</v>
      </c>
      <c r="O829" s="55"/>
      <c r="P829" s="55" t="s">
        <v>75</v>
      </c>
      <c r="Q829" s="56" t="s">
        <v>57</v>
      </c>
      <c r="R829" s="55"/>
      <c r="S829" s="56" t="s">
        <v>58</v>
      </c>
      <c r="T829" s="55" t="s">
        <v>81</v>
      </c>
      <c r="U829" s="57">
        <v>1.5309999999999999</v>
      </c>
      <c r="V829" s="57" t="s">
        <v>101</v>
      </c>
      <c r="W829" s="55"/>
      <c r="X829" s="54" t="s">
        <v>4838</v>
      </c>
      <c r="Y829" s="52"/>
      <c r="Z829" s="1" t="s">
        <v>154</v>
      </c>
      <c r="AA829" s="3" t="s">
        <v>1965</v>
      </c>
      <c r="AB829" s="3"/>
      <c r="AC829" s="3"/>
      <c r="AD829" s="3" t="s">
        <v>62</v>
      </c>
      <c r="AE829" s="1" t="s">
        <v>1054</v>
      </c>
      <c r="AF829" s="1"/>
      <c r="AG829" s="3" t="s">
        <v>132</v>
      </c>
      <c r="AH829" s="53">
        <v>50</v>
      </c>
      <c r="AI829" s="1" t="s">
        <v>1970</v>
      </c>
      <c r="AJ829" s="59">
        <v>50</v>
      </c>
      <c r="AK829" s="3"/>
      <c r="AL829" s="53"/>
      <c r="AM829" s="3"/>
      <c r="AN829" s="53"/>
      <c r="AO829" s="3"/>
      <c r="AP829" s="53"/>
      <c r="AQ829" s="3"/>
      <c r="AR829" s="53"/>
      <c r="AS829" s="3"/>
      <c r="AT829" s="53"/>
      <c r="AU829" s="3"/>
      <c r="AV829" s="53"/>
      <c r="AW829" s="3"/>
      <c r="AX829" s="53"/>
      <c r="AY829" s="3"/>
      <c r="AZ829" s="4" t="s">
        <v>3876</v>
      </c>
      <c r="BA829" s="32" t="s">
        <v>3908</v>
      </c>
      <c r="BB829" s="1"/>
      <c r="BC829" s="1"/>
    </row>
    <row r="830" spans="1:55" s="78" customFormat="1" ht="15" customHeight="1" x14ac:dyDescent="0.25">
      <c r="A830" s="52" t="s">
        <v>4839</v>
      </c>
      <c r="B830" s="34" t="s">
        <v>59</v>
      </c>
      <c r="C830" s="53">
        <v>2026</v>
      </c>
      <c r="D830" s="53">
        <v>2026</v>
      </c>
      <c r="E830" s="54" t="s">
        <v>3491</v>
      </c>
      <c r="F830" s="55" t="s">
        <v>50</v>
      </c>
      <c r="G830" s="55" t="s">
        <v>50</v>
      </c>
      <c r="H830" s="45" t="s">
        <v>1969</v>
      </c>
      <c r="I830" s="56" t="s">
        <v>78</v>
      </c>
      <c r="J830" s="56"/>
      <c r="K830" s="56" t="s">
        <v>126</v>
      </c>
      <c r="L830" s="55"/>
      <c r="M830" s="55"/>
      <c r="N830" s="55" t="s">
        <v>110</v>
      </c>
      <c r="O830" s="55"/>
      <c r="P830" s="55" t="s">
        <v>129</v>
      </c>
      <c r="Q830" s="56" t="s">
        <v>57</v>
      </c>
      <c r="R830" s="55"/>
      <c r="S830" s="56" t="s">
        <v>58</v>
      </c>
      <c r="T830" s="55" t="s">
        <v>81</v>
      </c>
      <c r="U830" s="57">
        <v>128</v>
      </c>
      <c r="V830" s="57" t="s">
        <v>101</v>
      </c>
      <c r="W830" s="55"/>
      <c r="X830" s="54" t="s">
        <v>4839</v>
      </c>
      <c r="Y830" s="52"/>
      <c r="Z830" s="1" t="s">
        <v>154</v>
      </c>
      <c r="AA830" s="3" t="s">
        <v>1965</v>
      </c>
      <c r="AB830" s="3"/>
      <c r="AC830" s="3"/>
      <c r="AD830" s="3" t="s">
        <v>62</v>
      </c>
      <c r="AE830" s="1" t="s">
        <v>1054</v>
      </c>
      <c r="AF830" s="1" t="s">
        <v>1966</v>
      </c>
      <c r="AG830" s="3" t="s">
        <v>132</v>
      </c>
      <c r="AH830" s="53">
        <v>50</v>
      </c>
      <c r="AI830" s="1" t="s">
        <v>1970</v>
      </c>
      <c r="AJ830" s="59">
        <v>50</v>
      </c>
      <c r="AK830" s="3"/>
      <c r="AL830" s="53"/>
      <c r="AM830" s="3"/>
      <c r="AN830" s="53"/>
      <c r="AO830" s="3"/>
      <c r="AP830" s="53"/>
      <c r="AQ830" s="3"/>
      <c r="AR830" s="53"/>
      <c r="AS830" s="3"/>
      <c r="AT830" s="53"/>
      <c r="AU830" s="3"/>
      <c r="AV830" s="53"/>
      <c r="AW830" s="3"/>
      <c r="AX830" s="53"/>
      <c r="AY830" s="3"/>
      <c r="AZ830" s="4" t="s">
        <v>3876</v>
      </c>
      <c r="BA830" s="3" t="s">
        <v>3908</v>
      </c>
      <c r="BB830" s="1"/>
      <c r="BC830" s="1"/>
    </row>
    <row r="831" spans="1:55" s="78" customFormat="1" ht="15" customHeight="1" x14ac:dyDescent="0.25">
      <c r="A831" s="52" t="s">
        <v>4840</v>
      </c>
      <c r="B831" s="34" t="s">
        <v>59</v>
      </c>
      <c r="C831" s="53">
        <v>2026</v>
      </c>
      <c r="D831" s="53">
        <v>2026</v>
      </c>
      <c r="E831" s="54" t="s">
        <v>3491</v>
      </c>
      <c r="F831" s="55" t="s">
        <v>50</v>
      </c>
      <c r="G831" s="55" t="s">
        <v>50</v>
      </c>
      <c r="H831" s="45" t="s">
        <v>1969</v>
      </c>
      <c r="I831" s="56" t="s">
        <v>78</v>
      </c>
      <c r="J831" s="45" t="s">
        <v>65</v>
      </c>
      <c r="K831" s="56" t="s">
        <v>66</v>
      </c>
      <c r="L831" s="55" t="s">
        <v>88</v>
      </c>
      <c r="M831" s="55"/>
      <c r="N831" s="55" t="s">
        <v>110</v>
      </c>
      <c r="O831" s="55"/>
      <c r="P831" s="55" t="s">
        <v>1971</v>
      </c>
      <c r="Q831" s="55" t="s">
        <v>57</v>
      </c>
      <c r="R831" s="55"/>
      <c r="S831" s="56" t="s">
        <v>58</v>
      </c>
      <c r="T831" s="55" t="s">
        <v>81</v>
      </c>
      <c r="U831" s="57">
        <v>1.284</v>
      </c>
      <c r="V831" s="57" t="s">
        <v>101</v>
      </c>
      <c r="W831" s="55"/>
      <c r="X831" s="54" t="s">
        <v>4840</v>
      </c>
      <c r="Y831" s="52"/>
      <c r="Z831" s="1" t="s">
        <v>154</v>
      </c>
      <c r="AA831" s="3" t="s">
        <v>1965</v>
      </c>
      <c r="AB831" s="3"/>
      <c r="AC831" s="3"/>
      <c r="AD831" s="3" t="s">
        <v>62</v>
      </c>
      <c r="AE831" s="1" t="s">
        <v>1054</v>
      </c>
      <c r="AF831" s="1" t="s">
        <v>1966</v>
      </c>
      <c r="AG831" s="3" t="s">
        <v>132</v>
      </c>
      <c r="AH831" s="53">
        <v>50</v>
      </c>
      <c r="AI831" s="1" t="s">
        <v>1970</v>
      </c>
      <c r="AJ831" s="59">
        <v>50</v>
      </c>
      <c r="AK831" s="3"/>
      <c r="AL831" s="53"/>
      <c r="AM831" s="3"/>
      <c r="AN831" s="53"/>
      <c r="AO831" s="3"/>
      <c r="AP831" s="53"/>
      <c r="AQ831" s="3"/>
      <c r="AR831" s="53"/>
      <c r="AS831" s="3"/>
      <c r="AT831" s="53"/>
      <c r="AU831" s="3"/>
      <c r="AV831" s="53"/>
      <c r="AW831" s="3"/>
      <c r="AX831" s="53"/>
      <c r="AY831" s="3"/>
      <c r="AZ831" s="4" t="s">
        <v>3876</v>
      </c>
      <c r="BA831" s="3" t="s">
        <v>3908</v>
      </c>
      <c r="BB831" s="1"/>
      <c r="BC831" s="1"/>
    </row>
    <row r="832" spans="1:55" s="78" customFormat="1" ht="15" customHeight="1" x14ac:dyDescent="0.25">
      <c r="A832" s="52" t="s">
        <v>4841</v>
      </c>
      <c r="B832" s="34" t="s">
        <v>59</v>
      </c>
      <c r="C832" s="53">
        <v>2026</v>
      </c>
      <c r="D832" s="53">
        <v>2026</v>
      </c>
      <c r="E832" s="54" t="s">
        <v>3491</v>
      </c>
      <c r="F832" s="55" t="s">
        <v>50</v>
      </c>
      <c r="G832" s="55" t="s">
        <v>50</v>
      </c>
      <c r="H832" s="45" t="s">
        <v>1969</v>
      </c>
      <c r="I832" s="56" t="s">
        <v>78</v>
      </c>
      <c r="J832" s="45" t="s">
        <v>65</v>
      </c>
      <c r="K832" s="56" t="s">
        <v>68</v>
      </c>
      <c r="L832" s="55" t="s">
        <v>88</v>
      </c>
      <c r="M832" s="55"/>
      <c r="N832" s="55" t="s">
        <v>110</v>
      </c>
      <c r="O832" s="55"/>
      <c r="P832" s="55" t="s">
        <v>69</v>
      </c>
      <c r="Q832" s="55" t="s">
        <v>57</v>
      </c>
      <c r="R832" s="55"/>
      <c r="S832" s="56" t="s">
        <v>58</v>
      </c>
      <c r="T832" s="55" t="s">
        <v>81</v>
      </c>
      <c r="U832" s="57">
        <v>0.25800000000000001</v>
      </c>
      <c r="V832" s="57" t="s">
        <v>101</v>
      </c>
      <c r="W832" s="55"/>
      <c r="X832" s="54" t="s">
        <v>4841</v>
      </c>
      <c r="Y832" s="52"/>
      <c r="Z832" s="1" t="s">
        <v>154</v>
      </c>
      <c r="AA832" s="3" t="s">
        <v>1965</v>
      </c>
      <c r="AB832" s="3"/>
      <c r="AC832" s="3"/>
      <c r="AD832" s="3" t="s">
        <v>62</v>
      </c>
      <c r="AE832" s="1" t="s">
        <v>1054</v>
      </c>
      <c r="AF832" s="1" t="s">
        <v>1966</v>
      </c>
      <c r="AG832" s="3" t="s">
        <v>132</v>
      </c>
      <c r="AH832" s="53">
        <v>50</v>
      </c>
      <c r="AI832" s="1" t="s">
        <v>1970</v>
      </c>
      <c r="AJ832" s="59">
        <v>50</v>
      </c>
      <c r="AK832" s="3"/>
      <c r="AL832" s="53"/>
      <c r="AM832" s="3"/>
      <c r="AN832" s="53"/>
      <c r="AO832" s="3"/>
      <c r="AP832" s="53"/>
      <c r="AQ832" s="3"/>
      <c r="AR832" s="53"/>
      <c r="AS832" s="3"/>
      <c r="AT832" s="53"/>
      <c r="AU832" s="3"/>
      <c r="AV832" s="53"/>
      <c r="AW832" s="3"/>
      <c r="AX832" s="53"/>
      <c r="AY832" s="3"/>
      <c r="AZ832" s="4" t="s">
        <v>3876</v>
      </c>
      <c r="BA832" s="3" t="s">
        <v>3908</v>
      </c>
      <c r="BB832" s="1"/>
      <c r="BC832" s="1"/>
    </row>
    <row r="833" spans="1:55" s="78" customFormat="1" ht="15" customHeight="1" x14ac:dyDescent="0.25">
      <c r="A833" s="52" t="s">
        <v>4842</v>
      </c>
      <c r="B833" s="34" t="s">
        <v>59</v>
      </c>
      <c r="C833" s="53">
        <v>2026</v>
      </c>
      <c r="D833" s="53">
        <v>2026</v>
      </c>
      <c r="E833" s="54" t="s">
        <v>3492</v>
      </c>
      <c r="F833" s="55" t="s">
        <v>50</v>
      </c>
      <c r="G833" s="55" t="s">
        <v>50</v>
      </c>
      <c r="H833" s="45" t="s">
        <v>1972</v>
      </c>
      <c r="I833" s="56" t="s">
        <v>52</v>
      </c>
      <c r="J833" s="56"/>
      <c r="K833" s="56" t="s">
        <v>137</v>
      </c>
      <c r="L833" s="55" t="s">
        <v>54</v>
      </c>
      <c r="M833" s="55"/>
      <c r="N833" s="56" t="s">
        <v>1968</v>
      </c>
      <c r="O833" s="56"/>
      <c r="P833" s="56" t="s">
        <v>138</v>
      </c>
      <c r="Q833" s="55" t="s">
        <v>57</v>
      </c>
      <c r="R833" s="55"/>
      <c r="S833" s="56" t="s">
        <v>58</v>
      </c>
      <c r="T833" s="55" t="str">
        <f>IF(ISNUMBER(SEARCH(",",N833)),"Y","N")</f>
        <v>N</v>
      </c>
      <c r="U833" s="57">
        <v>3000</v>
      </c>
      <c r="V833" s="57" t="s">
        <v>101</v>
      </c>
      <c r="W833" s="55"/>
      <c r="X833" s="54" t="s">
        <v>4842</v>
      </c>
      <c r="Y833" s="52"/>
      <c r="Z833" s="3" t="s">
        <v>154</v>
      </c>
      <c r="AA833" s="3" t="s">
        <v>1965</v>
      </c>
      <c r="AB833" s="3"/>
      <c r="AC833" s="3"/>
      <c r="AD833" s="3" t="s">
        <v>62</v>
      </c>
      <c r="AE833" s="3" t="s">
        <v>1054</v>
      </c>
      <c r="AF833" s="1" t="s">
        <v>1966</v>
      </c>
      <c r="AG833" s="3" t="s">
        <v>132</v>
      </c>
      <c r="AH833" s="53">
        <v>50</v>
      </c>
      <c r="AI833" s="1" t="s">
        <v>1970</v>
      </c>
      <c r="AJ833" s="59">
        <v>50</v>
      </c>
      <c r="AK833" s="1"/>
      <c r="AL833" s="60"/>
      <c r="AM833" s="1"/>
      <c r="AN833" s="60"/>
      <c r="AO833" s="1"/>
      <c r="AP833" s="60"/>
      <c r="AQ833" s="1"/>
      <c r="AR833" s="60"/>
      <c r="AS833" s="1"/>
      <c r="AT833" s="60"/>
      <c r="AU833" s="1"/>
      <c r="AV833" s="60"/>
      <c r="AW833" s="1"/>
      <c r="AX833" s="60"/>
      <c r="AY833" s="1"/>
      <c r="AZ833" s="4" t="s">
        <v>3876</v>
      </c>
      <c r="BA833" s="1" t="s">
        <v>3908</v>
      </c>
      <c r="BB833" s="1"/>
      <c r="BC833" s="1"/>
    </row>
    <row r="834" spans="1:55" s="78" customFormat="1" ht="15" customHeight="1" x14ac:dyDescent="0.25">
      <c r="A834" s="52" t="s">
        <v>4843</v>
      </c>
      <c r="B834" s="34" t="s">
        <v>59</v>
      </c>
      <c r="C834" s="53">
        <v>2026</v>
      </c>
      <c r="D834" s="53">
        <v>2026</v>
      </c>
      <c r="E834" s="54" t="s">
        <v>3492</v>
      </c>
      <c r="F834" s="55" t="s">
        <v>50</v>
      </c>
      <c r="G834" s="55" t="s">
        <v>50</v>
      </c>
      <c r="H834" s="45" t="s">
        <v>1972</v>
      </c>
      <c r="I834" s="56" t="s">
        <v>52</v>
      </c>
      <c r="J834" s="56"/>
      <c r="K834" s="56" t="s">
        <v>53</v>
      </c>
      <c r="L834" s="55" t="str">
        <f>IF(K834="Mine or Quarry","Mine","")</f>
        <v/>
      </c>
      <c r="M834" s="55"/>
      <c r="N834" s="56" t="s">
        <v>110</v>
      </c>
      <c r="O834" s="56"/>
      <c r="P834" s="55" t="s">
        <v>56</v>
      </c>
      <c r="Q834" s="55" t="s">
        <v>57</v>
      </c>
      <c r="R834" s="55"/>
      <c r="S834" s="56" t="s">
        <v>58</v>
      </c>
      <c r="T834" s="55" t="s">
        <v>58</v>
      </c>
      <c r="U834" s="57">
        <v>25600</v>
      </c>
      <c r="V834" s="57" t="s">
        <v>101</v>
      </c>
      <c r="W834" s="55"/>
      <c r="X834" s="54" t="s">
        <v>4843</v>
      </c>
      <c r="Y834" s="52"/>
      <c r="Z834" s="3" t="s">
        <v>154</v>
      </c>
      <c r="AA834" s="3" t="s">
        <v>1965</v>
      </c>
      <c r="AB834" s="3"/>
      <c r="AC834" s="3"/>
      <c r="AD834" s="3" t="s">
        <v>62</v>
      </c>
      <c r="AE834" s="3" t="s">
        <v>1054</v>
      </c>
      <c r="AF834" s="1"/>
      <c r="AG834" s="3" t="s">
        <v>132</v>
      </c>
      <c r="AH834" s="53">
        <v>50</v>
      </c>
      <c r="AI834" s="1" t="s">
        <v>1970</v>
      </c>
      <c r="AJ834" s="59">
        <v>50</v>
      </c>
      <c r="AK834" s="1"/>
      <c r="AL834" s="60"/>
      <c r="AM834" s="1"/>
      <c r="AN834" s="60"/>
      <c r="AO834" s="1"/>
      <c r="AP834" s="60"/>
      <c r="AQ834" s="1"/>
      <c r="AR834" s="60"/>
      <c r="AS834" s="1"/>
      <c r="AT834" s="60"/>
      <c r="AU834" s="1"/>
      <c r="AV834" s="60"/>
      <c r="AW834" s="1"/>
      <c r="AX834" s="60"/>
      <c r="AY834" s="1"/>
      <c r="AZ834" s="4" t="s">
        <v>3876</v>
      </c>
      <c r="BA834" s="32" t="s">
        <v>3908</v>
      </c>
      <c r="BB834" s="1"/>
      <c r="BC834" s="1"/>
    </row>
    <row r="835" spans="1:55" s="78" customFormat="1" ht="15" customHeight="1" x14ac:dyDescent="0.25">
      <c r="A835" s="52" t="s">
        <v>4844</v>
      </c>
      <c r="B835" s="34" t="s">
        <v>59</v>
      </c>
      <c r="C835" s="53">
        <v>2026</v>
      </c>
      <c r="D835" s="53">
        <v>2026</v>
      </c>
      <c r="E835" s="54" t="s">
        <v>3492</v>
      </c>
      <c r="F835" s="55" t="s">
        <v>50</v>
      </c>
      <c r="G835" s="55" t="s">
        <v>50</v>
      </c>
      <c r="H835" s="45" t="s">
        <v>1972</v>
      </c>
      <c r="I835" s="56" t="s">
        <v>52</v>
      </c>
      <c r="J835" s="56"/>
      <c r="K835" s="56" t="s">
        <v>53</v>
      </c>
      <c r="L835" s="55" t="str">
        <f>IF(K835="Mine or Quarry","Mine","")</f>
        <v/>
      </c>
      <c r="M835" s="55"/>
      <c r="N835" s="56" t="s">
        <v>1578</v>
      </c>
      <c r="O835" s="56"/>
      <c r="P835" s="55" t="s">
        <v>56</v>
      </c>
      <c r="Q835" s="55" t="s">
        <v>57</v>
      </c>
      <c r="R835" s="55"/>
      <c r="S835" s="56" t="s">
        <v>58</v>
      </c>
      <c r="T835" s="55" t="s">
        <v>58</v>
      </c>
      <c r="U835" s="57">
        <v>25600</v>
      </c>
      <c r="V835" s="57" t="s">
        <v>101</v>
      </c>
      <c r="W835" s="55"/>
      <c r="X835" s="54" t="s">
        <v>4844</v>
      </c>
      <c r="Y835" s="52"/>
      <c r="Z835" s="3" t="s">
        <v>154</v>
      </c>
      <c r="AA835" s="3" t="s">
        <v>1965</v>
      </c>
      <c r="AB835" s="3"/>
      <c r="AC835" s="3"/>
      <c r="AD835" s="3" t="s">
        <v>62</v>
      </c>
      <c r="AE835" s="3" t="s">
        <v>1054</v>
      </c>
      <c r="AF835" s="1"/>
      <c r="AG835" s="3" t="s">
        <v>132</v>
      </c>
      <c r="AH835" s="53">
        <v>50</v>
      </c>
      <c r="AI835" s="1" t="s">
        <v>1970</v>
      </c>
      <c r="AJ835" s="59">
        <v>50</v>
      </c>
      <c r="AK835" s="1"/>
      <c r="AL835" s="60"/>
      <c r="AM835" s="1"/>
      <c r="AN835" s="60"/>
      <c r="AO835" s="1"/>
      <c r="AP835" s="60"/>
      <c r="AQ835" s="1"/>
      <c r="AR835" s="60"/>
      <c r="AS835" s="1"/>
      <c r="AT835" s="60"/>
      <c r="AU835" s="1"/>
      <c r="AV835" s="60"/>
      <c r="AW835" s="1"/>
      <c r="AX835" s="60"/>
      <c r="AY835" s="1"/>
      <c r="AZ835" s="4" t="s">
        <v>3876</v>
      </c>
      <c r="BA835" s="32" t="s">
        <v>3908</v>
      </c>
      <c r="BB835" s="1"/>
      <c r="BC835" s="1"/>
    </row>
    <row r="836" spans="1:55" s="78" customFormat="1" ht="15" customHeight="1" x14ac:dyDescent="0.25">
      <c r="A836" s="52" t="s">
        <v>4845</v>
      </c>
      <c r="B836" s="34" t="s">
        <v>59</v>
      </c>
      <c r="C836" s="53">
        <v>2026</v>
      </c>
      <c r="D836" s="53">
        <v>2026</v>
      </c>
      <c r="E836" s="54" t="s">
        <v>3492</v>
      </c>
      <c r="F836" s="55" t="s">
        <v>50</v>
      </c>
      <c r="G836" s="55" t="s">
        <v>50</v>
      </c>
      <c r="H836" s="45" t="s">
        <v>1972</v>
      </c>
      <c r="I836" s="56" t="s">
        <v>52</v>
      </c>
      <c r="J836" s="56"/>
      <c r="K836" s="56" t="s">
        <v>71</v>
      </c>
      <c r="L836" s="55" t="str">
        <f>IF(K836="Mine or Quarry","Mine","")</f>
        <v/>
      </c>
      <c r="M836" s="55"/>
      <c r="N836" s="56"/>
      <c r="O836" s="56"/>
      <c r="P836" s="55" t="s">
        <v>73</v>
      </c>
      <c r="Q836" s="55" t="s">
        <v>57</v>
      </c>
      <c r="R836" s="55"/>
      <c r="S836" s="56" t="s">
        <v>58</v>
      </c>
      <c r="T836" s="55" t="str">
        <f t="shared" ref="T836:T842" si="12">IF(ISNUMBER(SEARCH(",",N836)),"Y","N")</f>
        <v>N</v>
      </c>
      <c r="U836" s="57">
        <v>7.0999999999999994E-2</v>
      </c>
      <c r="V836" s="57" t="s">
        <v>101</v>
      </c>
      <c r="W836" s="55"/>
      <c r="X836" s="54" t="s">
        <v>4845</v>
      </c>
      <c r="Y836" s="52"/>
      <c r="Z836" s="3" t="s">
        <v>154</v>
      </c>
      <c r="AA836" s="3" t="s">
        <v>1965</v>
      </c>
      <c r="AB836" s="3"/>
      <c r="AC836" s="3"/>
      <c r="AD836" s="3" t="s">
        <v>62</v>
      </c>
      <c r="AE836" s="3" t="s">
        <v>1054</v>
      </c>
      <c r="AF836" s="1"/>
      <c r="AG836" s="3" t="s">
        <v>132</v>
      </c>
      <c r="AH836" s="53">
        <v>50</v>
      </c>
      <c r="AI836" s="1" t="s">
        <v>1970</v>
      </c>
      <c r="AJ836" s="59">
        <v>50</v>
      </c>
      <c r="AK836" s="1"/>
      <c r="AL836" s="60"/>
      <c r="AM836" s="1"/>
      <c r="AN836" s="60"/>
      <c r="AO836" s="1"/>
      <c r="AP836" s="60"/>
      <c r="AQ836" s="1"/>
      <c r="AR836" s="60"/>
      <c r="AS836" s="1"/>
      <c r="AT836" s="60"/>
      <c r="AU836" s="1"/>
      <c r="AV836" s="60"/>
      <c r="AW836" s="1"/>
      <c r="AX836" s="60"/>
      <c r="AY836" s="1"/>
      <c r="AZ836" s="4" t="s">
        <v>3876</v>
      </c>
      <c r="BA836" s="32" t="s">
        <v>3908</v>
      </c>
      <c r="BB836" s="1"/>
      <c r="BC836" s="1"/>
    </row>
    <row r="837" spans="1:55" s="78" customFormat="1" ht="15" customHeight="1" x14ac:dyDescent="0.25">
      <c r="A837" s="52" t="s">
        <v>4846</v>
      </c>
      <c r="B837" s="34" t="s">
        <v>59</v>
      </c>
      <c r="C837" s="53">
        <v>2026</v>
      </c>
      <c r="D837" s="53">
        <v>2026</v>
      </c>
      <c r="E837" s="54" t="s">
        <v>3492</v>
      </c>
      <c r="F837" s="55" t="s">
        <v>50</v>
      </c>
      <c r="G837" s="55" t="s">
        <v>50</v>
      </c>
      <c r="H837" s="45" t="s">
        <v>1972</v>
      </c>
      <c r="I837" s="56" t="s">
        <v>52</v>
      </c>
      <c r="J837" s="45" t="s">
        <v>65</v>
      </c>
      <c r="K837" s="56" t="s">
        <v>68</v>
      </c>
      <c r="L837" s="55" t="s">
        <v>54</v>
      </c>
      <c r="M837" s="55"/>
      <c r="N837" s="56" t="s">
        <v>1578</v>
      </c>
      <c r="O837" s="56"/>
      <c r="P837" s="55" t="s">
        <v>69</v>
      </c>
      <c r="Q837" s="55" t="s">
        <v>57</v>
      </c>
      <c r="R837" s="55"/>
      <c r="S837" s="56" t="s">
        <v>58</v>
      </c>
      <c r="T837" s="55" t="str">
        <f t="shared" si="12"/>
        <v>N</v>
      </c>
      <c r="U837" s="57">
        <v>0.25800000000000001</v>
      </c>
      <c r="V837" s="57" t="s">
        <v>101</v>
      </c>
      <c r="W837" s="55"/>
      <c r="X837" s="54" t="s">
        <v>4846</v>
      </c>
      <c r="Y837" s="52"/>
      <c r="Z837" s="3" t="s">
        <v>154</v>
      </c>
      <c r="AA837" s="3" t="s">
        <v>1965</v>
      </c>
      <c r="AB837" s="3"/>
      <c r="AC837" s="3"/>
      <c r="AD837" s="3" t="s">
        <v>62</v>
      </c>
      <c r="AE837" s="3" t="s">
        <v>1054</v>
      </c>
      <c r="AF837" s="1" t="s">
        <v>1966</v>
      </c>
      <c r="AG837" s="3" t="s">
        <v>132</v>
      </c>
      <c r="AH837" s="53">
        <v>50</v>
      </c>
      <c r="AI837" s="1" t="s">
        <v>1970</v>
      </c>
      <c r="AJ837" s="59">
        <v>50</v>
      </c>
      <c r="AK837" s="1"/>
      <c r="AL837" s="60"/>
      <c r="AM837" s="1"/>
      <c r="AN837" s="60"/>
      <c r="AO837" s="1"/>
      <c r="AP837" s="60"/>
      <c r="AQ837" s="1"/>
      <c r="AR837" s="60"/>
      <c r="AS837" s="1"/>
      <c r="AT837" s="60"/>
      <c r="AU837" s="1"/>
      <c r="AV837" s="60"/>
      <c r="AW837" s="1"/>
      <c r="AX837" s="60"/>
      <c r="AY837" s="1"/>
      <c r="AZ837" s="4" t="s">
        <v>3876</v>
      </c>
      <c r="BA837" s="1" t="s">
        <v>3908</v>
      </c>
      <c r="BB837" s="1"/>
      <c r="BC837" s="1"/>
    </row>
    <row r="838" spans="1:55" s="78" customFormat="1" ht="15" customHeight="1" x14ac:dyDescent="0.25">
      <c r="A838" s="52" t="s">
        <v>4847</v>
      </c>
      <c r="B838" s="34" t="s">
        <v>59</v>
      </c>
      <c r="C838" s="53">
        <v>2026</v>
      </c>
      <c r="D838" s="53">
        <v>2026</v>
      </c>
      <c r="E838" s="54" t="s">
        <v>3492</v>
      </c>
      <c r="F838" s="55" t="s">
        <v>50</v>
      </c>
      <c r="G838" s="55" t="s">
        <v>50</v>
      </c>
      <c r="H838" s="45" t="s">
        <v>1972</v>
      </c>
      <c r="I838" s="56" t="s">
        <v>52</v>
      </c>
      <c r="J838" s="45" t="s">
        <v>65</v>
      </c>
      <c r="K838" s="56" t="s">
        <v>66</v>
      </c>
      <c r="L838" s="55" t="s">
        <v>54</v>
      </c>
      <c r="M838" s="55"/>
      <c r="N838" s="56" t="s">
        <v>1578</v>
      </c>
      <c r="O838" s="56"/>
      <c r="P838" s="55" t="s">
        <v>67</v>
      </c>
      <c r="Q838" s="55" t="s">
        <v>57</v>
      </c>
      <c r="R838" s="55"/>
      <c r="S838" s="56" t="s">
        <v>58</v>
      </c>
      <c r="T838" s="55" t="str">
        <f t="shared" si="12"/>
        <v>N</v>
      </c>
      <c r="U838" s="57">
        <v>1.284</v>
      </c>
      <c r="V838" s="57" t="s">
        <v>101</v>
      </c>
      <c r="W838" s="55"/>
      <c r="X838" s="54" t="s">
        <v>4847</v>
      </c>
      <c r="Y838" s="52"/>
      <c r="Z838" s="3" t="s">
        <v>154</v>
      </c>
      <c r="AA838" s="3" t="s">
        <v>1965</v>
      </c>
      <c r="AB838" s="3"/>
      <c r="AC838" s="3"/>
      <c r="AD838" s="3" t="s">
        <v>62</v>
      </c>
      <c r="AE838" s="3" t="s">
        <v>1054</v>
      </c>
      <c r="AF838" s="1" t="s">
        <v>1966</v>
      </c>
      <c r="AG838" s="3" t="s">
        <v>132</v>
      </c>
      <c r="AH838" s="53">
        <v>50</v>
      </c>
      <c r="AI838" s="1" t="s">
        <v>1970</v>
      </c>
      <c r="AJ838" s="59">
        <v>50</v>
      </c>
      <c r="AK838" s="1"/>
      <c r="AL838" s="60"/>
      <c r="AM838" s="1"/>
      <c r="AN838" s="60"/>
      <c r="AO838" s="1"/>
      <c r="AP838" s="60"/>
      <c r="AQ838" s="1"/>
      <c r="AR838" s="60"/>
      <c r="AS838" s="1"/>
      <c r="AT838" s="60"/>
      <c r="AU838" s="1"/>
      <c r="AV838" s="60"/>
      <c r="AW838" s="1"/>
      <c r="AX838" s="60"/>
      <c r="AY838" s="1"/>
      <c r="AZ838" s="4" t="s">
        <v>3876</v>
      </c>
      <c r="BA838" s="1" t="s">
        <v>3908</v>
      </c>
      <c r="BB838" s="1"/>
      <c r="BC838" s="1"/>
    </row>
    <row r="839" spans="1:55" s="78" customFormat="1" ht="15" customHeight="1" x14ac:dyDescent="0.25">
      <c r="A839" s="52" t="s">
        <v>4848</v>
      </c>
      <c r="B839" s="34" t="s">
        <v>59</v>
      </c>
      <c r="C839" s="53">
        <v>2026</v>
      </c>
      <c r="D839" s="53">
        <v>2026</v>
      </c>
      <c r="E839" s="54" t="s">
        <v>3492</v>
      </c>
      <c r="F839" s="55" t="s">
        <v>50</v>
      </c>
      <c r="G839" s="55" t="s">
        <v>50</v>
      </c>
      <c r="H839" s="45" t="s">
        <v>1972</v>
      </c>
      <c r="I839" s="56" t="s">
        <v>52</v>
      </c>
      <c r="J839" s="56"/>
      <c r="K839" s="56" t="s">
        <v>74</v>
      </c>
      <c r="L839" s="55" t="str">
        <f>IF(K839="Mines and Quarries","Mine","")</f>
        <v/>
      </c>
      <c r="M839" s="55"/>
      <c r="N839" s="56" t="s">
        <v>1578</v>
      </c>
      <c r="O839" s="56"/>
      <c r="P839" s="55" t="s">
        <v>75</v>
      </c>
      <c r="Q839" s="56" t="s">
        <v>57</v>
      </c>
      <c r="R839" s="55"/>
      <c r="S839" s="56" t="s">
        <v>58</v>
      </c>
      <c r="T839" s="55" t="str">
        <f t="shared" si="12"/>
        <v>N</v>
      </c>
      <c r="U839" s="57">
        <v>1.5309999999999999</v>
      </c>
      <c r="V839" s="57" t="s">
        <v>101</v>
      </c>
      <c r="W839" s="55"/>
      <c r="X839" s="54" t="s">
        <v>4848</v>
      </c>
      <c r="Y839" s="52"/>
      <c r="Z839" s="3" t="s">
        <v>154</v>
      </c>
      <c r="AA839" s="3" t="s">
        <v>1965</v>
      </c>
      <c r="AB839" s="3"/>
      <c r="AC839" s="3"/>
      <c r="AD839" s="3" t="s">
        <v>62</v>
      </c>
      <c r="AE839" s="3" t="s">
        <v>1054</v>
      </c>
      <c r="AF839" s="1"/>
      <c r="AG839" s="3" t="s">
        <v>132</v>
      </c>
      <c r="AH839" s="53">
        <v>50</v>
      </c>
      <c r="AI839" s="1" t="s">
        <v>1970</v>
      </c>
      <c r="AJ839" s="59">
        <v>50</v>
      </c>
      <c r="AK839" s="1"/>
      <c r="AL839" s="60"/>
      <c r="AM839" s="1"/>
      <c r="AN839" s="60"/>
      <c r="AO839" s="1"/>
      <c r="AP839" s="60"/>
      <c r="AQ839" s="1"/>
      <c r="AR839" s="60"/>
      <c r="AS839" s="1"/>
      <c r="AT839" s="60"/>
      <c r="AU839" s="1"/>
      <c r="AV839" s="60"/>
      <c r="AW839" s="1"/>
      <c r="AX839" s="60"/>
      <c r="AY839" s="1"/>
      <c r="AZ839" s="4" t="s">
        <v>3876</v>
      </c>
      <c r="BA839" s="32" t="s">
        <v>3908</v>
      </c>
      <c r="BB839" s="1"/>
      <c r="BC839" s="1"/>
    </row>
    <row r="840" spans="1:55" s="78" customFormat="1" ht="15" customHeight="1" x14ac:dyDescent="0.25">
      <c r="A840" s="52" t="s">
        <v>4849</v>
      </c>
      <c r="B840" s="34" t="s">
        <v>59</v>
      </c>
      <c r="C840" s="53">
        <v>2026</v>
      </c>
      <c r="D840" s="53">
        <v>2026</v>
      </c>
      <c r="E840" s="54" t="s">
        <v>3492</v>
      </c>
      <c r="F840" s="55" t="s">
        <v>50</v>
      </c>
      <c r="G840" s="55" t="s">
        <v>50</v>
      </c>
      <c r="H840" s="45" t="s">
        <v>1972</v>
      </c>
      <c r="I840" s="56" t="s">
        <v>52</v>
      </c>
      <c r="J840" s="56"/>
      <c r="K840" s="56" t="s">
        <v>126</v>
      </c>
      <c r="L840" s="55" t="str">
        <f>IF(K840="Mine or Quarry","Mine","")</f>
        <v/>
      </c>
      <c r="M840" s="55"/>
      <c r="N840" s="55" t="s">
        <v>127</v>
      </c>
      <c r="O840" s="56" t="s">
        <v>1968</v>
      </c>
      <c r="P840" s="55" t="s">
        <v>129</v>
      </c>
      <c r="Q840" s="56" t="s">
        <v>57</v>
      </c>
      <c r="R840" s="55"/>
      <c r="S840" s="56" t="s">
        <v>58</v>
      </c>
      <c r="T840" s="55" t="str">
        <f t="shared" si="12"/>
        <v>N</v>
      </c>
      <c r="U840" s="57">
        <v>128</v>
      </c>
      <c r="V840" s="57" t="s">
        <v>101</v>
      </c>
      <c r="W840" s="55"/>
      <c r="X840" s="54" t="s">
        <v>4849</v>
      </c>
      <c r="Y840" s="52"/>
      <c r="Z840" s="3" t="s">
        <v>154</v>
      </c>
      <c r="AA840" s="3" t="s">
        <v>1965</v>
      </c>
      <c r="AB840" s="3"/>
      <c r="AC840" s="3"/>
      <c r="AD840" s="3" t="s">
        <v>62</v>
      </c>
      <c r="AE840" s="3" t="s">
        <v>1054</v>
      </c>
      <c r="AF840" s="1" t="s">
        <v>1966</v>
      </c>
      <c r="AG840" s="3" t="s">
        <v>132</v>
      </c>
      <c r="AH840" s="53">
        <v>50</v>
      </c>
      <c r="AI840" s="1" t="s">
        <v>1967</v>
      </c>
      <c r="AJ840" s="59">
        <v>50</v>
      </c>
      <c r="AK840" s="1"/>
      <c r="AL840" s="60"/>
      <c r="AM840" s="1"/>
      <c r="AN840" s="60"/>
      <c r="AO840" s="1"/>
      <c r="AP840" s="60"/>
      <c r="AQ840" s="1"/>
      <c r="AR840" s="60"/>
      <c r="AS840" s="1"/>
      <c r="AT840" s="60"/>
      <c r="AU840" s="1"/>
      <c r="AV840" s="60"/>
      <c r="AW840" s="1"/>
      <c r="AX840" s="60"/>
      <c r="AY840" s="1"/>
      <c r="AZ840" s="4" t="s">
        <v>3876</v>
      </c>
      <c r="BA840" s="1" t="s">
        <v>3908</v>
      </c>
      <c r="BB840" s="1"/>
      <c r="BC840" s="1"/>
    </row>
    <row r="841" spans="1:55" s="78" customFormat="1" ht="15" customHeight="1" x14ac:dyDescent="0.25">
      <c r="A841" s="52" t="s">
        <v>4850</v>
      </c>
      <c r="B841" s="34" t="s">
        <v>59</v>
      </c>
      <c r="C841" s="53">
        <v>2026</v>
      </c>
      <c r="D841" s="53">
        <v>2026</v>
      </c>
      <c r="E841" s="54" t="s">
        <v>3493</v>
      </c>
      <c r="F841" s="55" t="s">
        <v>50</v>
      </c>
      <c r="G841" s="55" t="s">
        <v>50</v>
      </c>
      <c r="H841" s="45" t="s">
        <v>1973</v>
      </c>
      <c r="I841" s="56" t="s">
        <v>78</v>
      </c>
      <c r="J841" s="56" t="s">
        <v>165</v>
      </c>
      <c r="K841" s="55" t="s">
        <v>597</v>
      </c>
      <c r="L841" s="55" t="s">
        <v>88</v>
      </c>
      <c r="M841" s="55"/>
      <c r="N841" s="55" t="s">
        <v>110</v>
      </c>
      <c r="O841" s="55"/>
      <c r="P841" s="56" t="s">
        <v>598</v>
      </c>
      <c r="Q841" s="55" t="s">
        <v>57</v>
      </c>
      <c r="R841" s="55"/>
      <c r="S841" s="56" t="s">
        <v>81</v>
      </c>
      <c r="T841" s="55" t="str">
        <f t="shared" si="12"/>
        <v>N</v>
      </c>
      <c r="U841" s="57">
        <v>5100000</v>
      </c>
      <c r="V841" s="57" t="s">
        <v>101</v>
      </c>
      <c r="W841" s="55"/>
      <c r="X841" s="54" t="s">
        <v>4850</v>
      </c>
      <c r="Y841" s="52"/>
      <c r="Z841" s="3" t="s">
        <v>61</v>
      </c>
      <c r="AA841" s="3" t="s">
        <v>1974</v>
      </c>
      <c r="AB841" s="3"/>
      <c r="AC841" s="3"/>
      <c r="AD841" s="3" t="s">
        <v>62</v>
      </c>
      <c r="AE841" s="3" t="s">
        <v>1054</v>
      </c>
      <c r="AF841" s="3"/>
      <c r="AG841" s="3" t="s">
        <v>635</v>
      </c>
      <c r="AH841" s="58">
        <v>100</v>
      </c>
      <c r="AI841" s="3"/>
      <c r="AJ841" s="3"/>
      <c r="AK841" s="3"/>
      <c r="AL841" s="3"/>
      <c r="AM841" s="3"/>
      <c r="AN841" s="3"/>
      <c r="AO841" s="3"/>
      <c r="AP841" s="3"/>
      <c r="AQ841" s="3"/>
      <c r="AR841" s="3"/>
      <c r="AS841" s="3"/>
      <c r="AT841" s="3"/>
      <c r="AU841" s="3"/>
      <c r="AV841" s="3"/>
      <c r="AW841" s="3"/>
      <c r="AX841" s="3"/>
      <c r="AY841" s="3"/>
      <c r="AZ841" s="4" t="s">
        <v>2597</v>
      </c>
      <c r="BA841" s="3" t="s">
        <v>3909</v>
      </c>
      <c r="BB841" s="1"/>
      <c r="BC841" s="1"/>
    </row>
    <row r="842" spans="1:55" s="78" customFormat="1" ht="15" customHeight="1" x14ac:dyDescent="0.25">
      <c r="A842" s="52" t="s">
        <v>4851</v>
      </c>
      <c r="B842" s="34" t="s">
        <v>59</v>
      </c>
      <c r="C842" s="53">
        <v>2026</v>
      </c>
      <c r="D842" s="53">
        <v>2026</v>
      </c>
      <c r="E842" s="54" t="s">
        <v>3494</v>
      </c>
      <c r="F842" s="55" t="s">
        <v>50</v>
      </c>
      <c r="G842" s="55" t="s">
        <v>50</v>
      </c>
      <c r="H842" s="45" t="s">
        <v>1975</v>
      </c>
      <c r="I842" s="56" t="s">
        <v>52</v>
      </c>
      <c r="J842" s="56" t="s">
        <v>165</v>
      </c>
      <c r="K842" s="55" t="s">
        <v>597</v>
      </c>
      <c r="L842" s="55" t="str">
        <f>IF(K842="Mine or Quarry","Mine","")</f>
        <v/>
      </c>
      <c r="M842" s="55"/>
      <c r="N842" s="55" t="s">
        <v>1371</v>
      </c>
      <c r="O842" s="55"/>
      <c r="P842" s="56" t="s">
        <v>598</v>
      </c>
      <c r="Q842" s="55" t="s">
        <v>57</v>
      </c>
      <c r="R842" s="55"/>
      <c r="S842" s="56" t="s">
        <v>81</v>
      </c>
      <c r="T842" s="55" t="str">
        <f t="shared" si="12"/>
        <v>N</v>
      </c>
      <c r="U842" s="57">
        <v>5100000</v>
      </c>
      <c r="V842" s="57" t="s">
        <v>101</v>
      </c>
      <c r="W842" s="55"/>
      <c r="X842" s="54" t="s">
        <v>4851</v>
      </c>
      <c r="Y842" s="52"/>
      <c r="Z842" s="3" t="s">
        <v>61</v>
      </c>
      <c r="AA842" s="3" t="s">
        <v>1974</v>
      </c>
      <c r="AB842" s="3"/>
      <c r="AC842" s="3"/>
      <c r="AD842" s="3" t="s">
        <v>62</v>
      </c>
      <c r="AE842" s="3" t="s">
        <v>1054</v>
      </c>
      <c r="AF842" s="3"/>
      <c r="AG842" s="3" t="s">
        <v>635</v>
      </c>
      <c r="AH842" s="58">
        <v>100</v>
      </c>
      <c r="AI842" s="3"/>
      <c r="AJ842" s="3"/>
      <c r="AK842" s="3"/>
      <c r="AL842" s="3"/>
      <c r="AM842" s="3"/>
      <c r="AN842" s="3"/>
      <c r="AO842" s="3"/>
      <c r="AP842" s="3"/>
      <c r="AQ842" s="3"/>
      <c r="AR842" s="3"/>
      <c r="AS842" s="3"/>
      <c r="AT842" s="3"/>
      <c r="AU842" s="3"/>
      <c r="AV842" s="3"/>
      <c r="AW842" s="3"/>
      <c r="AX842" s="3"/>
      <c r="AY842" s="3"/>
      <c r="AZ842" s="4" t="s">
        <v>2597</v>
      </c>
      <c r="BA842" s="3" t="s">
        <v>3909</v>
      </c>
      <c r="BB842" s="1"/>
      <c r="BC842" s="1"/>
    </row>
    <row r="843" spans="1:55" s="78" customFormat="1" ht="15" customHeight="1" x14ac:dyDescent="0.25">
      <c r="A843" s="52" t="s">
        <v>4852</v>
      </c>
      <c r="B843" s="34" t="s">
        <v>59</v>
      </c>
      <c r="C843" s="53">
        <v>2026</v>
      </c>
      <c r="D843" s="53">
        <v>2026</v>
      </c>
      <c r="E843" s="54" t="s">
        <v>3495</v>
      </c>
      <c r="F843" s="55" t="s">
        <v>50</v>
      </c>
      <c r="G843" s="55" t="s">
        <v>50</v>
      </c>
      <c r="H843" s="45" t="s">
        <v>1977</v>
      </c>
      <c r="I843" s="45" t="s">
        <v>78</v>
      </c>
      <c r="J843" s="45"/>
      <c r="K843" s="55" t="s">
        <v>715</v>
      </c>
      <c r="L843" s="55"/>
      <c r="M843" s="55"/>
      <c r="N843" s="55" t="s">
        <v>181</v>
      </c>
      <c r="O843" s="55"/>
      <c r="P843" s="55" t="s">
        <v>89</v>
      </c>
      <c r="Q843" s="55" t="s">
        <v>5353</v>
      </c>
      <c r="R843" s="55"/>
      <c r="S843" s="56" t="s">
        <v>81</v>
      </c>
      <c r="T843" s="55" t="s">
        <v>81</v>
      </c>
      <c r="U843" s="57">
        <v>1800000</v>
      </c>
      <c r="V843" s="57" t="s">
        <v>101</v>
      </c>
      <c r="W843" s="55"/>
      <c r="X843" s="54" t="s">
        <v>4852</v>
      </c>
      <c r="Y843" s="53"/>
      <c r="Z843" s="3" t="s">
        <v>154</v>
      </c>
      <c r="AA843" s="3" t="s">
        <v>1978</v>
      </c>
      <c r="AB843" s="3"/>
      <c r="AC843" s="3"/>
      <c r="AD843" s="3" t="s">
        <v>62</v>
      </c>
      <c r="AE843" s="3" t="s">
        <v>718</v>
      </c>
      <c r="AF843" s="3"/>
      <c r="AG843" s="3" t="s">
        <v>1979</v>
      </c>
      <c r="AH843" s="58">
        <v>100</v>
      </c>
      <c r="AI843" s="3"/>
      <c r="AJ843" s="3"/>
      <c r="AK843" s="3"/>
      <c r="AL843" s="3"/>
      <c r="AM843" s="3"/>
      <c r="AN843" s="3"/>
      <c r="AO843" s="3"/>
      <c r="AP843" s="3"/>
      <c r="AQ843" s="3"/>
      <c r="AR843" s="3"/>
      <c r="AS843" s="3"/>
      <c r="AT843" s="3"/>
      <c r="AU843" s="3"/>
      <c r="AV843" s="3"/>
      <c r="AW843" s="3"/>
      <c r="AX843" s="3"/>
      <c r="AY843" s="3"/>
      <c r="AZ843" s="4" t="s">
        <v>1976</v>
      </c>
      <c r="BA843" s="3"/>
      <c r="BB843" s="1"/>
      <c r="BC843" s="1"/>
    </row>
    <row r="844" spans="1:55" s="78" customFormat="1" ht="15" customHeight="1" x14ac:dyDescent="0.25">
      <c r="A844" s="52" t="s">
        <v>4853</v>
      </c>
      <c r="B844" s="34" t="s">
        <v>59</v>
      </c>
      <c r="C844" s="53">
        <v>2026</v>
      </c>
      <c r="D844" s="53">
        <v>2026</v>
      </c>
      <c r="E844" s="54" t="s">
        <v>3496</v>
      </c>
      <c r="F844" s="55" t="s">
        <v>50</v>
      </c>
      <c r="G844" s="55" t="s">
        <v>50</v>
      </c>
      <c r="H844" s="45" t="s">
        <v>1980</v>
      </c>
      <c r="I844" s="45" t="s">
        <v>52</v>
      </c>
      <c r="J844" s="45"/>
      <c r="K844" s="55" t="s">
        <v>715</v>
      </c>
      <c r="L844" s="55"/>
      <c r="M844" s="55"/>
      <c r="N844" s="55" t="s">
        <v>1981</v>
      </c>
      <c r="O844" s="55"/>
      <c r="P844" s="55" t="s">
        <v>89</v>
      </c>
      <c r="Q844" s="55" t="s">
        <v>89</v>
      </c>
      <c r="R844" s="55"/>
      <c r="S844" s="56" t="s">
        <v>81</v>
      </c>
      <c r="T844" s="55" t="s">
        <v>58</v>
      </c>
      <c r="U844" s="57">
        <v>1800000</v>
      </c>
      <c r="V844" s="57" t="s">
        <v>101</v>
      </c>
      <c r="W844" s="55"/>
      <c r="X844" s="54" t="s">
        <v>4853</v>
      </c>
      <c r="Y844" s="53"/>
      <c r="Z844" s="3" t="s">
        <v>154</v>
      </c>
      <c r="AA844" s="3" t="s">
        <v>1978</v>
      </c>
      <c r="AB844" s="3"/>
      <c r="AC844" s="3"/>
      <c r="AD844" s="3" t="s">
        <v>62</v>
      </c>
      <c r="AE844" s="3" t="s">
        <v>718</v>
      </c>
      <c r="AF844" s="3"/>
      <c r="AG844" s="3" t="s">
        <v>1979</v>
      </c>
      <c r="AH844" s="58">
        <v>100</v>
      </c>
      <c r="AI844" s="3"/>
      <c r="AJ844" s="3"/>
      <c r="AK844" s="3"/>
      <c r="AL844" s="3"/>
      <c r="AM844" s="3"/>
      <c r="AN844" s="3"/>
      <c r="AO844" s="3"/>
      <c r="AP844" s="3"/>
      <c r="AQ844" s="3"/>
      <c r="AR844" s="3"/>
      <c r="AS844" s="3"/>
      <c r="AT844" s="3"/>
      <c r="AU844" s="3"/>
      <c r="AV844" s="3"/>
      <c r="AW844" s="3"/>
      <c r="AX844" s="3"/>
      <c r="AY844" s="3"/>
      <c r="AZ844" s="4" t="s">
        <v>1976</v>
      </c>
      <c r="BA844" s="3"/>
      <c r="BB844" s="1"/>
      <c r="BC844" s="1"/>
    </row>
    <row r="845" spans="1:55" s="78" customFormat="1" ht="15" customHeight="1" x14ac:dyDescent="0.25">
      <c r="A845" s="52" t="s">
        <v>4854</v>
      </c>
      <c r="B845" s="34" t="s">
        <v>59</v>
      </c>
      <c r="C845" s="53">
        <v>2026</v>
      </c>
      <c r="D845" s="53">
        <v>2026</v>
      </c>
      <c r="E845" s="54" t="s">
        <v>3497</v>
      </c>
      <c r="F845" s="55" t="s">
        <v>50</v>
      </c>
      <c r="G845" s="55" t="s">
        <v>50</v>
      </c>
      <c r="H845" s="45" t="s">
        <v>1982</v>
      </c>
      <c r="I845" s="56" t="s">
        <v>78</v>
      </c>
      <c r="J845" s="56" t="s">
        <v>165</v>
      </c>
      <c r="K845" s="56" t="s">
        <v>166</v>
      </c>
      <c r="L845" s="55" t="s">
        <v>88</v>
      </c>
      <c r="M845" s="55"/>
      <c r="N845" s="56" t="s">
        <v>80</v>
      </c>
      <c r="O845" s="56"/>
      <c r="P845" s="56" t="s">
        <v>89</v>
      </c>
      <c r="Q845" s="56" t="s">
        <v>89</v>
      </c>
      <c r="R845" s="55"/>
      <c r="S845" s="56" t="s">
        <v>81</v>
      </c>
      <c r="T845" s="55" t="str">
        <f>IF(ISNUMBER(SEARCH(",",N845)),"Y","N")</f>
        <v>N</v>
      </c>
      <c r="U845" s="57">
        <v>-999</v>
      </c>
      <c r="V845" s="57" t="s">
        <v>59</v>
      </c>
      <c r="W845" s="55" t="s">
        <v>2319</v>
      </c>
      <c r="X845" s="54" t="s">
        <v>4854</v>
      </c>
      <c r="Y845" s="52"/>
      <c r="Z845" s="1" t="s">
        <v>61</v>
      </c>
      <c r="AA845" s="1" t="s">
        <v>730</v>
      </c>
      <c r="AB845" s="1"/>
      <c r="AC845" s="1"/>
      <c r="AD845" s="3" t="s">
        <v>62</v>
      </c>
      <c r="AE845" s="1" t="s">
        <v>262</v>
      </c>
      <c r="AF845" s="1"/>
      <c r="AG845" s="3" t="s">
        <v>731</v>
      </c>
      <c r="AH845" s="58">
        <v>100</v>
      </c>
      <c r="AI845" s="1"/>
      <c r="AJ845" s="1"/>
      <c r="AK845" s="1"/>
      <c r="AL845" s="1"/>
      <c r="AM845" s="1"/>
      <c r="AN845" s="1"/>
      <c r="AO845" s="1"/>
      <c r="AP845" s="1"/>
      <c r="AQ845" s="1"/>
      <c r="AR845" s="1"/>
      <c r="AS845" s="1"/>
      <c r="AT845" s="1"/>
      <c r="AU845" s="1"/>
      <c r="AV845" s="1"/>
      <c r="AW845" s="1"/>
      <c r="AX845" s="1"/>
      <c r="AY845" s="1"/>
      <c r="AZ845" s="4" t="s">
        <v>163</v>
      </c>
      <c r="BA845" s="1"/>
      <c r="BB845" s="1"/>
      <c r="BC845" s="1"/>
    </row>
    <row r="846" spans="1:55" s="78" customFormat="1" ht="15" customHeight="1" x14ac:dyDescent="0.25">
      <c r="A846" s="52" t="s">
        <v>4855</v>
      </c>
      <c r="B846" s="34" t="s">
        <v>59</v>
      </c>
      <c r="C846" s="53">
        <v>2026</v>
      </c>
      <c r="D846" s="53">
        <v>2026</v>
      </c>
      <c r="E846" s="54" t="s">
        <v>3498</v>
      </c>
      <c r="F846" s="55" t="s">
        <v>50</v>
      </c>
      <c r="G846" s="55" t="s">
        <v>50</v>
      </c>
      <c r="H846" s="45" t="s">
        <v>1983</v>
      </c>
      <c r="I846" s="56" t="s">
        <v>52</v>
      </c>
      <c r="J846" s="56"/>
      <c r="K846" s="56" t="s">
        <v>146</v>
      </c>
      <c r="L846" s="55"/>
      <c r="M846" s="55"/>
      <c r="N846" s="56" t="s">
        <v>55</v>
      </c>
      <c r="O846" s="56" t="s">
        <v>5356</v>
      </c>
      <c r="P846" s="56" t="s">
        <v>147</v>
      </c>
      <c r="Q846" s="56" t="s">
        <v>57</v>
      </c>
      <c r="R846" s="55"/>
      <c r="S846" s="56" t="s">
        <v>58</v>
      </c>
      <c r="T846" s="55" t="s">
        <v>58</v>
      </c>
      <c r="U846" s="57">
        <v>-999</v>
      </c>
      <c r="V846" s="57" t="s">
        <v>59</v>
      </c>
      <c r="W846" s="55" t="s">
        <v>2319</v>
      </c>
      <c r="X846" s="54" t="s">
        <v>4855</v>
      </c>
      <c r="Y846" s="52"/>
      <c r="Z846" s="1" t="s">
        <v>61</v>
      </c>
      <c r="AA846" s="1" t="s">
        <v>1984</v>
      </c>
      <c r="AB846" s="1"/>
      <c r="AC846" s="1"/>
      <c r="AD846" s="3" t="s">
        <v>62</v>
      </c>
      <c r="AE846" s="1" t="s">
        <v>251</v>
      </c>
      <c r="AF846" s="1" t="s">
        <v>1985</v>
      </c>
      <c r="AG846" s="1" t="s">
        <v>1986</v>
      </c>
      <c r="AH846" s="2">
        <v>51</v>
      </c>
      <c r="AI846" s="1" t="s">
        <v>957</v>
      </c>
      <c r="AJ846" s="2">
        <v>49</v>
      </c>
      <c r="AK846" s="1"/>
      <c r="AL846" s="1"/>
      <c r="AM846" s="1"/>
      <c r="AN846" s="1"/>
      <c r="AO846" s="1"/>
      <c r="AP846" s="1"/>
      <c r="AQ846" s="1"/>
      <c r="AR846" s="1"/>
      <c r="AS846" s="1"/>
      <c r="AT846" s="1"/>
      <c r="AU846" s="1"/>
      <c r="AV846" s="1"/>
      <c r="AW846" s="1"/>
      <c r="AX846" s="1"/>
      <c r="AY846" s="1"/>
      <c r="AZ846" s="4" t="s">
        <v>3805</v>
      </c>
      <c r="BA846" s="1" t="s">
        <v>3910</v>
      </c>
      <c r="BB846" s="1" t="s">
        <v>3911</v>
      </c>
      <c r="BC846" s="1"/>
    </row>
    <row r="847" spans="1:55" s="78" customFormat="1" ht="15" customHeight="1" x14ac:dyDescent="0.25">
      <c r="A847" s="52" t="s">
        <v>4856</v>
      </c>
      <c r="B847" s="34" t="s">
        <v>59</v>
      </c>
      <c r="C847" s="53">
        <v>2026</v>
      </c>
      <c r="D847" s="53">
        <v>2026</v>
      </c>
      <c r="E847" s="54" t="s">
        <v>3498</v>
      </c>
      <c r="F847" s="55" t="s">
        <v>50</v>
      </c>
      <c r="G847" s="55" t="s">
        <v>50</v>
      </c>
      <c r="H847" s="45" t="s">
        <v>1983</v>
      </c>
      <c r="I847" s="56" t="s">
        <v>52</v>
      </c>
      <c r="J847" s="56"/>
      <c r="K847" s="56" t="s">
        <v>148</v>
      </c>
      <c r="L847" s="55"/>
      <c r="M847" s="55"/>
      <c r="N847" s="56" t="s">
        <v>55</v>
      </c>
      <c r="O847" s="56" t="s">
        <v>1987</v>
      </c>
      <c r="P847" s="56" t="s">
        <v>150</v>
      </c>
      <c r="Q847" s="61" t="s">
        <v>57</v>
      </c>
      <c r="R847" s="55"/>
      <c r="S847" s="56" t="s">
        <v>58</v>
      </c>
      <c r="T847" s="55" t="s">
        <v>58</v>
      </c>
      <c r="U847" s="57">
        <v>-999</v>
      </c>
      <c r="V847" s="57" t="s">
        <v>59</v>
      </c>
      <c r="W847" s="55" t="s">
        <v>2319</v>
      </c>
      <c r="X847" s="54" t="s">
        <v>4856</v>
      </c>
      <c r="Y847" s="52"/>
      <c r="Z847" s="1" t="s">
        <v>61</v>
      </c>
      <c r="AA847" s="1" t="s">
        <v>1984</v>
      </c>
      <c r="AB847" s="1"/>
      <c r="AC847" s="1"/>
      <c r="AD847" s="3" t="s">
        <v>62</v>
      </c>
      <c r="AE847" s="1" t="s">
        <v>251</v>
      </c>
      <c r="AF847" s="1" t="s">
        <v>1985</v>
      </c>
      <c r="AG847" s="1" t="s">
        <v>1986</v>
      </c>
      <c r="AH847" s="2">
        <v>51</v>
      </c>
      <c r="AI847" s="1" t="s">
        <v>957</v>
      </c>
      <c r="AJ847" s="2">
        <v>49</v>
      </c>
      <c r="AK847" s="1"/>
      <c r="AL847" s="1"/>
      <c r="AM847" s="1"/>
      <c r="AN847" s="1"/>
      <c r="AO847" s="1"/>
      <c r="AP847" s="1"/>
      <c r="AQ847" s="1"/>
      <c r="AR847" s="1"/>
      <c r="AS847" s="1"/>
      <c r="AT847" s="1"/>
      <c r="AU847" s="1"/>
      <c r="AV847" s="1"/>
      <c r="AW847" s="1"/>
      <c r="AX847" s="1"/>
      <c r="AY847" s="1"/>
      <c r="AZ847" s="4" t="s">
        <v>3805</v>
      </c>
      <c r="BA847" s="1" t="s">
        <v>3910</v>
      </c>
      <c r="BB847" s="1" t="s">
        <v>3911</v>
      </c>
      <c r="BC847" s="1"/>
    </row>
    <row r="848" spans="1:55" s="78" customFormat="1" ht="15" customHeight="1" x14ac:dyDescent="0.25">
      <c r="A848" s="52" t="s">
        <v>4857</v>
      </c>
      <c r="B848" s="34" t="s">
        <v>59</v>
      </c>
      <c r="C848" s="53">
        <v>2026</v>
      </c>
      <c r="D848" s="53">
        <v>2026</v>
      </c>
      <c r="E848" s="54" t="s">
        <v>3499</v>
      </c>
      <c r="F848" s="55" t="s">
        <v>50</v>
      </c>
      <c r="G848" s="55" t="s">
        <v>50</v>
      </c>
      <c r="H848" s="45" t="s">
        <v>1989</v>
      </c>
      <c r="I848" s="61" t="s">
        <v>78</v>
      </c>
      <c r="J848" s="56"/>
      <c r="K848" s="55" t="s">
        <v>218</v>
      </c>
      <c r="L848" s="55" t="s">
        <v>88</v>
      </c>
      <c r="M848" s="55"/>
      <c r="N848" s="55" t="s">
        <v>181</v>
      </c>
      <c r="O848" s="55"/>
      <c r="P848" s="55" t="s">
        <v>219</v>
      </c>
      <c r="Q848" s="55" t="s">
        <v>57</v>
      </c>
      <c r="R848" s="55"/>
      <c r="S848" s="56" t="s">
        <v>58</v>
      </c>
      <c r="T848" s="55" t="str">
        <f>IF(ISNUMBER(SEARCH(",",N848)),"Y","N")</f>
        <v>N</v>
      </c>
      <c r="U848" s="57">
        <v>750000</v>
      </c>
      <c r="V848" s="57" t="s">
        <v>101</v>
      </c>
      <c r="W848" s="55"/>
      <c r="X848" s="54" t="s">
        <v>4857</v>
      </c>
      <c r="Y848" s="52"/>
      <c r="Z848" s="3" t="s">
        <v>61</v>
      </c>
      <c r="AA848" s="3" t="s">
        <v>1984</v>
      </c>
      <c r="AB848" s="3"/>
      <c r="AC848" s="3"/>
      <c r="AD848" s="3" t="s">
        <v>62</v>
      </c>
      <c r="AE848" s="3" t="s">
        <v>251</v>
      </c>
      <c r="AF848" s="3"/>
      <c r="AG848" s="3" t="s">
        <v>1990</v>
      </c>
      <c r="AH848" s="58">
        <v>100</v>
      </c>
      <c r="AI848" s="3"/>
      <c r="AJ848" s="3"/>
      <c r="AK848" s="3"/>
      <c r="AL848" s="3"/>
      <c r="AM848" s="3"/>
      <c r="AN848" s="3"/>
      <c r="AO848" s="3"/>
      <c r="AP848" s="3"/>
      <c r="AQ848" s="3"/>
      <c r="AR848" s="3"/>
      <c r="AS848" s="3"/>
      <c r="AT848" s="3"/>
      <c r="AU848" s="3"/>
      <c r="AV848" s="3"/>
      <c r="AW848" s="3"/>
      <c r="AX848" s="3"/>
      <c r="AY848" s="3"/>
      <c r="AZ848" s="4" t="s">
        <v>1988</v>
      </c>
      <c r="BA848" s="3"/>
      <c r="BB848" s="1"/>
      <c r="BC848" s="1"/>
    </row>
    <row r="849" spans="1:55" s="78" customFormat="1" ht="15" customHeight="1" x14ac:dyDescent="0.25">
      <c r="A849" s="52" t="s">
        <v>4858</v>
      </c>
      <c r="B849" s="34" t="s">
        <v>59</v>
      </c>
      <c r="C849" s="53">
        <v>2026</v>
      </c>
      <c r="D849" s="53">
        <v>2026</v>
      </c>
      <c r="E849" s="54" t="s">
        <v>3499</v>
      </c>
      <c r="F849" s="55" t="s">
        <v>50</v>
      </c>
      <c r="G849" s="55" t="s">
        <v>50</v>
      </c>
      <c r="H849" s="45" t="s">
        <v>1989</v>
      </c>
      <c r="I849" s="61" t="s">
        <v>78</v>
      </c>
      <c r="J849" s="56"/>
      <c r="K849" s="55" t="s">
        <v>715</v>
      </c>
      <c r="L849" s="55" t="str">
        <f>IF(K849="Mine or Quarry","Mine","")</f>
        <v/>
      </c>
      <c r="M849" s="55"/>
      <c r="N849" s="55" t="s">
        <v>181</v>
      </c>
      <c r="O849" s="55"/>
      <c r="P849" s="55" t="s">
        <v>716</v>
      </c>
      <c r="Q849" s="55" t="s">
        <v>5353</v>
      </c>
      <c r="R849" s="55"/>
      <c r="S849" s="56" t="s">
        <v>58</v>
      </c>
      <c r="T849" s="55" t="str">
        <f>IF(ISNUMBER(SEARCH(",",N849)),"Y","N")</f>
        <v>N</v>
      </c>
      <c r="U849" s="57">
        <v>157000</v>
      </c>
      <c r="V849" s="57" t="s">
        <v>101</v>
      </c>
      <c r="W849" s="55"/>
      <c r="X849" s="54" t="s">
        <v>4858</v>
      </c>
      <c r="Y849" s="52"/>
      <c r="Z849" s="3" t="s">
        <v>61</v>
      </c>
      <c r="AA849" s="3" t="s">
        <v>1984</v>
      </c>
      <c r="AB849" s="3"/>
      <c r="AC849" s="3"/>
      <c r="AD849" s="3" t="s">
        <v>62</v>
      </c>
      <c r="AE849" s="3" t="s">
        <v>251</v>
      </c>
      <c r="AF849" s="3"/>
      <c r="AG849" s="3" t="s">
        <v>1990</v>
      </c>
      <c r="AH849" s="58">
        <v>100</v>
      </c>
      <c r="AI849" s="3"/>
      <c r="AJ849" s="3"/>
      <c r="AK849" s="3"/>
      <c r="AL849" s="3"/>
      <c r="AM849" s="3"/>
      <c r="AN849" s="3"/>
      <c r="AO849" s="3"/>
      <c r="AP849" s="3"/>
      <c r="AQ849" s="3"/>
      <c r="AR849" s="3"/>
      <c r="AS849" s="3"/>
      <c r="AT849" s="3"/>
      <c r="AU849" s="3"/>
      <c r="AV849" s="3"/>
      <c r="AW849" s="3"/>
      <c r="AX849" s="3"/>
      <c r="AY849" s="3"/>
      <c r="AZ849" s="4" t="s">
        <v>1988</v>
      </c>
      <c r="BA849" s="3"/>
      <c r="BB849" s="1"/>
      <c r="BC849" s="1"/>
    </row>
    <row r="850" spans="1:55" s="78" customFormat="1" ht="15" customHeight="1" x14ac:dyDescent="0.25">
      <c r="A850" s="52" t="s">
        <v>4859</v>
      </c>
      <c r="B850" s="34" t="s">
        <v>59</v>
      </c>
      <c r="C850" s="53">
        <v>2026</v>
      </c>
      <c r="D850" s="53">
        <v>2026</v>
      </c>
      <c r="E850" s="54" t="s">
        <v>3500</v>
      </c>
      <c r="F850" s="55" t="s">
        <v>50</v>
      </c>
      <c r="G850" s="55" t="s">
        <v>50</v>
      </c>
      <c r="H850" s="45" t="s">
        <v>1991</v>
      </c>
      <c r="I850" s="61" t="s">
        <v>52</v>
      </c>
      <c r="J850" s="56"/>
      <c r="K850" s="55" t="s">
        <v>715</v>
      </c>
      <c r="L850" s="55"/>
      <c r="M850" s="55"/>
      <c r="N850" s="55" t="s">
        <v>358</v>
      </c>
      <c r="O850" s="55" t="s">
        <v>1992</v>
      </c>
      <c r="P850" s="55" t="s">
        <v>716</v>
      </c>
      <c r="Q850" s="55" t="s">
        <v>5353</v>
      </c>
      <c r="R850" s="55"/>
      <c r="S850" s="56" t="s">
        <v>58</v>
      </c>
      <c r="T850" s="55" t="str">
        <f>IF(ISNUMBER(SEARCH(",",N850)),"Y","N")</f>
        <v>N</v>
      </c>
      <c r="U850" s="57">
        <v>157000</v>
      </c>
      <c r="V850" s="57" t="s">
        <v>101</v>
      </c>
      <c r="W850" s="55"/>
      <c r="X850" s="54" t="s">
        <v>4859</v>
      </c>
      <c r="Y850" s="52"/>
      <c r="Z850" s="3" t="s">
        <v>61</v>
      </c>
      <c r="AA850" s="3" t="s">
        <v>1984</v>
      </c>
      <c r="AB850" s="3"/>
      <c r="AC850" s="3"/>
      <c r="AD850" s="3" t="s">
        <v>62</v>
      </c>
      <c r="AE850" s="3" t="s">
        <v>251</v>
      </c>
      <c r="AF850" s="3"/>
      <c r="AG850" s="3" t="s">
        <v>1990</v>
      </c>
      <c r="AH850" s="58">
        <v>100</v>
      </c>
      <c r="AI850" s="3"/>
      <c r="AJ850" s="3"/>
      <c r="AK850" s="3"/>
      <c r="AL850" s="3"/>
      <c r="AM850" s="3"/>
      <c r="AN850" s="3"/>
      <c r="AO850" s="3"/>
      <c r="AP850" s="3"/>
      <c r="AQ850" s="3"/>
      <c r="AR850" s="3"/>
      <c r="AS850" s="3"/>
      <c r="AT850" s="3"/>
      <c r="AU850" s="3"/>
      <c r="AV850" s="3"/>
      <c r="AW850" s="3"/>
      <c r="AX850" s="3"/>
      <c r="AY850" s="3"/>
      <c r="AZ850" s="4" t="s">
        <v>1988</v>
      </c>
      <c r="BA850" s="3"/>
      <c r="BB850" s="1"/>
      <c r="BC850" s="1"/>
    </row>
    <row r="851" spans="1:55" s="78" customFormat="1" ht="15" customHeight="1" x14ac:dyDescent="0.25">
      <c r="A851" s="52" t="s">
        <v>4860</v>
      </c>
      <c r="B851" s="34" t="s">
        <v>59</v>
      </c>
      <c r="C851" s="53">
        <v>2026</v>
      </c>
      <c r="D851" s="53">
        <v>2026</v>
      </c>
      <c r="E851" s="54" t="s">
        <v>3500</v>
      </c>
      <c r="F851" s="55" t="s">
        <v>50</v>
      </c>
      <c r="G851" s="55" t="s">
        <v>50</v>
      </c>
      <c r="H851" s="45" t="s">
        <v>1991</v>
      </c>
      <c r="I851" s="61" t="s">
        <v>52</v>
      </c>
      <c r="J851" s="56"/>
      <c r="K851" s="55" t="s">
        <v>218</v>
      </c>
      <c r="L851" s="55"/>
      <c r="M851" s="55"/>
      <c r="N851" s="55" t="s">
        <v>1993</v>
      </c>
      <c r="O851" s="55"/>
      <c r="P851" s="55" t="s">
        <v>219</v>
      </c>
      <c r="Q851" s="55" t="s">
        <v>57</v>
      </c>
      <c r="R851" s="55"/>
      <c r="S851" s="56" t="s">
        <v>58</v>
      </c>
      <c r="T851" s="55" t="s">
        <v>81</v>
      </c>
      <c r="U851" s="57">
        <v>750000</v>
      </c>
      <c r="V851" s="57" t="s">
        <v>101</v>
      </c>
      <c r="W851" s="55"/>
      <c r="X851" s="54" t="s">
        <v>4860</v>
      </c>
      <c r="Y851" s="52"/>
      <c r="Z851" s="3" t="s">
        <v>61</v>
      </c>
      <c r="AA851" s="3" t="s">
        <v>1984</v>
      </c>
      <c r="AB851" s="3"/>
      <c r="AC851" s="3"/>
      <c r="AD851" s="3" t="s">
        <v>62</v>
      </c>
      <c r="AE851" s="3" t="s">
        <v>251</v>
      </c>
      <c r="AF851" s="3"/>
      <c r="AG851" s="3" t="s">
        <v>1990</v>
      </c>
      <c r="AH851" s="58">
        <v>100</v>
      </c>
      <c r="AI851" s="3"/>
      <c r="AJ851" s="3"/>
      <c r="AK851" s="3"/>
      <c r="AL851" s="3"/>
      <c r="AM851" s="3"/>
      <c r="AN851" s="3"/>
      <c r="AO851" s="3"/>
      <c r="AP851" s="3"/>
      <c r="AQ851" s="3"/>
      <c r="AR851" s="3"/>
      <c r="AS851" s="3"/>
      <c r="AT851" s="3"/>
      <c r="AU851" s="3"/>
      <c r="AV851" s="3"/>
      <c r="AW851" s="3"/>
      <c r="AX851" s="3"/>
      <c r="AY851" s="3"/>
      <c r="AZ851" s="4" t="s">
        <v>1988</v>
      </c>
      <c r="BA851" s="3"/>
      <c r="BB851" s="1"/>
      <c r="BC851" s="1"/>
    </row>
    <row r="852" spans="1:55" s="78" customFormat="1" ht="15" customHeight="1" x14ac:dyDescent="0.25">
      <c r="A852" s="52" t="s">
        <v>4861</v>
      </c>
      <c r="B852" s="34" t="s">
        <v>59</v>
      </c>
      <c r="C852" s="53">
        <v>2026</v>
      </c>
      <c r="D852" s="53">
        <v>2026</v>
      </c>
      <c r="E852" s="54" t="s">
        <v>3501</v>
      </c>
      <c r="F852" s="55" t="s">
        <v>50</v>
      </c>
      <c r="G852" s="55" t="s">
        <v>50</v>
      </c>
      <c r="H852" s="45" t="s">
        <v>1994</v>
      </c>
      <c r="I852" s="56" t="s">
        <v>78</v>
      </c>
      <c r="J852" s="56"/>
      <c r="K852" s="55" t="s">
        <v>140</v>
      </c>
      <c r="L852" s="55" t="s">
        <v>88</v>
      </c>
      <c r="M852" s="55"/>
      <c r="N852" s="56" t="s">
        <v>181</v>
      </c>
      <c r="O852" s="56" t="s">
        <v>1795</v>
      </c>
      <c r="P852" s="55" t="s">
        <v>142</v>
      </c>
      <c r="Q852" s="55" t="s">
        <v>57</v>
      </c>
      <c r="R852" s="55"/>
      <c r="S852" s="56" t="s">
        <v>58</v>
      </c>
      <c r="T852" s="55" t="s">
        <v>81</v>
      </c>
      <c r="U852" s="57">
        <v>-999</v>
      </c>
      <c r="V852" s="57" t="s">
        <v>59</v>
      </c>
      <c r="W852" s="55"/>
      <c r="X852" s="54" t="s">
        <v>4861</v>
      </c>
      <c r="Y852" s="60"/>
      <c r="Z852" s="2" t="s">
        <v>61</v>
      </c>
      <c r="AA852" s="1" t="s">
        <v>1796</v>
      </c>
      <c r="AB852" s="1"/>
      <c r="AC852" s="1"/>
      <c r="AD852" s="3" t="s">
        <v>62</v>
      </c>
      <c r="AE852" s="2" t="s">
        <v>592</v>
      </c>
      <c r="AF852" s="2"/>
      <c r="AG852" s="1" t="s">
        <v>1797</v>
      </c>
      <c r="AH852" s="2">
        <v>100</v>
      </c>
      <c r="AI852" s="1"/>
      <c r="AJ852" s="1"/>
      <c r="AK852" s="1"/>
      <c r="AL852" s="1"/>
      <c r="AM852" s="1"/>
      <c r="AN852" s="1"/>
      <c r="AO852" s="1"/>
      <c r="AP852" s="1"/>
      <c r="AQ852" s="1"/>
      <c r="AR852" s="1"/>
      <c r="AS852" s="1"/>
      <c r="AT852" s="1"/>
      <c r="AU852" s="1"/>
      <c r="AV852" s="1"/>
      <c r="AW852" s="1"/>
      <c r="AX852" s="1"/>
      <c r="AY852" s="1"/>
      <c r="AZ852" s="4" t="s">
        <v>1793</v>
      </c>
      <c r="BA852" s="1"/>
      <c r="BB852" s="1"/>
      <c r="BC852" s="1"/>
    </row>
    <row r="853" spans="1:55" s="78" customFormat="1" ht="15" customHeight="1" x14ac:dyDescent="0.25">
      <c r="A853" s="52" t="s">
        <v>4862</v>
      </c>
      <c r="B853" s="34" t="s">
        <v>59</v>
      </c>
      <c r="C853" s="53">
        <v>2026</v>
      </c>
      <c r="D853" s="53">
        <v>2026</v>
      </c>
      <c r="E853" s="54" t="s">
        <v>3501</v>
      </c>
      <c r="F853" s="55" t="s">
        <v>50</v>
      </c>
      <c r="G853" s="55" t="s">
        <v>50</v>
      </c>
      <c r="H853" s="45" t="s">
        <v>1994</v>
      </c>
      <c r="I853" s="56" t="s">
        <v>78</v>
      </c>
      <c r="J853" s="56"/>
      <c r="K853" s="55" t="s">
        <v>148</v>
      </c>
      <c r="L853" s="55" t="s">
        <v>88</v>
      </c>
      <c r="M853" s="55"/>
      <c r="N853" s="56" t="s">
        <v>181</v>
      </c>
      <c r="O853" s="56" t="s">
        <v>1795</v>
      </c>
      <c r="P853" s="56" t="s">
        <v>150</v>
      </c>
      <c r="Q853" s="61" t="s">
        <v>57</v>
      </c>
      <c r="R853" s="55"/>
      <c r="S853" s="56" t="s">
        <v>58</v>
      </c>
      <c r="T853" s="55" t="s">
        <v>81</v>
      </c>
      <c r="U853" s="57">
        <v>-999</v>
      </c>
      <c r="V853" s="57" t="s">
        <v>59</v>
      </c>
      <c r="W853" s="55"/>
      <c r="X853" s="54" t="s">
        <v>4862</v>
      </c>
      <c r="Y853" s="60"/>
      <c r="Z853" s="2" t="s">
        <v>61</v>
      </c>
      <c r="AA853" s="1" t="s">
        <v>1796</v>
      </c>
      <c r="AB853" s="1"/>
      <c r="AC853" s="1"/>
      <c r="AD853" s="3" t="s">
        <v>62</v>
      </c>
      <c r="AE853" s="2" t="s">
        <v>592</v>
      </c>
      <c r="AF853" s="2"/>
      <c r="AG853" s="1" t="s">
        <v>1797</v>
      </c>
      <c r="AH853" s="2">
        <v>100</v>
      </c>
      <c r="AI853" s="1"/>
      <c r="AJ853" s="1"/>
      <c r="AK853" s="1"/>
      <c r="AL853" s="1"/>
      <c r="AM853" s="1"/>
      <c r="AN853" s="1"/>
      <c r="AO853" s="1"/>
      <c r="AP853" s="1"/>
      <c r="AQ853" s="1"/>
      <c r="AR853" s="1"/>
      <c r="AS853" s="1"/>
      <c r="AT853" s="1"/>
      <c r="AU853" s="1"/>
      <c r="AV853" s="1"/>
      <c r="AW853" s="1"/>
      <c r="AX853" s="1"/>
      <c r="AY853" s="1"/>
      <c r="AZ853" s="4" t="s">
        <v>1793</v>
      </c>
      <c r="BA853" s="1"/>
      <c r="BB853" s="1"/>
      <c r="BC853" s="1"/>
    </row>
    <row r="854" spans="1:55" s="78" customFormat="1" ht="15" customHeight="1" x14ac:dyDescent="0.25">
      <c r="A854" s="52" t="s">
        <v>4863</v>
      </c>
      <c r="B854" s="34" t="s">
        <v>59</v>
      </c>
      <c r="C854" s="53">
        <v>2026</v>
      </c>
      <c r="D854" s="53">
        <v>2026</v>
      </c>
      <c r="E854" s="54" t="s">
        <v>3502</v>
      </c>
      <c r="F854" s="55" t="s">
        <v>50</v>
      </c>
      <c r="G854" s="55" t="s">
        <v>50</v>
      </c>
      <c r="H854" s="45" t="s">
        <v>1996</v>
      </c>
      <c r="I854" s="45" t="s">
        <v>52</v>
      </c>
      <c r="J854" s="56"/>
      <c r="K854" s="55" t="s">
        <v>210</v>
      </c>
      <c r="L854" s="55" t="s">
        <v>54</v>
      </c>
      <c r="M854" s="55" t="s">
        <v>211</v>
      </c>
      <c r="N854" s="55" t="s">
        <v>212</v>
      </c>
      <c r="O854" s="55"/>
      <c r="P854" s="55" t="s">
        <v>89</v>
      </c>
      <c r="Q854" s="55" t="s">
        <v>89</v>
      </c>
      <c r="R854" s="55"/>
      <c r="S854" s="56" t="s">
        <v>81</v>
      </c>
      <c r="T854" s="55" t="s">
        <v>81</v>
      </c>
      <c r="U854" s="57">
        <v>-999</v>
      </c>
      <c r="V854" s="57" t="s">
        <v>59</v>
      </c>
      <c r="W854" s="55" t="s">
        <v>2319</v>
      </c>
      <c r="X854" s="54" t="s">
        <v>4863</v>
      </c>
      <c r="Y854" s="52"/>
      <c r="Z854" s="3" t="s">
        <v>61</v>
      </c>
      <c r="AA854" s="1" t="s">
        <v>1997</v>
      </c>
      <c r="AB854" s="1"/>
      <c r="AC854" s="1"/>
      <c r="AD854" s="3" t="s">
        <v>62</v>
      </c>
      <c r="AE854" s="3" t="s">
        <v>115</v>
      </c>
      <c r="AF854" s="3"/>
      <c r="AG854" s="1" t="s">
        <v>215</v>
      </c>
      <c r="AH854" s="2">
        <v>100</v>
      </c>
      <c r="AI854" s="1"/>
      <c r="AJ854" s="2"/>
      <c r="AK854" s="3"/>
      <c r="AL854" s="3"/>
      <c r="AM854" s="3"/>
      <c r="AN854" s="3"/>
      <c r="AO854" s="3"/>
      <c r="AP854" s="3"/>
      <c r="AQ854" s="3"/>
      <c r="AR854" s="3"/>
      <c r="AS854" s="3"/>
      <c r="AT854" s="3"/>
      <c r="AU854" s="3"/>
      <c r="AV854" s="3"/>
      <c r="AW854" s="3"/>
      <c r="AX854" s="3"/>
      <c r="AY854" s="3"/>
      <c r="AZ854" s="4" t="s">
        <v>1995</v>
      </c>
      <c r="BA854" s="3"/>
      <c r="BB854" s="1"/>
      <c r="BC854" s="1"/>
    </row>
    <row r="855" spans="1:55" s="78" customFormat="1" ht="15" customHeight="1" x14ac:dyDescent="0.25">
      <c r="A855" s="52" t="s">
        <v>4864</v>
      </c>
      <c r="B855" s="34" t="s">
        <v>59</v>
      </c>
      <c r="C855" s="53">
        <v>2026</v>
      </c>
      <c r="D855" s="53">
        <v>2026</v>
      </c>
      <c r="E855" s="54" t="s">
        <v>3503</v>
      </c>
      <c r="F855" s="55" t="s">
        <v>50</v>
      </c>
      <c r="G855" s="55" t="s">
        <v>50</v>
      </c>
      <c r="H855" s="45" t="s">
        <v>1998</v>
      </c>
      <c r="I855" s="56" t="s">
        <v>52</v>
      </c>
      <c r="J855" s="56"/>
      <c r="K855" s="56" t="s">
        <v>204</v>
      </c>
      <c r="L855" s="55"/>
      <c r="M855" s="55"/>
      <c r="N855" s="56"/>
      <c r="O855" s="56"/>
      <c r="P855" s="55" t="s">
        <v>89</v>
      </c>
      <c r="Q855" s="55" t="s">
        <v>89</v>
      </c>
      <c r="R855" s="55"/>
      <c r="S855" s="56" t="s">
        <v>81</v>
      </c>
      <c r="T855" s="55" t="s">
        <v>81</v>
      </c>
      <c r="U855" s="57">
        <v>55000</v>
      </c>
      <c r="V855" s="57" t="s">
        <v>101</v>
      </c>
      <c r="W855" s="55" t="s">
        <v>2319</v>
      </c>
      <c r="X855" s="54" t="s">
        <v>4864</v>
      </c>
      <c r="Y855" s="52"/>
      <c r="Z855" s="2" t="s">
        <v>61</v>
      </c>
      <c r="AA855" s="1" t="s">
        <v>452</v>
      </c>
      <c r="AB855" s="1"/>
      <c r="AC855" s="1"/>
      <c r="AD855" s="3" t="s">
        <v>62</v>
      </c>
      <c r="AE855" s="2" t="s">
        <v>83</v>
      </c>
      <c r="AF855" s="2"/>
      <c r="AG855" s="3" t="s">
        <v>453</v>
      </c>
      <c r="AH855" s="58"/>
      <c r="AI855" s="1"/>
      <c r="AJ855" s="1"/>
      <c r="AK855" s="1"/>
      <c r="AL855" s="1"/>
      <c r="AM855" s="1"/>
      <c r="AN855" s="1"/>
      <c r="AO855" s="1"/>
      <c r="AP855" s="1"/>
      <c r="AQ855" s="1"/>
      <c r="AR855" s="1"/>
      <c r="AS855" s="1"/>
      <c r="AT855" s="1"/>
      <c r="AU855" s="1"/>
      <c r="AV855" s="1"/>
      <c r="AW855" s="1"/>
      <c r="AX855" s="1"/>
      <c r="AY855" s="1"/>
      <c r="AZ855" s="4" t="s">
        <v>202</v>
      </c>
      <c r="BA855" s="1" t="s">
        <v>3822</v>
      </c>
      <c r="BB855" s="1"/>
      <c r="BC855" s="1"/>
    </row>
    <row r="856" spans="1:55" s="78" customFormat="1" ht="15" customHeight="1" x14ac:dyDescent="0.25">
      <c r="A856" s="52" t="s">
        <v>4865</v>
      </c>
      <c r="B856" s="34" t="s">
        <v>59</v>
      </c>
      <c r="C856" s="53">
        <v>2026</v>
      </c>
      <c r="D856" s="53">
        <v>2026</v>
      </c>
      <c r="E856" s="54" t="s">
        <v>3504</v>
      </c>
      <c r="F856" s="55" t="s">
        <v>50</v>
      </c>
      <c r="G856" s="55" t="s">
        <v>50</v>
      </c>
      <c r="H856" s="45" t="s">
        <v>1999</v>
      </c>
      <c r="I856" s="56" t="s">
        <v>52</v>
      </c>
      <c r="J856" s="56"/>
      <c r="K856" s="56" t="s">
        <v>346</v>
      </c>
      <c r="L856" s="55" t="str">
        <f>IF(K856="Mine or Quarry","Mine","")</f>
        <v/>
      </c>
      <c r="M856" s="55"/>
      <c r="N856" s="56" t="s">
        <v>788</v>
      </c>
      <c r="O856" s="56" t="s">
        <v>1374</v>
      </c>
      <c r="P856" s="56" t="s">
        <v>89</v>
      </c>
      <c r="Q856" s="56" t="s">
        <v>89</v>
      </c>
      <c r="R856" s="55"/>
      <c r="S856" s="56" t="s">
        <v>81</v>
      </c>
      <c r="T856" s="55" t="str">
        <f>IF(ISNUMBER(SEARCH(",",N856)),"Y","N")</f>
        <v>N</v>
      </c>
      <c r="U856" s="57">
        <v>15000</v>
      </c>
      <c r="V856" s="57" t="s">
        <v>101</v>
      </c>
      <c r="W856" s="55" t="s">
        <v>2319</v>
      </c>
      <c r="X856" s="54" t="s">
        <v>4865</v>
      </c>
      <c r="Y856" s="52"/>
      <c r="Z856" s="2" t="s">
        <v>61</v>
      </c>
      <c r="AA856" s="1" t="s">
        <v>3972</v>
      </c>
      <c r="AB856" s="1"/>
      <c r="AC856" s="1"/>
      <c r="AD856" s="3" t="s">
        <v>62</v>
      </c>
      <c r="AE856" s="2" t="s">
        <v>366</v>
      </c>
      <c r="AF856" s="1" t="s">
        <v>1376</v>
      </c>
      <c r="AG856" s="1" t="s">
        <v>1377</v>
      </c>
      <c r="AH856" s="2">
        <v>100</v>
      </c>
      <c r="AI856" s="1"/>
      <c r="AJ856" s="1"/>
      <c r="AK856" s="1"/>
      <c r="AL856" s="1"/>
      <c r="AM856" s="1"/>
      <c r="AN856" s="1"/>
      <c r="AO856" s="1"/>
      <c r="AP856" s="1"/>
      <c r="AQ856" s="1"/>
      <c r="AR856" s="1"/>
      <c r="AS856" s="1"/>
      <c r="AT856" s="1"/>
      <c r="AU856" s="1"/>
      <c r="AV856" s="1"/>
      <c r="AW856" s="1"/>
      <c r="AX856" s="1"/>
      <c r="AY856" s="1"/>
      <c r="AZ856" s="4" t="s">
        <v>1372</v>
      </c>
      <c r="BA856" s="1"/>
      <c r="BB856" s="1"/>
      <c r="BC856" s="1"/>
    </row>
    <row r="857" spans="1:55" s="78" customFormat="1" ht="15" customHeight="1" x14ac:dyDescent="0.25">
      <c r="A857" s="52" t="s">
        <v>4866</v>
      </c>
      <c r="B857" s="34" t="s">
        <v>59</v>
      </c>
      <c r="C857" s="53">
        <v>2026</v>
      </c>
      <c r="D857" s="53">
        <v>2026</v>
      </c>
      <c r="E857" s="54" t="s">
        <v>3505</v>
      </c>
      <c r="F857" s="55" t="s">
        <v>50</v>
      </c>
      <c r="G857" s="55" t="s">
        <v>50</v>
      </c>
      <c r="H857" s="45" t="s">
        <v>2000</v>
      </c>
      <c r="I857" s="56" t="s">
        <v>52</v>
      </c>
      <c r="J857" s="56"/>
      <c r="K857" s="56" t="s">
        <v>1019</v>
      </c>
      <c r="L857" s="55"/>
      <c r="M857" s="55"/>
      <c r="N857" s="56"/>
      <c r="O857" s="56" t="s">
        <v>1020</v>
      </c>
      <c r="P857" s="56" t="s">
        <v>89</v>
      </c>
      <c r="Q857" s="56" t="s">
        <v>89</v>
      </c>
      <c r="R857" s="55"/>
      <c r="S857" s="56" t="s">
        <v>81</v>
      </c>
      <c r="T857" s="55" t="s">
        <v>81</v>
      </c>
      <c r="U857" s="57">
        <v>-999</v>
      </c>
      <c r="V857" s="57" t="s">
        <v>59</v>
      </c>
      <c r="W857" s="55" t="s">
        <v>2319</v>
      </c>
      <c r="X857" s="54" t="s">
        <v>4866</v>
      </c>
      <c r="Y857" s="52"/>
      <c r="Z857" s="1" t="s">
        <v>61</v>
      </c>
      <c r="AA857" s="1" t="s">
        <v>2001</v>
      </c>
      <c r="AB857" s="1"/>
      <c r="AC857" s="1"/>
      <c r="AD857" s="3" t="s">
        <v>62</v>
      </c>
      <c r="AE857" s="1" t="s">
        <v>192</v>
      </c>
      <c r="AF857" s="1" t="s">
        <v>1022</v>
      </c>
      <c r="AG857" s="1" t="s">
        <v>1023</v>
      </c>
      <c r="AH857" s="2">
        <v>100</v>
      </c>
      <c r="AI857" s="1"/>
      <c r="AJ857" s="1"/>
      <c r="AK857" s="1"/>
      <c r="AL857" s="1"/>
      <c r="AM857" s="1"/>
      <c r="AN857" s="1"/>
      <c r="AO857" s="1"/>
      <c r="AP857" s="1"/>
      <c r="AQ857" s="1"/>
      <c r="AR857" s="1"/>
      <c r="AS857" s="1"/>
      <c r="AT857" s="1"/>
      <c r="AU857" s="1"/>
      <c r="AV857" s="1"/>
      <c r="AW857" s="1"/>
      <c r="AX857" s="1"/>
      <c r="AY857" s="1"/>
      <c r="AZ857" s="4" t="s">
        <v>1017</v>
      </c>
      <c r="BA857" s="1"/>
      <c r="BB857" s="1"/>
      <c r="BC857" s="1"/>
    </row>
    <row r="858" spans="1:55" s="78" customFormat="1" ht="15" customHeight="1" x14ac:dyDescent="0.25">
      <c r="A858" s="52" t="s">
        <v>4867</v>
      </c>
      <c r="B858" s="34" t="s">
        <v>59</v>
      </c>
      <c r="C858" s="53">
        <v>2026</v>
      </c>
      <c r="D858" s="53">
        <v>2026</v>
      </c>
      <c r="E858" s="54" t="s">
        <v>3506</v>
      </c>
      <c r="F858" s="55" t="s">
        <v>50</v>
      </c>
      <c r="G858" s="55" t="s">
        <v>50</v>
      </c>
      <c r="H858" s="45" t="s">
        <v>2003</v>
      </c>
      <c r="I858" s="56" t="s">
        <v>78</v>
      </c>
      <c r="J858" s="56"/>
      <c r="K858" s="45" t="s">
        <v>180</v>
      </c>
      <c r="L858" s="55" t="str">
        <f>IF(K858="Mine or Quarry","Mine","")</f>
        <v/>
      </c>
      <c r="M858" s="55"/>
      <c r="N858" s="55" t="s">
        <v>181</v>
      </c>
      <c r="O858" s="55"/>
      <c r="P858" s="55" t="s">
        <v>182</v>
      </c>
      <c r="Q858" s="55" t="s">
        <v>5353</v>
      </c>
      <c r="R858" s="55"/>
      <c r="S858" s="56" t="s">
        <v>81</v>
      </c>
      <c r="T858" s="55" t="str">
        <f>IF(ISNUMBER(SEARCH(",",N858)),"Y","N")</f>
        <v>N</v>
      </c>
      <c r="U858" s="57">
        <v>1800</v>
      </c>
      <c r="V858" s="57" t="s">
        <v>101</v>
      </c>
      <c r="W858" s="55" t="s">
        <v>2797</v>
      </c>
      <c r="X858" s="54" t="s">
        <v>5331</v>
      </c>
      <c r="Y858" s="53"/>
      <c r="Z858" s="3" t="s">
        <v>2005</v>
      </c>
      <c r="AA858" s="3" t="s">
        <v>2004</v>
      </c>
      <c r="AB858" s="3"/>
      <c r="AC858" s="3"/>
      <c r="AD858" s="3" t="s">
        <v>62</v>
      </c>
      <c r="AE858" s="3" t="s">
        <v>184</v>
      </c>
      <c r="AF858" s="3"/>
      <c r="AG858" s="3" t="s">
        <v>450</v>
      </c>
      <c r="AH858" s="58">
        <v>100</v>
      </c>
      <c r="AI858" s="3"/>
      <c r="AJ858" s="53"/>
      <c r="AK858" s="3"/>
      <c r="AL858" s="3"/>
      <c r="AM858" s="3"/>
      <c r="AN858" s="3"/>
      <c r="AO858" s="3"/>
      <c r="AP858" s="3"/>
      <c r="AQ858" s="3"/>
      <c r="AR858" s="3"/>
      <c r="AS858" s="3"/>
      <c r="AT858" s="3"/>
      <c r="AU858" s="3"/>
      <c r="AV858" s="3"/>
      <c r="AW858" s="3"/>
      <c r="AX858" s="3"/>
      <c r="AY858" s="3"/>
      <c r="AZ858" s="2" t="s">
        <v>2002</v>
      </c>
      <c r="BA858" s="3"/>
      <c r="BB858" s="1"/>
      <c r="BC858" s="1"/>
    </row>
    <row r="859" spans="1:55" s="78" customFormat="1" ht="15" customHeight="1" x14ac:dyDescent="0.25">
      <c r="A859" s="52" t="s">
        <v>4868</v>
      </c>
      <c r="B859" s="34" t="s">
        <v>59</v>
      </c>
      <c r="C859" s="53">
        <v>2026</v>
      </c>
      <c r="D859" s="53">
        <v>2026</v>
      </c>
      <c r="E859" s="54" t="s">
        <v>3507</v>
      </c>
      <c r="F859" s="55" t="s">
        <v>50</v>
      </c>
      <c r="G859" s="55" t="s">
        <v>50</v>
      </c>
      <c r="H859" s="45" t="s">
        <v>2006</v>
      </c>
      <c r="I859" s="56" t="s">
        <v>52</v>
      </c>
      <c r="J859" s="56"/>
      <c r="K859" s="55" t="s">
        <v>313</v>
      </c>
      <c r="L859" s="55"/>
      <c r="M859" s="55" t="s">
        <v>113</v>
      </c>
      <c r="N859" s="56" t="s">
        <v>358</v>
      </c>
      <c r="O859" s="56" t="s">
        <v>351</v>
      </c>
      <c r="P859" s="56" t="s">
        <v>314</v>
      </c>
      <c r="Q859" s="61" t="s">
        <v>57</v>
      </c>
      <c r="R859" s="55"/>
      <c r="S859" s="56" t="s">
        <v>81</v>
      </c>
      <c r="T859" s="55" t="s">
        <v>81</v>
      </c>
      <c r="U859" s="57">
        <v>110000</v>
      </c>
      <c r="V859" s="57" t="s">
        <v>101</v>
      </c>
      <c r="W859" s="55" t="s">
        <v>2319</v>
      </c>
      <c r="X859" s="54" t="s">
        <v>4868</v>
      </c>
      <c r="Y859" s="52"/>
      <c r="Z859" s="2" t="s">
        <v>61</v>
      </c>
      <c r="AA859" s="1" t="s">
        <v>2007</v>
      </c>
      <c r="AB859" s="1"/>
      <c r="AC859" s="1"/>
      <c r="AD859" s="3" t="s">
        <v>62</v>
      </c>
      <c r="AE859" s="2" t="s">
        <v>63</v>
      </c>
      <c r="AF859" s="1" t="s">
        <v>354</v>
      </c>
      <c r="AG859" s="1" t="s">
        <v>355</v>
      </c>
      <c r="AH859" s="2">
        <v>100</v>
      </c>
      <c r="AI859" s="1"/>
      <c r="AJ859" s="1"/>
      <c r="AK859" s="1"/>
      <c r="AL859" s="1"/>
      <c r="AM859" s="1"/>
      <c r="AN859" s="1"/>
      <c r="AO859" s="1"/>
      <c r="AP859" s="1"/>
      <c r="AQ859" s="1"/>
      <c r="AR859" s="1"/>
      <c r="AS859" s="1"/>
      <c r="AT859" s="1"/>
      <c r="AU859" s="1"/>
      <c r="AV859" s="1"/>
      <c r="AW859" s="1"/>
      <c r="AX859" s="1"/>
      <c r="AY859" s="1"/>
      <c r="AZ859" s="4" t="s">
        <v>349</v>
      </c>
      <c r="BA859" s="1"/>
      <c r="BB859" s="1"/>
      <c r="BC859" s="1"/>
    </row>
    <row r="860" spans="1:55" s="78" customFormat="1" ht="15" customHeight="1" x14ac:dyDescent="0.25">
      <c r="A860" s="52" t="s">
        <v>4869</v>
      </c>
      <c r="B860" s="34" t="s">
        <v>59</v>
      </c>
      <c r="C860" s="53">
        <v>2026</v>
      </c>
      <c r="D860" s="53">
        <v>2026</v>
      </c>
      <c r="E860" s="54" t="s">
        <v>3508</v>
      </c>
      <c r="F860" s="55" t="s">
        <v>50</v>
      </c>
      <c r="G860" s="55" t="s">
        <v>50</v>
      </c>
      <c r="H860" s="45" t="s">
        <v>2009</v>
      </c>
      <c r="I860" s="45" t="s">
        <v>52</v>
      </c>
      <c r="J860" s="56"/>
      <c r="K860" s="55" t="s">
        <v>210</v>
      </c>
      <c r="L860" s="55" t="s">
        <v>54</v>
      </c>
      <c r="M860" s="55" t="s">
        <v>211</v>
      </c>
      <c r="N860" s="55" t="s">
        <v>212</v>
      </c>
      <c r="O860" s="55"/>
      <c r="P860" s="55" t="s">
        <v>89</v>
      </c>
      <c r="Q860" s="55" t="s">
        <v>89</v>
      </c>
      <c r="R860" s="55"/>
      <c r="S860" s="56" t="s">
        <v>81</v>
      </c>
      <c r="T860" s="55" t="s">
        <v>81</v>
      </c>
      <c r="U860" s="57">
        <v>8600</v>
      </c>
      <c r="V860" s="57" t="s">
        <v>101</v>
      </c>
      <c r="W860" s="55" t="s">
        <v>2319</v>
      </c>
      <c r="X860" s="54" t="s">
        <v>4869</v>
      </c>
      <c r="Y860" s="52"/>
      <c r="Z860" s="3" t="s">
        <v>61</v>
      </c>
      <c r="AA860" s="1" t="s">
        <v>2010</v>
      </c>
      <c r="AB860" s="1"/>
      <c r="AC860" s="1"/>
      <c r="AD860" s="3" t="s">
        <v>62</v>
      </c>
      <c r="AE860" s="3" t="s">
        <v>524</v>
      </c>
      <c r="AF860" s="3"/>
      <c r="AG860" s="1" t="s">
        <v>2011</v>
      </c>
      <c r="AH860" s="2">
        <v>100</v>
      </c>
      <c r="AI860" s="1"/>
      <c r="AJ860" s="2"/>
      <c r="AK860" s="3"/>
      <c r="AL860" s="3"/>
      <c r="AM860" s="3"/>
      <c r="AN860" s="3"/>
      <c r="AO860" s="3"/>
      <c r="AP860" s="3"/>
      <c r="AQ860" s="3"/>
      <c r="AR860" s="3"/>
      <c r="AS860" s="3"/>
      <c r="AT860" s="3"/>
      <c r="AU860" s="3"/>
      <c r="AV860" s="3"/>
      <c r="AW860" s="3"/>
      <c r="AX860" s="3"/>
      <c r="AY860" s="3"/>
      <c r="AZ860" s="4" t="s">
        <v>2008</v>
      </c>
      <c r="BA860" s="3"/>
      <c r="BB860" s="1"/>
      <c r="BC860" s="1"/>
    </row>
    <row r="861" spans="1:55" s="78" customFormat="1" ht="15" customHeight="1" x14ac:dyDescent="0.25">
      <c r="A861" s="52" t="s">
        <v>4870</v>
      </c>
      <c r="B861" s="34" t="s">
        <v>59</v>
      </c>
      <c r="C861" s="53">
        <v>2026</v>
      </c>
      <c r="D861" s="53">
        <v>2026</v>
      </c>
      <c r="E861" s="54" t="s">
        <v>3509</v>
      </c>
      <c r="F861" s="55" t="s">
        <v>50</v>
      </c>
      <c r="G861" s="55" t="s">
        <v>50</v>
      </c>
      <c r="H861" s="45" t="s">
        <v>2013</v>
      </c>
      <c r="I861" s="56" t="s">
        <v>78</v>
      </c>
      <c r="J861" s="56"/>
      <c r="K861" s="56" t="s">
        <v>71</v>
      </c>
      <c r="L861" s="55" t="s">
        <v>88</v>
      </c>
      <c r="M861" s="55"/>
      <c r="N861" s="56" t="s">
        <v>110</v>
      </c>
      <c r="O861" s="56"/>
      <c r="P861" s="55" t="s">
        <v>73</v>
      </c>
      <c r="Q861" s="55" t="s">
        <v>57</v>
      </c>
      <c r="R861" s="55"/>
      <c r="S861" s="56" t="s">
        <v>58</v>
      </c>
      <c r="T861" s="55" t="s">
        <v>81</v>
      </c>
      <c r="U861" s="57">
        <v>-999</v>
      </c>
      <c r="V861" s="57" t="s">
        <v>59</v>
      </c>
      <c r="W861" s="55"/>
      <c r="X861" s="54" t="s">
        <v>4870</v>
      </c>
      <c r="Y861" s="52"/>
      <c r="Z861" s="3" t="s">
        <v>61</v>
      </c>
      <c r="AA861" s="1" t="s">
        <v>2014</v>
      </c>
      <c r="AB861" s="1"/>
      <c r="AC861" s="1"/>
      <c r="AD861" s="3" t="s">
        <v>62</v>
      </c>
      <c r="AE861" s="3" t="s">
        <v>83</v>
      </c>
      <c r="AF861" s="3"/>
      <c r="AG861" s="1" t="s">
        <v>1256</v>
      </c>
      <c r="AH861" s="58"/>
      <c r="AI861" s="1"/>
      <c r="AJ861" s="1"/>
      <c r="AK861" s="1"/>
      <c r="AL861" s="1"/>
      <c r="AM861" s="1"/>
      <c r="AN861" s="1"/>
      <c r="AO861" s="1"/>
      <c r="AP861" s="1"/>
      <c r="AQ861" s="1"/>
      <c r="AR861" s="1"/>
      <c r="AS861" s="1"/>
      <c r="AT861" s="1"/>
      <c r="AU861" s="1"/>
      <c r="AV861" s="1"/>
      <c r="AW861" s="1"/>
      <c r="AX861" s="1"/>
      <c r="AY861" s="1"/>
      <c r="AZ861" s="4" t="s">
        <v>2012</v>
      </c>
      <c r="BA861" s="5"/>
      <c r="BB861" s="1"/>
      <c r="BC861" s="1"/>
    </row>
    <row r="862" spans="1:55" s="78" customFormat="1" ht="15" customHeight="1" x14ac:dyDescent="0.25">
      <c r="A862" s="52" t="s">
        <v>4871</v>
      </c>
      <c r="B862" s="34" t="s">
        <v>59</v>
      </c>
      <c r="C862" s="53">
        <v>2026</v>
      </c>
      <c r="D862" s="53">
        <v>2026</v>
      </c>
      <c r="E862" s="54" t="s">
        <v>3509</v>
      </c>
      <c r="F862" s="55" t="s">
        <v>50</v>
      </c>
      <c r="G862" s="55" t="s">
        <v>50</v>
      </c>
      <c r="H862" s="45" t="s">
        <v>2013</v>
      </c>
      <c r="I862" s="56" t="s">
        <v>78</v>
      </c>
      <c r="J862" s="56"/>
      <c r="K862" s="56" t="s">
        <v>74</v>
      </c>
      <c r="L862" s="55" t="s">
        <v>88</v>
      </c>
      <c r="M862" s="55"/>
      <c r="N862" s="56" t="s">
        <v>110</v>
      </c>
      <c r="O862" s="56"/>
      <c r="P862" s="55" t="s">
        <v>75</v>
      </c>
      <c r="Q862" s="56" t="s">
        <v>57</v>
      </c>
      <c r="R862" s="55"/>
      <c r="S862" s="56" t="s">
        <v>58</v>
      </c>
      <c r="T862" s="55" t="str">
        <f t="shared" ref="T862:T875" si="13">IF(ISNUMBER(SEARCH(",",N862)),"Y","N")</f>
        <v>N</v>
      </c>
      <c r="U862" s="57">
        <v>-999</v>
      </c>
      <c r="V862" s="57" t="s">
        <v>59</v>
      </c>
      <c r="W862" s="55"/>
      <c r="X862" s="54" t="s">
        <v>4871</v>
      </c>
      <c r="Y862" s="52"/>
      <c r="Z862" s="2" t="s">
        <v>61</v>
      </c>
      <c r="AA862" s="1" t="s">
        <v>2014</v>
      </c>
      <c r="AB862" s="1"/>
      <c r="AC862" s="1"/>
      <c r="AD862" s="3" t="s">
        <v>62</v>
      </c>
      <c r="AE862" s="1" t="s">
        <v>83</v>
      </c>
      <c r="AF862" s="1"/>
      <c r="AG862" s="1" t="s">
        <v>1256</v>
      </c>
      <c r="AH862" s="1"/>
      <c r="AI862" s="1"/>
      <c r="AJ862" s="1"/>
      <c r="AK862" s="1"/>
      <c r="AL862" s="1"/>
      <c r="AM862" s="1"/>
      <c r="AN862" s="1"/>
      <c r="AO862" s="1"/>
      <c r="AP862" s="1"/>
      <c r="AQ862" s="1"/>
      <c r="AR862" s="1"/>
      <c r="AS862" s="1"/>
      <c r="AT862" s="1"/>
      <c r="AU862" s="1"/>
      <c r="AV862" s="1"/>
      <c r="AW862" s="1"/>
      <c r="AX862" s="1"/>
      <c r="AY862" s="1"/>
      <c r="AZ862" s="5" t="s">
        <v>2015</v>
      </c>
      <c r="BA862" s="5"/>
      <c r="BB862" s="1"/>
      <c r="BC862" s="1"/>
    </row>
    <row r="863" spans="1:55" s="78" customFormat="1" ht="15" customHeight="1" x14ac:dyDescent="0.25">
      <c r="A863" s="52" t="s">
        <v>4872</v>
      </c>
      <c r="B863" s="34" t="s">
        <v>59</v>
      </c>
      <c r="C863" s="53">
        <v>2026</v>
      </c>
      <c r="D863" s="53">
        <v>2026</v>
      </c>
      <c r="E863" s="54" t="s">
        <v>3510</v>
      </c>
      <c r="F863" s="55" t="s">
        <v>50</v>
      </c>
      <c r="G863" s="55" t="s">
        <v>50</v>
      </c>
      <c r="H863" s="45" t="s">
        <v>2016</v>
      </c>
      <c r="I863" s="56" t="s">
        <v>52</v>
      </c>
      <c r="J863" s="56"/>
      <c r="K863" s="55" t="s">
        <v>74</v>
      </c>
      <c r="L863" s="55"/>
      <c r="M863" s="55"/>
      <c r="N863" s="55" t="s">
        <v>110</v>
      </c>
      <c r="O863" s="56" t="s">
        <v>296</v>
      </c>
      <c r="P863" s="55" t="s">
        <v>75</v>
      </c>
      <c r="Q863" s="56" t="s">
        <v>57</v>
      </c>
      <c r="R863" s="55"/>
      <c r="S863" s="56" t="s">
        <v>58</v>
      </c>
      <c r="T863" s="55" t="str">
        <f t="shared" si="13"/>
        <v>N</v>
      </c>
      <c r="U863" s="57">
        <v>-999</v>
      </c>
      <c r="V863" s="57" t="s">
        <v>59</v>
      </c>
      <c r="W863" s="55"/>
      <c r="X863" s="54" t="s">
        <v>4872</v>
      </c>
      <c r="Y863" s="52"/>
      <c r="Z863" s="3" t="s">
        <v>61</v>
      </c>
      <c r="AA863" s="3" t="s">
        <v>2014</v>
      </c>
      <c r="AB863" s="3"/>
      <c r="AC863" s="3"/>
      <c r="AD863" s="3" t="s">
        <v>62</v>
      </c>
      <c r="AE863" s="3" t="s">
        <v>83</v>
      </c>
      <c r="AF863" s="3"/>
      <c r="AG863" s="3" t="s">
        <v>1256</v>
      </c>
      <c r="AH863" s="58"/>
      <c r="AI863" s="1"/>
      <c r="AJ863" s="3"/>
      <c r="AK863" s="3"/>
      <c r="AL863" s="3"/>
      <c r="AM863" s="3"/>
      <c r="AN863" s="3"/>
      <c r="AO863" s="3"/>
      <c r="AP863" s="3"/>
      <c r="AQ863" s="3"/>
      <c r="AR863" s="3"/>
      <c r="AS863" s="3"/>
      <c r="AT863" s="3"/>
      <c r="AU863" s="3"/>
      <c r="AV863" s="3"/>
      <c r="AW863" s="3"/>
      <c r="AX863" s="3"/>
      <c r="AY863" s="3"/>
      <c r="AZ863" s="4" t="s">
        <v>2015</v>
      </c>
      <c r="BA863" s="5"/>
      <c r="BB863" s="1"/>
      <c r="BC863" s="1"/>
    </row>
    <row r="864" spans="1:55" s="78" customFormat="1" ht="15" customHeight="1" x14ac:dyDescent="0.25">
      <c r="A864" s="52" t="s">
        <v>4873</v>
      </c>
      <c r="B864" s="34" t="s">
        <v>59</v>
      </c>
      <c r="C864" s="53">
        <v>2026</v>
      </c>
      <c r="D864" s="53">
        <v>2026</v>
      </c>
      <c r="E864" s="54" t="s">
        <v>3510</v>
      </c>
      <c r="F864" s="55" t="s">
        <v>50</v>
      </c>
      <c r="G864" s="55" t="s">
        <v>50</v>
      </c>
      <c r="H864" s="45" t="s">
        <v>2016</v>
      </c>
      <c r="I864" s="56" t="s">
        <v>52</v>
      </c>
      <c r="J864" s="56"/>
      <c r="K864" s="55" t="s">
        <v>71</v>
      </c>
      <c r="L864" s="55"/>
      <c r="M864" s="55"/>
      <c r="N864" s="55" t="s">
        <v>110</v>
      </c>
      <c r="O864" s="45" t="s">
        <v>296</v>
      </c>
      <c r="P864" s="55" t="s">
        <v>73</v>
      </c>
      <c r="Q864" s="55" t="s">
        <v>57</v>
      </c>
      <c r="R864" s="55"/>
      <c r="S864" s="56" t="s">
        <v>58</v>
      </c>
      <c r="T864" s="55" t="str">
        <f t="shared" si="13"/>
        <v>N</v>
      </c>
      <c r="U864" s="57">
        <v>1.276</v>
      </c>
      <c r="V864" s="57" t="s">
        <v>101</v>
      </c>
      <c r="W864" s="55"/>
      <c r="X864" s="54" t="s">
        <v>4873</v>
      </c>
      <c r="Y864" s="52"/>
      <c r="Z864" s="3" t="s">
        <v>61</v>
      </c>
      <c r="AA864" s="3" t="s">
        <v>2014</v>
      </c>
      <c r="AB864" s="3"/>
      <c r="AC864" s="3"/>
      <c r="AD864" s="3" t="s">
        <v>62</v>
      </c>
      <c r="AE864" s="3" t="s">
        <v>83</v>
      </c>
      <c r="AF864" s="3"/>
      <c r="AG864" s="1" t="s">
        <v>1256</v>
      </c>
      <c r="AH864" s="58"/>
      <c r="AI864" s="3"/>
      <c r="AJ864" s="3"/>
      <c r="AK864" s="3"/>
      <c r="AL864" s="3"/>
      <c r="AM864" s="3"/>
      <c r="AN864" s="3"/>
      <c r="AO864" s="3"/>
      <c r="AP864" s="3"/>
      <c r="AQ864" s="3"/>
      <c r="AR864" s="3"/>
      <c r="AS864" s="3"/>
      <c r="AT864" s="3"/>
      <c r="AU864" s="3"/>
      <c r="AV864" s="3"/>
      <c r="AW864" s="3"/>
      <c r="AX864" s="3"/>
      <c r="AY864" s="3"/>
      <c r="AZ864" s="4" t="s">
        <v>2012</v>
      </c>
      <c r="BA864" s="5"/>
      <c r="BB864" s="1"/>
      <c r="BC864" s="1"/>
    </row>
    <row r="865" spans="1:55" s="78" customFormat="1" ht="15" customHeight="1" x14ac:dyDescent="0.25">
      <c r="A865" s="52" t="s">
        <v>4874</v>
      </c>
      <c r="B865" s="34" t="s">
        <v>59</v>
      </c>
      <c r="C865" s="53">
        <v>2026</v>
      </c>
      <c r="D865" s="53">
        <v>2026</v>
      </c>
      <c r="E865" s="54" t="s">
        <v>3511</v>
      </c>
      <c r="F865" s="55" t="s">
        <v>50</v>
      </c>
      <c r="G865" s="55" t="s">
        <v>50</v>
      </c>
      <c r="H865" s="45" t="s">
        <v>2018</v>
      </c>
      <c r="I865" s="45" t="s">
        <v>52</v>
      </c>
      <c r="J865" s="56"/>
      <c r="K865" s="55" t="s">
        <v>71</v>
      </c>
      <c r="L865" s="55" t="str">
        <f>IF(K865="Mine or Quarry","Mine","")</f>
        <v/>
      </c>
      <c r="M865" s="55"/>
      <c r="N865" s="55"/>
      <c r="O865" s="55"/>
      <c r="P865" s="55" t="s">
        <v>73</v>
      </c>
      <c r="Q865" s="55" t="s">
        <v>57</v>
      </c>
      <c r="R865" s="55"/>
      <c r="S865" s="56" t="s">
        <v>81</v>
      </c>
      <c r="T865" s="55" t="str">
        <f t="shared" si="13"/>
        <v>N</v>
      </c>
      <c r="U865" s="57">
        <v>-999</v>
      </c>
      <c r="V865" s="57" t="s">
        <v>59</v>
      </c>
      <c r="W865" s="55" t="s">
        <v>2319</v>
      </c>
      <c r="X865" s="54" t="s">
        <v>4874</v>
      </c>
      <c r="Y865" s="52"/>
      <c r="Z865" s="3" t="s">
        <v>61</v>
      </c>
      <c r="AA865" s="3" t="s">
        <v>2019</v>
      </c>
      <c r="AB865" s="3"/>
      <c r="AC865" s="3"/>
      <c r="AD865" s="3" t="s">
        <v>62</v>
      </c>
      <c r="AE865" s="3" t="s">
        <v>155</v>
      </c>
      <c r="AF865" s="3"/>
      <c r="AG865" s="3" t="s">
        <v>2020</v>
      </c>
      <c r="AH865" s="58">
        <v>100</v>
      </c>
      <c r="AI865" s="3"/>
      <c r="AJ865" s="3"/>
      <c r="AK865" s="3"/>
      <c r="AL865" s="3"/>
      <c r="AM865" s="3"/>
      <c r="AN865" s="3"/>
      <c r="AO865" s="3"/>
      <c r="AP865" s="3"/>
      <c r="AQ865" s="3"/>
      <c r="AR865" s="3"/>
      <c r="AS865" s="3"/>
      <c r="AT865" s="3"/>
      <c r="AU865" s="3"/>
      <c r="AV865" s="3"/>
      <c r="AW865" s="3"/>
      <c r="AX865" s="3"/>
      <c r="AY865" s="3"/>
      <c r="AZ865" s="4" t="s">
        <v>2017</v>
      </c>
      <c r="BA865" s="3"/>
      <c r="BB865" s="1"/>
      <c r="BC865" s="1"/>
    </row>
    <row r="866" spans="1:55" s="78" customFormat="1" ht="15" customHeight="1" x14ac:dyDescent="0.25">
      <c r="A866" s="52" t="s">
        <v>4875</v>
      </c>
      <c r="B866" s="34" t="s">
        <v>59</v>
      </c>
      <c r="C866" s="53">
        <v>2026</v>
      </c>
      <c r="D866" s="53">
        <v>2026</v>
      </c>
      <c r="E866" s="54" t="s">
        <v>3512</v>
      </c>
      <c r="F866" s="55" t="s">
        <v>50</v>
      </c>
      <c r="G866" s="55" t="s">
        <v>50</v>
      </c>
      <c r="H866" s="45" t="s">
        <v>2022</v>
      </c>
      <c r="I866" s="56" t="s">
        <v>52</v>
      </c>
      <c r="J866" s="56"/>
      <c r="K866" s="56" t="s">
        <v>87</v>
      </c>
      <c r="L866" s="55" t="str">
        <f>IF(K866="Mine or Quarry","Mine","")</f>
        <v/>
      </c>
      <c r="M866" s="55"/>
      <c r="N866" s="56"/>
      <c r="O866" s="56" t="s">
        <v>2894</v>
      </c>
      <c r="P866" s="56" t="s">
        <v>89</v>
      </c>
      <c r="Q866" s="56" t="s">
        <v>89</v>
      </c>
      <c r="R866" s="55"/>
      <c r="S866" s="56" t="s">
        <v>81</v>
      </c>
      <c r="T866" s="55" t="str">
        <f t="shared" si="13"/>
        <v>N</v>
      </c>
      <c r="U866" s="57">
        <v>-999</v>
      </c>
      <c r="V866" s="57" t="s">
        <v>59</v>
      </c>
      <c r="W866" s="55" t="s">
        <v>2319</v>
      </c>
      <c r="X866" s="54" t="s">
        <v>4875</v>
      </c>
      <c r="Y866" s="52"/>
      <c r="Z866" s="1" t="s">
        <v>61</v>
      </c>
      <c r="AA866" s="1" t="s">
        <v>373</v>
      </c>
      <c r="AB866" s="1"/>
      <c r="AC866" s="1"/>
      <c r="AD866" s="3" t="s">
        <v>62</v>
      </c>
      <c r="AE866" s="1" t="s">
        <v>206</v>
      </c>
      <c r="AF866" s="1" t="s">
        <v>227</v>
      </c>
      <c r="AG866" s="1" t="s">
        <v>228</v>
      </c>
      <c r="AH866" s="2">
        <v>100</v>
      </c>
      <c r="AI866" s="1"/>
      <c r="AJ866" s="1"/>
      <c r="AK866" s="1"/>
      <c r="AL866" s="1"/>
      <c r="AM866" s="1"/>
      <c r="AN866" s="1"/>
      <c r="AO866" s="1"/>
      <c r="AP866" s="1"/>
      <c r="AQ866" s="1"/>
      <c r="AR866" s="1"/>
      <c r="AS866" s="1"/>
      <c r="AT866" s="1"/>
      <c r="AU866" s="1"/>
      <c r="AV866" s="1"/>
      <c r="AW866" s="1"/>
      <c r="AX866" s="1"/>
      <c r="AY866" s="1"/>
      <c r="AZ866" s="5" t="s">
        <v>2021</v>
      </c>
      <c r="BA866" s="5"/>
      <c r="BB866" s="1"/>
      <c r="BC866" s="1"/>
    </row>
    <row r="867" spans="1:55" s="78" customFormat="1" ht="15" customHeight="1" x14ac:dyDescent="0.25">
      <c r="A867" s="52" t="s">
        <v>4876</v>
      </c>
      <c r="B867" s="34" t="s">
        <v>59</v>
      </c>
      <c r="C867" s="53">
        <v>2026</v>
      </c>
      <c r="D867" s="53">
        <v>2026</v>
      </c>
      <c r="E867" s="54" t="s">
        <v>3513</v>
      </c>
      <c r="F867" s="55" t="s">
        <v>50</v>
      </c>
      <c r="G867" s="55" t="s">
        <v>50</v>
      </c>
      <c r="H867" s="45" t="s">
        <v>2023</v>
      </c>
      <c r="I867" s="56" t="s">
        <v>78</v>
      </c>
      <c r="J867" s="56"/>
      <c r="K867" s="56" t="s">
        <v>313</v>
      </c>
      <c r="L867" s="56" t="s">
        <v>88</v>
      </c>
      <c r="M867" s="55"/>
      <c r="N867" s="56" t="s">
        <v>110</v>
      </c>
      <c r="O867" s="56"/>
      <c r="P867" s="61" t="s">
        <v>314</v>
      </c>
      <c r="Q867" s="61" t="s">
        <v>57</v>
      </c>
      <c r="R867" s="55"/>
      <c r="S867" s="56" t="s">
        <v>58</v>
      </c>
      <c r="T867" s="55" t="str">
        <f t="shared" si="13"/>
        <v>N</v>
      </c>
      <c r="U867" s="57">
        <v>44000</v>
      </c>
      <c r="V867" s="57" t="s">
        <v>101</v>
      </c>
      <c r="W867" s="55" t="s">
        <v>2319</v>
      </c>
      <c r="X867" s="54" t="s">
        <v>4876</v>
      </c>
      <c r="Y867" s="52"/>
      <c r="Z867" s="2" t="s">
        <v>514</v>
      </c>
      <c r="AA867" s="1" t="s">
        <v>2024</v>
      </c>
      <c r="AB867" s="1"/>
      <c r="AC867" s="1"/>
      <c r="AD867" s="3" t="s">
        <v>62</v>
      </c>
      <c r="AE867" s="2" t="s">
        <v>214</v>
      </c>
      <c r="AF867" s="2"/>
      <c r="AG867" s="3" t="s">
        <v>1970</v>
      </c>
      <c r="AH867" s="58">
        <v>100</v>
      </c>
      <c r="AI867" s="1"/>
      <c r="AJ867" s="1"/>
      <c r="AK867" s="1"/>
      <c r="AL867" s="1"/>
      <c r="AM867" s="1"/>
      <c r="AN867" s="1"/>
      <c r="AO867" s="1"/>
      <c r="AP867" s="1"/>
      <c r="AQ867" s="1"/>
      <c r="AR867" s="1"/>
      <c r="AS867" s="1"/>
      <c r="AT867" s="1"/>
      <c r="AU867" s="1"/>
      <c r="AV867" s="1"/>
      <c r="AW867" s="1"/>
      <c r="AX867" s="1"/>
      <c r="AY867" s="1"/>
      <c r="AZ867" s="2" t="s">
        <v>5359</v>
      </c>
      <c r="BA867" s="1"/>
      <c r="BB867" s="1"/>
      <c r="BC867" s="1"/>
    </row>
    <row r="868" spans="1:55" s="78" customFormat="1" ht="15" customHeight="1" x14ac:dyDescent="0.25">
      <c r="A868" s="52" t="s">
        <v>4877</v>
      </c>
      <c r="B868" s="34" t="s">
        <v>59</v>
      </c>
      <c r="C868" s="53">
        <v>2026</v>
      </c>
      <c r="D868" s="53">
        <v>2026</v>
      </c>
      <c r="E868" s="54" t="s">
        <v>3513</v>
      </c>
      <c r="F868" s="55" t="s">
        <v>50</v>
      </c>
      <c r="G868" s="55" t="s">
        <v>50</v>
      </c>
      <c r="H868" s="45" t="s">
        <v>2023</v>
      </c>
      <c r="I868" s="56" t="s">
        <v>78</v>
      </c>
      <c r="J868" s="56"/>
      <c r="K868" s="56" t="s">
        <v>582</v>
      </c>
      <c r="L868" s="55" t="s">
        <v>88</v>
      </c>
      <c r="M868" s="55"/>
      <c r="N868" s="56" t="s">
        <v>110</v>
      </c>
      <c r="O868" s="56"/>
      <c r="P868" s="61" t="s">
        <v>583</v>
      </c>
      <c r="Q868" s="61" t="s">
        <v>57</v>
      </c>
      <c r="R868" s="55"/>
      <c r="S868" s="56" t="s">
        <v>58</v>
      </c>
      <c r="T868" s="55" t="str">
        <f t="shared" si="13"/>
        <v>N</v>
      </c>
      <c r="U868" s="57">
        <v>210</v>
      </c>
      <c r="V868" s="57" t="s">
        <v>101</v>
      </c>
      <c r="W868" s="55" t="s">
        <v>2319</v>
      </c>
      <c r="X868" s="54" t="s">
        <v>4877</v>
      </c>
      <c r="Y868" s="52"/>
      <c r="Z868" s="2" t="s">
        <v>514</v>
      </c>
      <c r="AA868" s="1" t="s">
        <v>2024</v>
      </c>
      <c r="AB868" s="1"/>
      <c r="AC868" s="1"/>
      <c r="AD868" s="3" t="s">
        <v>62</v>
      </c>
      <c r="AE868" s="2" t="s">
        <v>214</v>
      </c>
      <c r="AF868" s="2"/>
      <c r="AG868" s="3" t="s">
        <v>1970</v>
      </c>
      <c r="AH868" s="58">
        <v>100</v>
      </c>
      <c r="AI868" s="1"/>
      <c r="AJ868" s="1"/>
      <c r="AK868" s="1"/>
      <c r="AL868" s="1"/>
      <c r="AM868" s="1"/>
      <c r="AN868" s="1"/>
      <c r="AO868" s="1"/>
      <c r="AP868" s="1"/>
      <c r="AQ868" s="1"/>
      <c r="AR868" s="1"/>
      <c r="AS868" s="1"/>
      <c r="AT868" s="1"/>
      <c r="AU868" s="1"/>
      <c r="AV868" s="1"/>
      <c r="AW868" s="1"/>
      <c r="AX868" s="1"/>
      <c r="AY868" s="1"/>
      <c r="AZ868" s="4" t="s">
        <v>582</v>
      </c>
      <c r="BA868" s="1"/>
      <c r="BB868" s="1"/>
      <c r="BC868" s="1"/>
    </row>
    <row r="869" spans="1:55" s="78" customFormat="1" ht="15" customHeight="1" x14ac:dyDescent="0.25">
      <c r="A869" s="52" t="s">
        <v>4878</v>
      </c>
      <c r="B869" s="34" t="s">
        <v>59</v>
      </c>
      <c r="C869" s="53">
        <v>2026</v>
      </c>
      <c r="D869" s="53">
        <v>2026</v>
      </c>
      <c r="E869" s="54" t="s">
        <v>3513</v>
      </c>
      <c r="F869" s="55" t="s">
        <v>50</v>
      </c>
      <c r="G869" s="55" t="s">
        <v>50</v>
      </c>
      <c r="H869" s="45" t="s">
        <v>2025</v>
      </c>
      <c r="I869" s="56" t="s">
        <v>78</v>
      </c>
      <c r="J869" s="56"/>
      <c r="K869" s="56" t="s">
        <v>71</v>
      </c>
      <c r="L869" s="55" t="s">
        <v>88</v>
      </c>
      <c r="M869" s="55"/>
      <c r="N869" s="56" t="s">
        <v>110</v>
      </c>
      <c r="O869" s="56"/>
      <c r="P869" s="55" t="s">
        <v>73</v>
      </c>
      <c r="Q869" s="55" t="s">
        <v>57</v>
      </c>
      <c r="R869" s="55"/>
      <c r="S869" s="56" t="s">
        <v>58</v>
      </c>
      <c r="T869" s="55" t="str">
        <f t="shared" si="13"/>
        <v>N</v>
      </c>
      <c r="U869" s="73">
        <v>5.67</v>
      </c>
      <c r="V869" s="57" t="s">
        <v>101</v>
      </c>
      <c r="W869" s="55"/>
      <c r="X869" s="54" t="s">
        <v>4878</v>
      </c>
      <c r="Y869" s="52"/>
      <c r="Z869" s="1" t="s">
        <v>61</v>
      </c>
      <c r="AA869" s="1" t="s">
        <v>2026</v>
      </c>
      <c r="AB869" s="1"/>
      <c r="AC869" s="1"/>
      <c r="AD869" s="3" t="s">
        <v>62</v>
      </c>
      <c r="AE869" s="1" t="s">
        <v>83</v>
      </c>
      <c r="AF869" s="1" t="s">
        <v>431</v>
      </c>
      <c r="AG869" s="1" t="s">
        <v>432</v>
      </c>
      <c r="AH869" s="59">
        <v>61.5</v>
      </c>
      <c r="AI869" s="1" t="s">
        <v>433</v>
      </c>
      <c r="AJ869" s="59">
        <v>38.5</v>
      </c>
      <c r="AK869" s="1"/>
      <c r="AL869" s="60"/>
      <c r="AM869" s="1"/>
      <c r="AN869" s="60"/>
      <c r="AO869" s="1"/>
      <c r="AP869" s="60"/>
      <c r="AQ869" s="1"/>
      <c r="AR869" s="60"/>
      <c r="AS869" s="1"/>
      <c r="AT869" s="60"/>
      <c r="AU869" s="1"/>
      <c r="AV869" s="60"/>
      <c r="AW869" s="1"/>
      <c r="AX869" s="60"/>
      <c r="AY869" s="1"/>
      <c r="AZ869" s="4" t="s">
        <v>3965</v>
      </c>
      <c r="BA869" s="5" t="s">
        <v>3912</v>
      </c>
      <c r="BB869" s="1"/>
      <c r="BC869" s="1"/>
    </row>
    <row r="870" spans="1:55" s="78" customFormat="1" ht="15" customHeight="1" x14ac:dyDescent="0.25">
      <c r="A870" s="52" t="s">
        <v>4879</v>
      </c>
      <c r="B870" s="34" t="s">
        <v>59</v>
      </c>
      <c r="C870" s="53">
        <v>2026</v>
      </c>
      <c r="D870" s="53">
        <v>2026</v>
      </c>
      <c r="E870" s="54" t="s">
        <v>3513</v>
      </c>
      <c r="F870" s="55" t="s">
        <v>50</v>
      </c>
      <c r="G870" s="55" t="s">
        <v>50</v>
      </c>
      <c r="H870" s="45" t="s">
        <v>2025</v>
      </c>
      <c r="I870" s="56" t="s">
        <v>78</v>
      </c>
      <c r="J870" s="56"/>
      <c r="K870" s="55" t="s">
        <v>74</v>
      </c>
      <c r="L870" s="55" t="s">
        <v>88</v>
      </c>
      <c r="M870" s="55"/>
      <c r="N870" s="55" t="s">
        <v>181</v>
      </c>
      <c r="O870" s="55"/>
      <c r="P870" s="55" t="s">
        <v>75</v>
      </c>
      <c r="Q870" s="56" t="s">
        <v>57</v>
      </c>
      <c r="R870" s="55"/>
      <c r="S870" s="56" t="s">
        <v>58</v>
      </c>
      <c r="T870" s="55" t="str">
        <f t="shared" si="13"/>
        <v>N</v>
      </c>
      <c r="U870" s="57">
        <v>29.263000000000002</v>
      </c>
      <c r="V870" s="57" t="s">
        <v>101</v>
      </c>
      <c r="W870" s="55"/>
      <c r="X870" s="54" t="s">
        <v>4879</v>
      </c>
      <c r="Y870" s="52"/>
      <c r="Z870" s="1" t="s">
        <v>61</v>
      </c>
      <c r="AA870" s="1" t="s">
        <v>2026</v>
      </c>
      <c r="AB870" s="1"/>
      <c r="AC870" s="1"/>
      <c r="AD870" s="3" t="s">
        <v>62</v>
      </c>
      <c r="AE870" s="3" t="s">
        <v>83</v>
      </c>
      <c r="AF870" s="1" t="s">
        <v>431</v>
      </c>
      <c r="AG870" s="1" t="s">
        <v>432</v>
      </c>
      <c r="AH870" s="59">
        <v>61.5</v>
      </c>
      <c r="AI870" s="1" t="s">
        <v>433</v>
      </c>
      <c r="AJ870" s="59">
        <v>38.5</v>
      </c>
      <c r="AK870" s="3"/>
      <c r="AL870" s="53"/>
      <c r="AM870" s="3"/>
      <c r="AN870" s="53"/>
      <c r="AO870" s="3"/>
      <c r="AP870" s="53"/>
      <c r="AQ870" s="3"/>
      <c r="AR870" s="53"/>
      <c r="AS870" s="3"/>
      <c r="AT870" s="53"/>
      <c r="AU870" s="3"/>
      <c r="AV870" s="53"/>
      <c r="AW870" s="3"/>
      <c r="AX870" s="53"/>
      <c r="AY870" s="3"/>
      <c r="AZ870" s="4" t="s">
        <v>3965</v>
      </c>
      <c r="BA870" s="5" t="s">
        <v>3912</v>
      </c>
      <c r="BB870" s="1"/>
      <c r="BC870" s="1"/>
    </row>
    <row r="871" spans="1:55" s="78" customFormat="1" ht="15" customHeight="1" x14ac:dyDescent="0.25">
      <c r="A871" s="52" t="s">
        <v>4880</v>
      </c>
      <c r="B871" s="34" t="s">
        <v>59</v>
      </c>
      <c r="C871" s="53">
        <v>2026</v>
      </c>
      <c r="D871" s="53">
        <v>2026</v>
      </c>
      <c r="E871" s="54" t="s">
        <v>3513</v>
      </c>
      <c r="F871" s="55" t="s">
        <v>50</v>
      </c>
      <c r="G871" s="55" t="s">
        <v>50</v>
      </c>
      <c r="H871" s="45" t="s">
        <v>2025</v>
      </c>
      <c r="I871" s="56" t="s">
        <v>78</v>
      </c>
      <c r="J871" s="56"/>
      <c r="K871" s="55" t="s">
        <v>53</v>
      </c>
      <c r="L871" s="55" t="s">
        <v>88</v>
      </c>
      <c r="M871" s="55"/>
      <c r="N871" s="55" t="s">
        <v>181</v>
      </c>
      <c r="O871" s="55"/>
      <c r="P871" s="55" t="s">
        <v>56</v>
      </c>
      <c r="Q871" s="55" t="s">
        <v>57</v>
      </c>
      <c r="R871" s="55"/>
      <c r="S871" s="56" t="s">
        <v>58</v>
      </c>
      <c r="T871" s="55" t="str">
        <f t="shared" si="13"/>
        <v>N</v>
      </c>
      <c r="U871" s="57">
        <v>20000</v>
      </c>
      <c r="V871" s="57" t="s">
        <v>101</v>
      </c>
      <c r="W871" s="55"/>
      <c r="X871" s="54" t="s">
        <v>4880</v>
      </c>
      <c r="Y871" s="52"/>
      <c r="Z871" s="1" t="s">
        <v>61</v>
      </c>
      <c r="AA871" s="1" t="s">
        <v>2026</v>
      </c>
      <c r="AB871" s="1"/>
      <c r="AC871" s="1"/>
      <c r="AD871" s="3" t="s">
        <v>62</v>
      </c>
      <c r="AE871" s="3" t="s">
        <v>83</v>
      </c>
      <c r="AF871" s="1" t="s">
        <v>431</v>
      </c>
      <c r="AG871" s="1" t="s">
        <v>432</v>
      </c>
      <c r="AH871" s="59">
        <v>61.5</v>
      </c>
      <c r="AI871" s="1" t="s">
        <v>433</v>
      </c>
      <c r="AJ871" s="59">
        <v>38.5</v>
      </c>
      <c r="AK871" s="3"/>
      <c r="AL871" s="53"/>
      <c r="AM871" s="3"/>
      <c r="AN871" s="53"/>
      <c r="AO871" s="3"/>
      <c r="AP871" s="53"/>
      <c r="AQ871" s="3"/>
      <c r="AR871" s="53"/>
      <c r="AS871" s="3"/>
      <c r="AT871" s="53"/>
      <c r="AU871" s="3"/>
      <c r="AV871" s="53"/>
      <c r="AW871" s="3"/>
      <c r="AX871" s="53"/>
      <c r="AY871" s="3"/>
      <c r="AZ871" s="4" t="s">
        <v>3965</v>
      </c>
      <c r="BA871" s="5" t="s">
        <v>3912</v>
      </c>
      <c r="BB871" s="1"/>
      <c r="BC871" s="1"/>
    </row>
    <row r="872" spans="1:55" s="78" customFormat="1" ht="15" customHeight="1" x14ac:dyDescent="0.25">
      <c r="A872" s="52" t="s">
        <v>4881</v>
      </c>
      <c r="B872" s="34" t="s">
        <v>59</v>
      </c>
      <c r="C872" s="53">
        <v>2026</v>
      </c>
      <c r="D872" s="53">
        <v>2026</v>
      </c>
      <c r="E872" s="54" t="s">
        <v>3514</v>
      </c>
      <c r="F872" s="55" t="s">
        <v>50</v>
      </c>
      <c r="G872" s="55" t="s">
        <v>50</v>
      </c>
      <c r="H872" s="45" t="s">
        <v>2027</v>
      </c>
      <c r="I872" s="56" t="s">
        <v>52</v>
      </c>
      <c r="J872" s="56"/>
      <c r="K872" s="55" t="s">
        <v>53</v>
      </c>
      <c r="L872" s="55"/>
      <c r="M872" s="55"/>
      <c r="N872" s="55" t="s">
        <v>110</v>
      </c>
      <c r="O872" s="55"/>
      <c r="P872" s="55" t="s">
        <v>56</v>
      </c>
      <c r="Q872" s="55" t="s">
        <v>57</v>
      </c>
      <c r="R872" s="55"/>
      <c r="S872" s="56" t="s">
        <v>58</v>
      </c>
      <c r="T872" s="55" t="str">
        <f t="shared" si="13"/>
        <v>N</v>
      </c>
      <c r="U872" s="57">
        <v>20000</v>
      </c>
      <c r="V872" s="57" t="s">
        <v>101</v>
      </c>
      <c r="W872" s="55"/>
      <c r="X872" s="54" t="s">
        <v>4881</v>
      </c>
      <c r="Y872" s="52"/>
      <c r="Z872" s="1" t="s">
        <v>61</v>
      </c>
      <c r="AA872" s="1" t="s">
        <v>2026</v>
      </c>
      <c r="AB872" s="1"/>
      <c r="AC872" s="1"/>
      <c r="AD872" s="3" t="s">
        <v>62</v>
      </c>
      <c r="AE872" s="3" t="s">
        <v>83</v>
      </c>
      <c r="AF872" s="1" t="s">
        <v>431</v>
      </c>
      <c r="AG872" s="1" t="s">
        <v>432</v>
      </c>
      <c r="AH872" s="59">
        <v>61.5</v>
      </c>
      <c r="AI872" s="1" t="s">
        <v>433</v>
      </c>
      <c r="AJ872" s="59">
        <v>38.5</v>
      </c>
      <c r="AK872" s="3"/>
      <c r="AL872" s="53"/>
      <c r="AM872" s="3"/>
      <c r="AN872" s="53"/>
      <c r="AO872" s="3"/>
      <c r="AP872" s="53"/>
      <c r="AQ872" s="3"/>
      <c r="AR872" s="53"/>
      <c r="AS872" s="3"/>
      <c r="AT872" s="53"/>
      <c r="AU872" s="3"/>
      <c r="AV872" s="53"/>
      <c r="AW872" s="3"/>
      <c r="AX872" s="53"/>
      <c r="AY872" s="3"/>
      <c r="AZ872" s="4" t="s">
        <v>3965</v>
      </c>
      <c r="BA872" s="5" t="s">
        <v>3912</v>
      </c>
      <c r="BB872" s="1"/>
      <c r="BC872" s="1"/>
    </row>
    <row r="873" spans="1:55" s="78" customFormat="1" ht="15" customHeight="1" x14ac:dyDescent="0.25">
      <c r="A873" s="52" t="s">
        <v>4882</v>
      </c>
      <c r="B873" s="34" t="s">
        <v>59</v>
      </c>
      <c r="C873" s="53">
        <v>2026</v>
      </c>
      <c r="D873" s="53">
        <v>2026</v>
      </c>
      <c r="E873" s="54" t="s">
        <v>3514</v>
      </c>
      <c r="F873" s="55" t="s">
        <v>50</v>
      </c>
      <c r="G873" s="55" t="s">
        <v>50</v>
      </c>
      <c r="H873" s="45" t="s">
        <v>2027</v>
      </c>
      <c r="I873" s="56" t="s">
        <v>52</v>
      </c>
      <c r="J873" s="56"/>
      <c r="K873" s="56" t="s">
        <v>71</v>
      </c>
      <c r="L873" s="55"/>
      <c r="M873" s="55"/>
      <c r="N873" s="55" t="s">
        <v>110</v>
      </c>
      <c r="O873" s="45" t="s">
        <v>296</v>
      </c>
      <c r="P873" s="55" t="s">
        <v>73</v>
      </c>
      <c r="Q873" s="55" t="s">
        <v>57</v>
      </c>
      <c r="R873" s="55"/>
      <c r="S873" s="56" t="s">
        <v>58</v>
      </c>
      <c r="T873" s="55" t="str">
        <f t="shared" si="13"/>
        <v>N</v>
      </c>
      <c r="U873" s="73">
        <v>5.67</v>
      </c>
      <c r="V873" s="57" t="s">
        <v>101</v>
      </c>
      <c r="W873" s="55"/>
      <c r="X873" s="54" t="s">
        <v>4882</v>
      </c>
      <c r="Y873" s="52"/>
      <c r="Z873" s="1" t="s">
        <v>61</v>
      </c>
      <c r="AA873" s="1" t="s">
        <v>2026</v>
      </c>
      <c r="AB873" s="1"/>
      <c r="AC873" s="1"/>
      <c r="AD873" s="3" t="s">
        <v>62</v>
      </c>
      <c r="AE873" s="1" t="s">
        <v>83</v>
      </c>
      <c r="AF873" s="1" t="s">
        <v>431</v>
      </c>
      <c r="AG873" s="1" t="s">
        <v>432</v>
      </c>
      <c r="AH873" s="59">
        <v>61.5</v>
      </c>
      <c r="AI873" s="1" t="s">
        <v>433</v>
      </c>
      <c r="AJ873" s="59">
        <v>38.5</v>
      </c>
      <c r="AK873" s="1"/>
      <c r="AL873" s="60"/>
      <c r="AM873" s="1"/>
      <c r="AN873" s="60"/>
      <c r="AO873" s="1"/>
      <c r="AP873" s="60"/>
      <c r="AQ873" s="1"/>
      <c r="AR873" s="60"/>
      <c r="AS873" s="1"/>
      <c r="AT873" s="60"/>
      <c r="AU873" s="1"/>
      <c r="AV873" s="60"/>
      <c r="AW873" s="1"/>
      <c r="AX873" s="60"/>
      <c r="AY873" s="1"/>
      <c r="AZ873" s="4" t="s">
        <v>3965</v>
      </c>
      <c r="BA873" s="5" t="s">
        <v>3912</v>
      </c>
      <c r="BB873" s="1"/>
      <c r="BC873" s="1"/>
    </row>
    <row r="874" spans="1:55" s="78" customFormat="1" ht="15" customHeight="1" x14ac:dyDescent="0.25">
      <c r="A874" s="52" t="s">
        <v>4883</v>
      </c>
      <c r="B874" s="34" t="s">
        <v>59</v>
      </c>
      <c r="C874" s="53">
        <v>2026</v>
      </c>
      <c r="D874" s="53">
        <v>2026</v>
      </c>
      <c r="E874" s="54" t="s">
        <v>3514</v>
      </c>
      <c r="F874" s="55" t="s">
        <v>50</v>
      </c>
      <c r="G874" s="55" t="s">
        <v>50</v>
      </c>
      <c r="H874" s="45" t="s">
        <v>2027</v>
      </c>
      <c r="I874" s="56" t="s">
        <v>52</v>
      </c>
      <c r="J874" s="56"/>
      <c r="K874" s="56" t="s">
        <v>74</v>
      </c>
      <c r="L874" s="55" t="str">
        <f>IF(K874="Mines and Quarries","Mine","")</f>
        <v/>
      </c>
      <c r="M874" s="55"/>
      <c r="N874" s="55" t="s">
        <v>110</v>
      </c>
      <c r="O874" s="56" t="s">
        <v>296</v>
      </c>
      <c r="P874" s="55" t="s">
        <v>75</v>
      </c>
      <c r="Q874" s="56" t="s">
        <v>57</v>
      </c>
      <c r="R874" s="55"/>
      <c r="S874" s="56" t="s">
        <v>58</v>
      </c>
      <c r="T874" s="55" t="str">
        <f t="shared" si="13"/>
        <v>N</v>
      </c>
      <c r="U874" s="57">
        <v>29.263000000000002</v>
      </c>
      <c r="V874" s="57" t="s">
        <v>101</v>
      </c>
      <c r="W874" s="55"/>
      <c r="X874" s="54" t="s">
        <v>4883</v>
      </c>
      <c r="Y874" s="52"/>
      <c r="Z874" s="1" t="s">
        <v>61</v>
      </c>
      <c r="AA874" s="1" t="s">
        <v>2026</v>
      </c>
      <c r="AB874" s="1"/>
      <c r="AC874" s="1"/>
      <c r="AD874" s="3" t="s">
        <v>62</v>
      </c>
      <c r="AE874" s="3" t="s">
        <v>83</v>
      </c>
      <c r="AF874" s="1" t="s">
        <v>431</v>
      </c>
      <c r="AG874" s="1" t="s">
        <v>432</v>
      </c>
      <c r="AH874" s="59">
        <v>61.5</v>
      </c>
      <c r="AI874" s="1" t="s">
        <v>433</v>
      </c>
      <c r="AJ874" s="59">
        <v>38.5</v>
      </c>
      <c r="AK874" s="1"/>
      <c r="AL874" s="60"/>
      <c r="AM874" s="1"/>
      <c r="AN874" s="60"/>
      <c r="AO874" s="1"/>
      <c r="AP874" s="60"/>
      <c r="AQ874" s="1"/>
      <c r="AR874" s="60"/>
      <c r="AS874" s="1"/>
      <c r="AT874" s="60"/>
      <c r="AU874" s="1"/>
      <c r="AV874" s="60"/>
      <c r="AW874" s="1"/>
      <c r="AX874" s="60"/>
      <c r="AY874" s="1"/>
      <c r="AZ874" s="4" t="s">
        <v>3965</v>
      </c>
      <c r="BA874" s="5" t="s">
        <v>3912</v>
      </c>
      <c r="BB874" s="1"/>
      <c r="BC874" s="1"/>
    </row>
    <row r="875" spans="1:55" s="78" customFormat="1" ht="15" customHeight="1" x14ac:dyDescent="0.25">
      <c r="A875" s="52" t="s">
        <v>4884</v>
      </c>
      <c r="B875" s="34" t="s">
        <v>59</v>
      </c>
      <c r="C875" s="53">
        <v>2026</v>
      </c>
      <c r="D875" s="53">
        <v>2026</v>
      </c>
      <c r="E875" s="54" t="s">
        <v>3515</v>
      </c>
      <c r="F875" s="55" t="s">
        <v>50</v>
      </c>
      <c r="G875" s="55" t="s">
        <v>50</v>
      </c>
      <c r="H875" s="45" t="s">
        <v>2028</v>
      </c>
      <c r="I875" s="56" t="s">
        <v>52</v>
      </c>
      <c r="J875" s="56"/>
      <c r="K875" s="56" t="s">
        <v>53</v>
      </c>
      <c r="L875" s="55" t="s">
        <v>54</v>
      </c>
      <c r="M875" s="55"/>
      <c r="N875" s="55" t="s">
        <v>327</v>
      </c>
      <c r="O875" s="56"/>
      <c r="P875" s="55" t="s">
        <v>56</v>
      </c>
      <c r="Q875" s="55" t="s">
        <v>57</v>
      </c>
      <c r="R875" s="55"/>
      <c r="S875" s="56" t="s">
        <v>58</v>
      </c>
      <c r="T875" s="55" t="str">
        <f t="shared" si="13"/>
        <v>N</v>
      </c>
      <c r="U875" s="57">
        <v>10000</v>
      </c>
      <c r="V875" s="57" t="s">
        <v>101</v>
      </c>
      <c r="W875" s="55"/>
      <c r="X875" s="54" t="s">
        <v>4884</v>
      </c>
      <c r="Y875" s="52"/>
      <c r="Z875" s="1" t="s">
        <v>61</v>
      </c>
      <c r="AA875" s="1" t="s">
        <v>2026</v>
      </c>
      <c r="AB875" s="1"/>
      <c r="AC875" s="1"/>
      <c r="AD875" s="3" t="s">
        <v>62</v>
      </c>
      <c r="AE875" s="1" t="s">
        <v>83</v>
      </c>
      <c r="AF875" s="1" t="s">
        <v>431</v>
      </c>
      <c r="AG875" s="1" t="s">
        <v>432</v>
      </c>
      <c r="AH875" s="53">
        <v>61.5</v>
      </c>
      <c r="AI875" s="1" t="s">
        <v>433</v>
      </c>
      <c r="AJ875" s="53">
        <v>38.5</v>
      </c>
      <c r="AK875" s="1"/>
      <c r="AL875" s="60"/>
      <c r="AM875" s="1"/>
      <c r="AN875" s="60"/>
      <c r="AO875" s="1"/>
      <c r="AP875" s="60"/>
      <c r="AQ875" s="1"/>
      <c r="AR875" s="60"/>
      <c r="AS875" s="1"/>
      <c r="AT875" s="60"/>
      <c r="AU875" s="1"/>
      <c r="AV875" s="60"/>
      <c r="AW875" s="1"/>
      <c r="AX875" s="60"/>
      <c r="AY875" s="1"/>
      <c r="AZ875" s="4" t="s">
        <v>295</v>
      </c>
      <c r="BA875" s="1"/>
      <c r="BB875" s="1"/>
      <c r="BC875" s="1"/>
    </row>
    <row r="876" spans="1:55" s="78" customFormat="1" ht="14.45" customHeight="1" x14ac:dyDescent="0.25">
      <c r="A876" s="52" t="s">
        <v>4885</v>
      </c>
      <c r="B876" s="34" t="s">
        <v>59</v>
      </c>
      <c r="C876" s="53">
        <v>2026</v>
      </c>
      <c r="D876" s="53">
        <v>2026</v>
      </c>
      <c r="E876" s="54" t="s">
        <v>3516</v>
      </c>
      <c r="F876" s="55" t="s">
        <v>50</v>
      </c>
      <c r="G876" s="55" t="s">
        <v>50</v>
      </c>
      <c r="H876" s="45" t="s">
        <v>2030</v>
      </c>
      <c r="I876" s="56" t="s">
        <v>52</v>
      </c>
      <c r="J876" s="56"/>
      <c r="K876" s="56" t="s">
        <v>87</v>
      </c>
      <c r="L876" s="55" t="str">
        <f>IF(K876="Mine or Quarry","Mine","")</f>
        <v/>
      </c>
      <c r="M876" s="55"/>
      <c r="N876" s="56"/>
      <c r="O876" s="56" t="s">
        <v>2892</v>
      </c>
      <c r="P876" s="56" t="s">
        <v>89</v>
      </c>
      <c r="Q876" s="56" t="s">
        <v>89</v>
      </c>
      <c r="R876" s="55"/>
      <c r="S876" s="56" t="s">
        <v>81</v>
      </c>
      <c r="T876" s="55" t="s">
        <v>58</v>
      </c>
      <c r="U876" s="57">
        <v>-999</v>
      </c>
      <c r="V876" s="57" t="s">
        <v>59</v>
      </c>
      <c r="W876" s="55" t="s">
        <v>2319</v>
      </c>
      <c r="X876" s="54" t="s">
        <v>4885</v>
      </c>
      <c r="Y876" s="52"/>
      <c r="Z876" s="1" t="s">
        <v>61</v>
      </c>
      <c r="AA876" s="1" t="s">
        <v>2031</v>
      </c>
      <c r="AB876" s="1"/>
      <c r="AC876" s="1"/>
      <c r="AD876" s="3" t="s">
        <v>62</v>
      </c>
      <c r="AE876" s="1" t="s">
        <v>83</v>
      </c>
      <c r="AF876" s="1" t="s">
        <v>947</v>
      </c>
      <c r="AG876" s="1" t="s">
        <v>947</v>
      </c>
      <c r="AH876" s="1"/>
      <c r="AI876" s="1"/>
      <c r="AJ876" s="1"/>
      <c r="AK876" s="1"/>
      <c r="AL876" s="1"/>
      <c r="AM876" s="1"/>
      <c r="AN876" s="1"/>
      <c r="AO876" s="1"/>
      <c r="AP876" s="1"/>
      <c r="AQ876" s="1"/>
      <c r="AR876" s="1"/>
      <c r="AS876" s="1"/>
      <c r="AT876" s="1"/>
      <c r="AU876" s="1"/>
      <c r="AV876" s="1"/>
      <c r="AW876" s="1"/>
      <c r="AX876" s="1"/>
      <c r="AY876" s="1"/>
      <c r="AZ876" s="5" t="s">
        <v>2029</v>
      </c>
      <c r="BA876" s="5"/>
      <c r="BB876" s="1"/>
      <c r="BC876" s="1"/>
    </row>
    <row r="877" spans="1:55" s="78" customFormat="1" ht="15" customHeight="1" x14ac:dyDescent="0.25">
      <c r="A877" s="52" t="s">
        <v>4886</v>
      </c>
      <c r="B877" s="34" t="s">
        <v>59</v>
      </c>
      <c r="C877" s="53">
        <v>2026</v>
      </c>
      <c r="D877" s="53">
        <v>2026</v>
      </c>
      <c r="E877" s="54" t="s">
        <v>3517</v>
      </c>
      <c r="F877" s="55" t="s">
        <v>50</v>
      </c>
      <c r="G877" s="55" t="s">
        <v>50</v>
      </c>
      <c r="H877" s="45" t="s">
        <v>2032</v>
      </c>
      <c r="I877" s="56" t="s">
        <v>78</v>
      </c>
      <c r="J877" s="56"/>
      <c r="K877" s="56" t="s">
        <v>71</v>
      </c>
      <c r="L877" s="55"/>
      <c r="M877" s="55"/>
      <c r="N877" s="55" t="s">
        <v>181</v>
      </c>
      <c r="O877" s="45"/>
      <c r="P877" s="55" t="s">
        <v>73</v>
      </c>
      <c r="Q877" s="55" t="s">
        <v>57</v>
      </c>
      <c r="R877" s="55"/>
      <c r="S877" s="56" t="s">
        <v>81</v>
      </c>
      <c r="T877" s="55" t="str">
        <f>IF(ISNUMBER(SEARCH(",",N877)),"Y","N")</f>
        <v>N</v>
      </c>
      <c r="U877" s="57">
        <v>0.86699999999999999</v>
      </c>
      <c r="V877" s="57" t="s">
        <v>101</v>
      </c>
      <c r="W877" s="55"/>
      <c r="X877" s="54" t="s">
        <v>4886</v>
      </c>
      <c r="Y877" s="52"/>
      <c r="Z877" s="2" t="s">
        <v>2005</v>
      </c>
      <c r="AA877" s="1" t="s">
        <v>2033</v>
      </c>
      <c r="AB877" s="1"/>
      <c r="AC877" s="1"/>
      <c r="AD877" s="3" t="s">
        <v>62</v>
      </c>
      <c r="AE877" s="1" t="s">
        <v>83</v>
      </c>
      <c r="AF877" s="1"/>
      <c r="AG877" s="3" t="s">
        <v>1279</v>
      </c>
      <c r="AH877" s="58">
        <v>100</v>
      </c>
      <c r="AI877" s="1"/>
      <c r="AJ877" s="59"/>
      <c r="AK877" s="1"/>
      <c r="AL877" s="60"/>
      <c r="AM877" s="1"/>
      <c r="AN877" s="60"/>
      <c r="AO877" s="1"/>
      <c r="AP877" s="60"/>
      <c r="AQ877" s="1"/>
      <c r="AR877" s="60"/>
      <c r="AS877" s="1"/>
      <c r="AT877" s="60"/>
      <c r="AU877" s="1"/>
      <c r="AV877" s="60"/>
      <c r="AW877" s="1"/>
      <c r="AX877" s="60"/>
      <c r="AY877" s="1"/>
      <c r="AZ877" s="4" t="s">
        <v>3913</v>
      </c>
      <c r="BA877" s="5" t="s">
        <v>3914</v>
      </c>
      <c r="BB877" s="1"/>
      <c r="BC877" s="1"/>
    </row>
    <row r="878" spans="1:55" s="78" customFormat="1" ht="15" customHeight="1" x14ac:dyDescent="0.25">
      <c r="A878" s="52" t="s">
        <v>4887</v>
      </c>
      <c r="B878" s="34" t="s">
        <v>59</v>
      </c>
      <c r="C878" s="53">
        <v>2026</v>
      </c>
      <c r="D878" s="53">
        <v>2026</v>
      </c>
      <c r="E878" s="54" t="s">
        <v>3518</v>
      </c>
      <c r="F878" s="55" t="s">
        <v>50</v>
      </c>
      <c r="G878" s="55" t="s">
        <v>50</v>
      </c>
      <c r="H878" s="45" t="s">
        <v>2034</v>
      </c>
      <c r="I878" s="56" t="s">
        <v>52</v>
      </c>
      <c r="J878" s="56"/>
      <c r="K878" s="56" t="s">
        <v>71</v>
      </c>
      <c r="L878" s="55" t="str">
        <f>IF(K878="Mine or Quarry","Mine","")</f>
        <v/>
      </c>
      <c r="M878" s="55"/>
      <c r="N878" s="56" t="s">
        <v>110</v>
      </c>
      <c r="O878" s="45" t="s">
        <v>296</v>
      </c>
      <c r="P878" s="55" t="s">
        <v>73</v>
      </c>
      <c r="Q878" s="55" t="s">
        <v>57</v>
      </c>
      <c r="R878" s="55"/>
      <c r="S878" s="56" t="s">
        <v>81</v>
      </c>
      <c r="T878" s="55" t="str">
        <f>IF(ISNUMBER(SEARCH(",",N878)),"Y","N")</f>
        <v>N</v>
      </c>
      <c r="U878" s="57">
        <v>0.86699999999999999</v>
      </c>
      <c r="V878" s="57" t="s">
        <v>101</v>
      </c>
      <c r="W878" s="55"/>
      <c r="X878" s="54" t="s">
        <v>4887</v>
      </c>
      <c r="Y878" s="52"/>
      <c r="Z878" s="2" t="s">
        <v>2005</v>
      </c>
      <c r="AA878" s="1" t="s">
        <v>2033</v>
      </c>
      <c r="AB878" s="1"/>
      <c r="AC878" s="1"/>
      <c r="AD878" s="3" t="s">
        <v>62</v>
      </c>
      <c r="AE878" s="2" t="s">
        <v>83</v>
      </c>
      <c r="AF878" s="2"/>
      <c r="AG878" s="3" t="s">
        <v>1279</v>
      </c>
      <c r="AH878" s="58">
        <v>100</v>
      </c>
      <c r="AI878" s="1"/>
      <c r="AJ878" s="1"/>
      <c r="AK878" s="1"/>
      <c r="AL878" s="1"/>
      <c r="AM878" s="1"/>
      <c r="AN878" s="1"/>
      <c r="AO878" s="1"/>
      <c r="AP878" s="1"/>
      <c r="AQ878" s="1"/>
      <c r="AR878" s="1"/>
      <c r="AS878" s="1"/>
      <c r="AT878" s="1"/>
      <c r="AU878" s="1"/>
      <c r="AV878" s="1"/>
      <c r="AW878" s="1"/>
      <c r="AX878" s="1"/>
      <c r="AY878" s="1"/>
      <c r="AZ878" s="4" t="s">
        <v>3913</v>
      </c>
      <c r="BA878" s="1" t="s">
        <v>3914</v>
      </c>
      <c r="BB878" s="1"/>
      <c r="BC878" s="1"/>
    </row>
    <row r="879" spans="1:55" s="78" customFormat="1" ht="15" customHeight="1" x14ac:dyDescent="0.25">
      <c r="A879" s="52" t="s">
        <v>4888</v>
      </c>
      <c r="B879" s="34" t="s">
        <v>59</v>
      </c>
      <c r="C879" s="53">
        <v>2026</v>
      </c>
      <c r="D879" s="53">
        <v>2026</v>
      </c>
      <c r="E879" s="54" t="s">
        <v>3519</v>
      </c>
      <c r="F879" s="55" t="s">
        <v>50</v>
      </c>
      <c r="G879" s="55" t="s">
        <v>50</v>
      </c>
      <c r="H879" s="45" t="s">
        <v>2036</v>
      </c>
      <c r="I879" s="56" t="s">
        <v>78</v>
      </c>
      <c r="J879" s="56"/>
      <c r="K879" s="56" t="s">
        <v>71</v>
      </c>
      <c r="L879" s="55" t="s">
        <v>88</v>
      </c>
      <c r="M879" s="55"/>
      <c r="N879" s="56" t="s">
        <v>110</v>
      </c>
      <c r="O879" s="56"/>
      <c r="P879" s="55" t="s">
        <v>73</v>
      </c>
      <c r="Q879" s="55" t="s">
        <v>57</v>
      </c>
      <c r="R879" s="55"/>
      <c r="S879" s="56" t="s">
        <v>58</v>
      </c>
      <c r="T879" s="55" t="str">
        <f>IF(ISNUMBER(SEARCH(",",N879)),"Y","N")</f>
        <v>N</v>
      </c>
      <c r="U879" s="57">
        <v>-999</v>
      </c>
      <c r="V879" s="57" t="s">
        <v>59</v>
      </c>
      <c r="W879" s="55" t="s">
        <v>2319</v>
      </c>
      <c r="X879" s="54" t="s">
        <v>4888</v>
      </c>
      <c r="Y879" s="52"/>
      <c r="Z879" s="1" t="s">
        <v>61</v>
      </c>
      <c r="AA879" s="1" t="s">
        <v>710</v>
      </c>
      <c r="AB879" s="1"/>
      <c r="AC879" s="1"/>
      <c r="AD879" s="3" t="s">
        <v>62</v>
      </c>
      <c r="AE879" s="45" t="s">
        <v>108</v>
      </c>
      <c r="AF879" s="55" t="s">
        <v>2037</v>
      </c>
      <c r="AG879" s="55" t="s">
        <v>2037</v>
      </c>
      <c r="AH879" s="64"/>
      <c r="AI879" s="1"/>
      <c r="AJ879" s="1"/>
      <c r="AK879" s="1"/>
      <c r="AL879" s="1"/>
      <c r="AM879" s="1"/>
      <c r="AN879" s="1"/>
      <c r="AO879" s="1"/>
      <c r="AP879" s="1"/>
      <c r="AQ879" s="1"/>
      <c r="AR879" s="1"/>
      <c r="AS879" s="1"/>
      <c r="AT879" s="1"/>
      <c r="AU879" s="1"/>
      <c r="AV879" s="1"/>
      <c r="AW879" s="1"/>
      <c r="AX879" s="1"/>
      <c r="AY879" s="1"/>
      <c r="AZ879" s="5" t="s">
        <v>2035</v>
      </c>
      <c r="BA879" s="5"/>
      <c r="BB879" s="1"/>
      <c r="BC879" s="1"/>
    </row>
    <row r="880" spans="1:55" s="78" customFormat="1" ht="15" customHeight="1" x14ac:dyDescent="0.25">
      <c r="A880" s="52" t="s">
        <v>4889</v>
      </c>
      <c r="B880" s="34" t="s">
        <v>59</v>
      </c>
      <c r="C880" s="53">
        <v>2026</v>
      </c>
      <c r="D880" s="53">
        <v>2026</v>
      </c>
      <c r="E880" s="54" t="s">
        <v>3519</v>
      </c>
      <c r="F880" s="55" t="s">
        <v>50</v>
      </c>
      <c r="G880" s="55" t="s">
        <v>50</v>
      </c>
      <c r="H880" s="45" t="s">
        <v>2036</v>
      </c>
      <c r="I880" s="56" t="s">
        <v>78</v>
      </c>
      <c r="J880" s="56"/>
      <c r="K880" s="56" t="s">
        <v>53</v>
      </c>
      <c r="L880" s="55" t="s">
        <v>88</v>
      </c>
      <c r="M880" s="55"/>
      <c r="N880" s="56" t="s">
        <v>5386</v>
      </c>
      <c r="O880" s="56"/>
      <c r="P880" s="55" t="s">
        <v>56</v>
      </c>
      <c r="Q880" s="55" t="s">
        <v>57</v>
      </c>
      <c r="R880" s="55"/>
      <c r="S880" s="56" t="s">
        <v>58</v>
      </c>
      <c r="T880" s="55" t="str">
        <f>IF(ISNUMBER(SEARCH(",",N880)),"Y","N")</f>
        <v>N</v>
      </c>
      <c r="U880" s="57">
        <v>60000</v>
      </c>
      <c r="V880" s="57" t="s">
        <v>101</v>
      </c>
      <c r="W880" s="55"/>
      <c r="X880" s="54" t="s">
        <v>4889</v>
      </c>
      <c r="Y880" s="52"/>
      <c r="Z880" s="45" t="s">
        <v>61</v>
      </c>
      <c r="AA880" s="1" t="s">
        <v>710</v>
      </c>
      <c r="AB880" s="1"/>
      <c r="AC880" s="1"/>
      <c r="AD880" s="3" t="s">
        <v>62</v>
      </c>
      <c r="AE880" s="45" t="s">
        <v>108</v>
      </c>
      <c r="AF880" s="55" t="s">
        <v>2037</v>
      </c>
      <c r="AG880" s="55" t="s">
        <v>2037</v>
      </c>
      <c r="AH880" s="64"/>
      <c r="AI880" s="56"/>
      <c r="AJ880" s="56"/>
      <c r="AK880" s="56"/>
      <c r="AL880" s="56"/>
      <c r="AM880" s="56"/>
      <c r="AN880" s="56"/>
      <c r="AO880" s="56"/>
      <c r="AP880" s="56"/>
      <c r="AQ880" s="56"/>
      <c r="AR880" s="56"/>
      <c r="AS880" s="56"/>
      <c r="AT880" s="56"/>
      <c r="AU880" s="56"/>
      <c r="AV880" s="56"/>
      <c r="AW880" s="56"/>
      <c r="AX880" s="56"/>
      <c r="AY880" s="56"/>
      <c r="AZ880" s="4" t="s">
        <v>320</v>
      </c>
      <c r="BA880" s="5" t="s">
        <v>3915</v>
      </c>
      <c r="BB880" s="1" t="s">
        <v>3916</v>
      </c>
      <c r="BC880" s="1"/>
    </row>
    <row r="881" spans="1:55" s="78" customFormat="1" ht="15" customHeight="1" x14ac:dyDescent="0.25">
      <c r="A881" s="52" t="s">
        <v>4890</v>
      </c>
      <c r="B881" s="34" t="s">
        <v>59</v>
      </c>
      <c r="C881" s="53">
        <v>2026</v>
      </c>
      <c r="D881" s="53">
        <v>2026</v>
      </c>
      <c r="E881" s="54" t="s">
        <v>3519</v>
      </c>
      <c r="F881" s="55" t="s">
        <v>50</v>
      </c>
      <c r="G881" s="55" t="s">
        <v>50</v>
      </c>
      <c r="H881" s="45" t="s">
        <v>2036</v>
      </c>
      <c r="I881" s="56" t="s">
        <v>78</v>
      </c>
      <c r="J881" s="56"/>
      <c r="K881" s="56" t="s">
        <v>264</v>
      </c>
      <c r="L881" s="55" t="s">
        <v>88</v>
      </c>
      <c r="M881" s="55"/>
      <c r="N881" s="56" t="s">
        <v>110</v>
      </c>
      <c r="O881" s="56"/>
      <c r="P881" s="55" t="s">
        <v>265</v>
      </c>
      <c r="Q881" s="55" t="s">
        <v>57</v>
      </c>
      <c r="R881" s="55"/>
      <c r="S881" s="56" t="s">
        <v>58</v>
      </c>
      <c r="T881" s="55" t="s">
        <v>81</v>
      </c>
      <c r="U881" s="57">
        <v>600</v>
      </c>
      <c r="V881" s="57" t="s">
        <v>101</v>
      </c>
      <c r="W881" s="55" t="s">
        <v>2319</v>
      </c>
      <c r="X881" s="54" t="s">
        <v>4890</v>
      </c>
      <c r="Y881" s="52"/>
      <c r="Z881" s="2" t="s">
        <v>61</v>
      </c>
      <c r="AA881" s="1" t="s">
        <v>710</v>
      </c>
      <c r="AB881" s="1"/>
      <c r="AC881" s="1"/>
      <c r="AD881" s="3" t="s">
        <v>62</v>
      </c>
      <c r="AE881" s="2" t="s">
        <v>108</v>
      </c>
      <c r="AF881" s="55" t="s">
        <v>2037</v>
      </c>
      <c r="AG881" s="55" t="s">
        <v>2037</v>
      </c>
      <c r="AH881" s="64"/>
      <c r="AI881" s="1"/>
      <c r="AJ881" s="1"/>
      <c r="AK881" s="1"/>
      <c r="AL881" s="1"/>
      <c r="AM881" s="1"/>
      <c r="AN881" s="1"/>
      <c r="AO881" s="1"/>
      <c r="AP881" s="1"/>
      <c r="AQ881" s="1"/>
      <c r="AR881" s="1"/>
      <c r="AS881" s="1"/>
      <c r="AT881" s="1"/>
      <c r="AU881" s="1"/>
      <c r="AV881" s="1"/>
      <c r="AW881" s="1"/>
      <c r="AX881" s="1"/>
      <c r="AY881" s="1"/>
      <c r="AZ881" s="1" t="s">
        <v>2035</v>
      </c>
      <c r="BA881" s="5"/>
      <c r="BB881" s="1"/>
      <c r="BC881" s="1"/>
    </row>
    <row r="882" spans="1:55" s="78" customFormat="1" ht="15" customHeight="1" x14ac:dyDescent="0.25">
      <c r="A882" s="52" t="s">
        <v>4891</v>
      </c>
      <c r="B882" s="34" t="s">
        <v>59</v>
      </c>
      <c r="C882" s="53">
        <v>2026</v>
      </c>
      <c r="D882" s="53">
        <v>2026</v>
      </c>
      <c r="E882" s="54" t="s">
        <v>3519</v>
      </c>
      <c r="F882" s="55" t="s">
        <v>50</v>
      </c>
      <c r="G882" s="55" t="s">
        <v>50</v>
      </c>
      <c r="H882" s="45" t="s">
        <v>2036</v>
      </c>
      <c r="I882" s="56" t="s">
        <v>78</v>
      </c>
      <c r="J882" s="56"/>
      <c r="K882" s="56" t="s">
        <v>74</v>
      </c>
      <c r="L882" s="55" t="s">
        <v>88</v>
      </c>
      <c r="M882" s="55"/>
      <c r="N882" s="56" t="s">
        <v>110</v>
      </c>
      <c r="O882" s="56"/>
      <c r="P882" s="55" t="s">
        <v>75</v>
      </c>
      <c r="Q882" s="56" t="s">
        <v>57</v>
      </c>
      <c r="R882" s="55"/>
      <c r="S882" s="56" t="s">
        <v>58</v>
      </c>
      <c r="T882" s="55" t="s">
        <v>81</v>
      </c>
      <c r="U882" s="57">
        <v>6.6619999999999999</v>
      </c>
      <c r="V882" s="57" t="s">
        <v>101</v>
      </c>
      <c r="W882" s="55" t="s">
        <v>2319</v>
      </c>
      <c r="X882" s="54" t="s">
        <v>4891</v>
      </c>
      <c r="Y882" s="52"/>
      <c r="Z882" s="2" t="s">
        <v>61</v>
      </c>
      <c r="AA882" s="1" t="s">
        <v>710</v>
      </c>
      <c r="AB882" s="1"/>
      <c r="AC882" s="1"/>
      <c r="AD882" s="3" t="s">
        <v>62</v>
      </c>
      <c r="AE882" s="45" t="s">
        <v>108</v>
      </c>
      <c r="AF882" s="55" t="s">
        <v>2037</v>
      </c>
      <c r="AG882" s="55" t="s">
        <v>2037</v>
      </c>
      <c r="AH882" s="64"/>
      <c r="AI882" s="1"/>
      <c r="AJ882" s="1"/>
      <c r="AK882" s="1"/>
      <c r="AL882" s="1"/>
      <c r="AM882" s="1"/>
      <c r="AN882" s="1"/>
      <c r="AO882" s="1"/>
      <c r="AP882" s="1"/>
      <c r="AQ882" s="1"/>
      <c r="AR882" s="1"/>
      <c r="AS882" s="1"/>
      <c r="AT882" s="1"/>
      <c r="AU882" s="1"/>
      <c r="AV882" s="1"/>
      <c r="AW882" s="1"/>
      <c r="AX882" s="1"/>
      <c r="AY882" s="1"/>
      <c r="AZ882" s="5" t="s">
        <v>2035</v>
      </c>
      <c r="BA882" s="5"/>
      <c r="BB882" s="1"/>
      <c r="BC882" s="1"/>
    </row>
    <row r="883" spans="1:55" s="78" customFormat="1" ht="15" customHeight="1" x14ac:dyDescent="0.25">
      <c r="A883" s="52" t="s">
        <v>4892</v>
      </c>
      <c r="B883" s="34" t="s">
        <v>59</v>
      </c>
      <c r="C883" s="53">
        <v>2026</v>
      </c>
      <c r="D883" s="53">
        <v>2026</v>
      </c>
      <c r="E883" s="54" t="s">
        <v>3520</v>
      </c>
      <c r="F883" s="55" t="s">
        <v>50</v>
      </c>
      <c r="G883" s="55" t="s">
        <v>50</v>
      </c>
      <c r="H883" s="45" t="s">
        <v>2038</v>
      </c>
      <c r="I883" s="56" t="s">
        <v>52</v>
      </c>
      <c r="J883" s="56"/>
      <c r="K883" s="56" t="s">
        <v>53</v>
      </c>
      <c r="L883" s="55" t="s">
        <v>54</v>
      </c>
      <c r="M883" s="55"/>
      <c r="N883" s="56" t="s">
        <v>327</v>
      </c>
      <c r="O883" s="56"/>
      <c r="P883" s="55" t="s">
        <v>56</v>
      </c>
      <c r="Q883" s="55" t="s">
        <v>57</v>
      </c>
      <c r="R883" s="55"/>
      <c r="S883" s="56" t="s">
        <v>58</v>
      </c>
      <c r="T883" s="55" t="str">
        <f>IF(ISNUMBER(SEARCH(",",N883)),"Y","N")</f>
        <v>N</v>
      </c>
      <c r="U883" s="57">
        <v>11000</v>
      </c>
      <c r="V883" s="57" t="s">
        <v>101</v>
      </c>
      <c r="W883" s="55"/>
      <c r="X883" s="54" t="s">
        <v>4892</v>
      </c>
      <c r="Y883" s="52"/>
      <c r="Z883" s="56" t="s">
        <v>61</v>
      </c>
      <c r="AA883" s="1" t="s">
        <v>710</v>
      </c>
      <c r="AB883" s="1"/>
      <c r="AC883" s="1"/>
      <c r="AD883" s="3" t="s">
        <v>62</v>
      </c>
      <c r="AE883" s="45" t="s">
        <v>108</v>
      </c>
      <c r="AF883" s="55" t="s">
        <v>2037</v>
      </c>
      <c r="AG883" s="55" t="s">
        <v>2037</v>
      </c>
      <c r="AH883" s="64"/>
      <c r="AI883" s="56"/>
      <c r="AJ883" s="56"/>
      <c r="AK883" s="56"/>
      <c r="AL883" s="56"/>
      <c r="AM883" s="56"/>
      <c r="AN883" s="56"/>
      <c r="AO883" s="56"/>
      <c r="AP883" s="56"/>
      <c r="AQ883" s="56"/>
      <c r="AR883" s="56"/>
      <c r="AS883" s="56"/>
      <c r="AT883" s="56"/>
      <c r="AU883" s="56"/>
      <c r="AV883" s="56"/>
      <c r="AW883" s="56"/>
      <c r="AX883" s="56"/>
      <c r="AY883" s="56"/>
      <c r="AZ883" s="56" t="s">
        <v>2035</v>
      </c>
      <c r="BA883" s="5"/>
      <c r="BB883" s="1"/>
      <c r="BC883" s="1"/>
    </row>
    <row r="884" spans="1:55" s="78" customFormat="1" ht="15" customHeight="1" x14ac:dyDescent="0.25">
      <c r="A884" s="52" t="s">
        <v>4893</v>
      </c>
      <c r="B884" s="34" t="s">
        <v>59</v>
      </c>
      <c r="C884" s="53">
        <v>2026</v>
      </c>
      <c r="D884" s="53">
        <v>2026</v>
      </c>
      <c r="E884" s="54" t="s">
        <v>3521</v>
      </c>
      <c r="F884" s="55" t="s">
        <v>50</v>
      </c>
      <c r="G884" s="55" t="s">
        <v>50</v>
      </c>
      <c r="H884" s="45" t="s">
        <v>2040</v>
      </c>
      <c r="I884" s="56" t="s">
        <v>78</v>
      </c>
      <c r="J884" s="56"/>
      <c r="K884" s="45" t="s">
        <v>180</v>
      </c>
      <c r="L884" s="55" t="str">
        <f>IF(K884="Mine or Quarry","Mine","")</f>
        <v/>
      </c>
      <c r="M884" s="55"/>
      <c r="N884" s="55" t="s">
        <v>181</v>
      </c>
      <c r="O884" s="55"/>
      <c r="P884" s="55" t="s">
        <v>182</v>
      </c>
      <c r="Q884" s="55" t="s">
        <v>5353</v>
      </c>
      <c r="R884" s="55"/>
      <c r="S884" s="56" t="s">
        <v>81</v>
      </c>
      <c r="T884" s="55" t="str">
        <f>IF(ISNUMBER(SEARCH(",",N884)),"Y","N")</f>
        <v>N</v>
      </c>
      <c r="U884" s="57">
        <v>3628</v>
      </c>
      <c r="V884" s="57" t="s">
        <v>101</v>
      </c>
      <c r="W884" s="55" t="s">
        <v>2797</v>
      </c>
      <c r="X884" s="54" t="s">
        <v>5335</v>
      </c>
      <c r="Y884" s="53"/>
      <c r="Z884" s="3" t="s">
        <v>61</v>
      </c>
      <c r="AA884" s="3" t="s">
        <v>2041</v>
      </c>
      <c r="AB884" s="3"/>
      <c r="AC884" s="3"/>
      <c r="AD884" s="3" t="s">
        <v>62</v>
      </c>
      <c r="AE884" s="3" t="s">
        <v>108</v>
      </c>
      <c r="AF884" s="3"/>
      <c r="AG884" s="3" t="s">
        <v>618</v>
      </c>
      <c r="AH884" s="58">
        <v>100</v>
      </c>
      <c r="AI884" s="3"/>
      <c r="AJ884" s="53"/>
      <c r="AK884" s="3"/>
      <c r="AL884" s="3"/>
      <c r="AM884" s="3"/>
      <c r="AN884" s="3"/>
      <c r="AO884" s="3"/>
      <c r="AP884" s="3"/>
      <c r="AQ884" s="3"/>
      <c r="AR884" s="3"/>
      <c r="AS884" s="3"/>
      <c r="AT884" s="3"/>
      <c r="AU884" s="3"/>
      <c r="AV884" s="3"/>
      <c r="AW884" s="3"/>
      <c r="AX884" s="3"/>
      <c r="AY884" s="3"/>
      <c r="AZ884" s="4" t="s">
        <v>2039</v>
      </c>
      <c r="BA884" s="3"/>
      <c r="BB884" s="1"/>
      <c r="BC884" s="1"/>
    </row>
    <row r="885" spans="1:55" s="78" customFormat="1" ht="15" customHeight="1" x14ac:dyDescent="0.25">
      <c r="A885" s="52" t="s">
        <v>4894</v>
      </c>
      <c r="B885" s="34" t="s">
        <v>59</v>
      </c>
      <c r="C885" s="53">
        <v>2026</v>
      </c>
      <c r="D885" s="53">
        <v>2026</v>
      </c>
      <c r="E885" s="54" t="s">
        <v>3522</v>
      </c>
      <c r="F885" s="55" t="s">
        <v>50</v>
      </c>
      <c r="G885" s="55" t="s">
        <v>50</v>
      </c>
      <c r="H885" s="45" t="s">
        <v>2042</v>
      </c>
      <c r="I885" s="56" t="s">
        <v>78</v>
      </c>
      <c r="J885" s="56"/>
      <c r="K885" s="56" t="s">
        <v>79</v>
      </c>
      <c r="L885" s="55" t="str">
        <f>IF(K885="Mine or Quarry","Mine","")</f>
        <v/>
      </c>
      <c r="M885" s="55"/>
      <c r="N885" s="56" t="s">
        <v>80</v>
      </c>
      <c r="O885" s="56"/>
      <c r="P885" s="56" t="s">
        <v>89</v>
      </c>
      <c r="Q885" s="56" t="s">
        <v>89</v>
      </c>
      <c r="R885" s="55"/>
      <c r="S885" s="56" t="s">
        <v>81</v>
      </c>
      <c r="T885" s="55" t="str">
        <f>IF(ISNUMBER(SEARCH(",",N885)),"Y","N")</f>
        <v>N</v>
      </c>
      <c r="U885" s="57">
        <v>-999</v>
      </c>
      <c r="V885" s="57" t="s">
        <v>59</v>
      </c>
      <c r="W885" s="55" t="s">
        <v>2319</v>
      </c>
      <c r="X885" s="54" t="s">
        <v>4894</v>
      </c>
      <c r="Y885" s="52"/>
      <c r="Z885" s="1" t="s">
        <v>61</v>
      </c>
      <c r="AA885" s="1" t="s">
        <v>1737</v>
      </c>
      <c r="AB885" s="1"/>
      <c r="AC885" s="1"/>
      <c r="AD885" s="3" t="s">
        <v>62</v>
      </c>
      <c r="AE885" s="1" t="s">
        <v>506</v>
      </c>
      <c r="AF885" s="1"/>
      <c r="AG885" s="1" t="s">
        <v>1483</v>
      </c>
      <c r="AH885" s="2">
        <v>100</v>
      </c>
      <c r="AI885" s="1"/>
      <c r="AJ885" s="1"/>
      <c r="AK885" s="1"/>
      <c r="AL885" s="1"/>
      <c r="AM885" s="1"/>
      <c r="AN885" s="1"/>
      <c r="AO885" s="1"/>
      <c r="AP885" s="1"/>
      <c r="AQ885" s="1"/>
      <c r="AR885" s="1"/>
      <c r="AS885" s="1"/>
      <c r="AT885" s="1"/>
      <c r="AU885" s="1"/>
      <c r="AV885" s="1"/>
      <c r="AW885" s="1"/>
      <c r="AX885" s="1"/>
      <c r="AY885" s="1"/>
      <c r="AZ885" s="5" t="s">
        <v>1735</v>
      </c>
      <c r="BA885" s="5"/>
      <c r="BB885" s="1"/>
      <c r="BC885" s="1"/>
    </row>
    <row r="886" spans="1:55" s="78" customFormat="1" ht="15" customHeight="1" x14ac:dyDescent="0.25">
      <c r="A886" s="52" t="s">
        <v>4895</v>
      </c>
      <c r="B886" s="34" t="s">
        <v>59</v>
      </c>
      <c r="C886" s="53">
        <v>2026</v>
      </c>
      <c r="D886" s="53">
        <v>2026</v>
      </c>
      <c r="E886" s="54" t="s">
        <v>3523</v>
      </c>
      <c r="F886" s="55" t="s">
        <v>50</v>
      </c>
      <c r="G886" s="55" t="s">
        <v>50</v>
      </c>
      <c r="H886" s="45" t="s">
        <v>2044</v>
      </c>
      <c r="I886" s="45" t="s">
        <v>52</v>
      </c>
      <c r="J886" s="56"/>
      <c r="K886" s="55" t="s">
        <v>210</v>
      </c>
      <c r="L886" s="55" t="s">
        <v>54</v>
      </c>
      <c r="M886" s="55"/>
      <c r="N886" s="55" t="s">
        <v>212</v>
      </c>
      <c r="O886" s="55" t="s">
        <v>603</v>
      </c>
      <c r="P886" s="55" t="s">
        <v>89</v>
      </c>
      <c r="Q886" s="55" t="s">
        <v>89</v>
      </c>
      <c r="R886" s="55"/>
      <c r="S886" s="56" t="s">
        <v>81</v>
      </c>
      <c r="T886" s="55" t="s">
        <v>81</v>
      </c>
      <c r="U886" s="57">
        <v>22000</v>
      </c>
      <c r="V886" s="57" t="s">
        <v>101</v>
      </c>
      <c r="W886" s="55" t="s">
        <v>2319</v>
      </c>
      <c r="X886" s="54" t="s">
        <v>4895</v>
      </c>
      <c r="Y886" s="52"/>
      <c r="Z886" s="3" t="s">
        <v>61</v>
      </c>
      <c r="AA886" s="1" t="s">
        <v>2045</v>
      </c>
      <c r="AB886" s="1"/>
      <c r="AC886" s="1"/>
      <c r="AD886" s="3" t="s">
        <v>62</v>
      </c>
      <c r="AE886" s="3" t="s">
        <v>184</v>
      </c>
      <c r="AF886" s="3"/>
      <c r="AG886" s="1" t="s">
        <v>2046</v>
      </c>
      <c r="AH886" s="2">
        <v>100</v>
      </c>
      <c r="AI886" s="1"/>
      <c r="AJ886" s="2"/>
      <c r="AK886" s="3"/>
      <c r="AL886" s="3"/>
      <c r="AM886" s="3"/>
      <c r="AN886" s="3"/>
      <c r="AO886" s="3"/>
      <c r="AP886" s="3"/>
      <c r="AQ886" s="3"/>
      <c r="AR886" s="3"/>
      <c r="AS886" s="3"/>
      <c r="AT886" s="3"/>
      <c r="AU886" s="3"/>
      <c r="AV886" s="3"/>
      <c r="AW886" s="3"/>
      <c r="AX886" s="3"/>
      <c r="AY886" s="3"/>
      <c r="AZ886" s="4" t="s">
        <v>2043</v>
      </c>
      <c r="BA886" s="3"/>
      <c r="BB886" s="1"/>
      <c r="BC886" s="1"/>
    </row>
    <row r="887" spans="1:55" s="78" customFormat="1" ht="15" customHeight="1" x14ac:dyDescent="0.25">
      <c r="A887" s="52" t="s">
        <v>4896</v>
      </c>
      <c r="B887" s="34" t="s">
        <v>59</v>
      </c>
      <c r="C887" s="53">
        <v>2026</v>
      </c>
      <c r="D887" s="53">
        <v>2026</v>
      </c>
      <c r="E887" s="54" t="s">
        <v>3524</v>
      </c>
      <c r="F887" s="55" t="s">
        <v>50</v>
      </c>
      <c r="G887" s="55" t="s">
        <v>50</v>
      </c>
      <c r="H887" s="45" t="s">
        <v>2047</v>
      </c>
      <c r="I887" s="45" t="s">
        <v>52</v>
      </c>
      <c r="J887" s="56" t="s">
        <v>165</v>
      </c>
      <c r="K887" s="55" t="s">
        <v>597</v>
      </c>
      <c r="L887" s="55" t="str">
        <f t="shared" ref="L887:L934" si="14">IF(K887="Mine or Quarry","Mine","")</f>
        <v/>
      </c>
      <c r="M887" s="55"/>
      <c r="N887" s="55" t="s">
        <v>110</v>
      </c>
      <c r="O887" s="55"/>
      <c r="P887" s="56" t="s">
        <v>598</v>
      </c>
      <c r="Q887" s="55" t="s">
        <v>57</v>
      </c>
      <c r="R887" s="55"/>
      <c r="S887" s="56" t="s">
        <v>81</v>
      </c>
      <c r="T887" s="55" t="str">
        <f t="shared" ref="T887:T892" si="15">IF(ISNUMBER(SEARCH(",",N887)),"Y","N")</f>
        <v>N</v>
      </c>
      <c r="U887" s="57">
        <v>2500000</v>
      </c>
      <c r="V887" s="57" t="s">
        <v>101</v>
      </c>
      <c r="W887" s="55" t="s">
        <v>2319</v>
      </c>
      <c r="X887" s="54" t="s">
        <v>4896</v>
      </c>
      <c r="Y887" s="52"/>
      <c r="Z887" s="3" t="s">
        <v>154</v>
      </c>
      <c r="AA887" s="3" t="s">
        <v>2048</v>
      </c>
      <c r="AB887" s="3"/>
      <c r="AC887" s="3"/>
      <c r="AD887" s="3" t="s">
        <v>62</v>
      </c>
      <c r="AE887" s="3" t="s">
        <v>1054</v>
      </c>
      <c r="AF887" s="3"/>
      <c r="AG887" s="3" t="s">
        <v>2049</v>
      </c>
      <c r="AH887" s="53">
        <v>83</v>
      </c>
      <c r="AI887" s="3" t="s">
        <v>2050</v>
      </c>
      <c r="AJ887" s="53">
        <v>17</v>
      </c>
      <c r="AK887" s="3"/>
      <c r="AL887" s="53"/>
      <c r="AM887" s="3"/>
      <c r="AN887" s="53"/>
      <c r="AO887" s="3"/>
      <c r="AP887" s="53"/>
      <c r="AQ887" s="3"/>
      <c r="AR887" s="53"/>
      <c r="AS887" s="3"/>
      <c r="AT887" s="53"/>
      <c r="AU887" s="3"/>
      <c r="AV887" s="53"/>
      <c r="AW887" s="3"/>
      <c r="AX887" s="53"/>
      <c r="AY887" s="3"/>
      <c r="AZ887" s="4" t="s">
        <v>5360</v>
      </c>
      <c r="BA887" s="3"/>
      <c r="BB887" s="1"/>
      <c r="BC887" s="1"/>
    </row>
    <row r="888" spans="1:55" s="78" customFormat="1" ht="15" customHeight="1" x14ac:dyDescent="0.25">
      <c r="A888" s="52" t="s">
        <v>4897</v>
      </c>
      <c r="B888" s="34" t="s">
        <v>59</v>
      </c>
      <c r="C888" s="53">
        <v>2026</v>
      </c>
      <c r="D888" s="53">
        <v>2026</v>
      </c>
      <c r="E888" s="54" t="s">
        <v>3525</v>
      </c>
      <c r="F888" s="55" t="s">
        <v>50</v>
      </c>
      <c r="G888" s="55" t="s">
        <v>50</v>
      </c>
      <c r="H888" s="45" t="s">
        <v>2052</v>
      </c>
      <c r="I888" s="56" t="s">
        <v>52</v>
      </c>
      <c r="J888" s="56"/>
      <c r="K888" s="56" t="s">
        <v>87</v>
      </c>
      <c r="L888" s="55" t="str">
        <f t="shared" si="14"/>
        <v/>
      </c>
      <c r="M888" s="55"/>
      <c r="N888" s="56"/>
      <c r="O888" s="56" t="s">
        <v>2893</v>
      </c>
      <c r="P888" s="56" t="s">
        <v>89</v>
      </c>
      <c r="Q888" s="56" t="s">
        <v>89</v>
      </c>
      <c r="R888" s="55"/>
      <c r="S888" s="56" t="s">
        <v>81</v>
      </c>
      <c r="T888" s="55" t="str">
        <f t="shared" si="15"/>
        <v>N</v>
      </c>
      <c r="U888" s="57">
        <v>-999</v>
      </c>
      <c r="V888" s="57" t="s">
        <v>59</v>
      </c>
      <c r="W888" s="55" t="s">
        <v>2319</v>
      </c>
      <c r="X888" s="54" t="s">
        <v>4897</v>
      </c>
      <c r="Y888" s="52"/>
      <c r="Z888" s="1" t="s">
        <v>61</v>
      </c>
      <c r="AA888" s="1" t="s">
        <v>2053</v>
      </c>
      <c r="AB888" s="1"/>
      <c r="AC888" s="1"/>
      <c r="AD888" s="3" t="s">
        <v>62</v>
      </c>
      <c r="AE888" s="1" t="s">
        <v>306</v>
      </c>
      <c r="AF888" s="1"/>
      <c r="AG888" s="1" t="s">
        <v>2054</v>
      </c>
      <c r="AH888" s="1"/>
      <c r="AI888" s="1"/>
      <c r="AJ888" s="1"/>
      <c r="AK888" s="1"/>
      <c r="AL888" s="1"/>
      <c r="AM888" s="1"/>
      <c r="AN888" s="1"/>
      <c r="AO888" s="1"/>
      <c r="AP888" s="1"/>
      <c r="AQ888" s="1"/>
      <c r="AR888" s="1"/>
      <c r="AS888" s="1"/>
      <c r="AT888" s="1"/>
      <c r="AU888" s="1"/>
      <c r="AV888" s="1"/>
      <c r="AW888" s="1"/>
      <c r="AX888" s="1"/>
      <c r="AY888" s="1"/>
      <c r="AZ888" s="5" t="s">
        <v>2051</v>
      </c>
      <c r="BA888" s="5"/>
      <c r="BB888" s="1"/>
      <c r="BC888" s="1"/>
    </row>
    <row r="889" spans="1:55" s="78" customFormat="1" ht="15" customHeight="1" x14ac:dyDescent="0.25">
      <c r="A889" s="52" t="s">
        <v>4898</v>
      </c>
      <c r="B889" s="34" t="s">
        <v>59</v>
      </c>
      <c r="C889" s="53">
        <v>2026</v>
      </c>
      <c r="D889" s="53">
        <v>2026</v>
      </c>
      <c r="E889" s="54" t="s">
        <v>3526</v>
      </c>
      <c r="F889" s="55" t="s">
        <v>50</v>
      </c>
      <c r="G889" s="55" t="s">
        <v>50</v>
      </c>
      <c r="H889" s="45" t="s">
        <v>2056</v>
      </c>
      <c r="I889" s="56" t="s">
        <v>52</v>
      </c>
      <c r="J889" s="56"/>
      <c r="K889" s="56" t="s">
        <v>87</v>
      </c>
      <c r="L889" s="55" t="str">
        <f t="shared" si="14"/>
        <v/>
      </c>
      <c r="M889" s="55"/>
      <c r="N889" s="56"/>
      <c r="O889" s="56" t="s">
        <v>2893</v>
      </c>
      <c r="P889" s="56" t="s">
        <v>89</v>
      </c>
      <c r="Q889" s="56" t="s">
        <v>89</v>
      </c>
      <c r="R889" s="55"/>
      <c r="S889" s="56" t="s">
        <v>81</v>
      </c>
      <c r="T889" s="55" t="str">
        <f t="shared" si="15"/>
        <v>N</v>
      </c>
      <c r="U889" s="57">
        <v>-999</v>
      </c>
      <c r="V889" s="57" t="s">
        <v>59</v>
      </c>
      <c r="W889" s="55" t="s">
        <v>2319</v>
      </c>
      <c r="X889" s="54" t="s">
        <v>4898</v>
      </c>
      <c r="Y889" s="52"/>
      <c r="Z889" s="1" t="s">
        <v>61</v>
      </c>
      <c r="AA889" s="1" t="s">
        <v>2057</v>
      </c>
      <c r="AB889" s="1"/>
      <c r="AC889" s="1"/>
      <c r="AD889" s="3" t="s">
        <v>62</v>
      </c>
      <c r="AE889" s="1" t="s">
        <v>155</v>
      </c>
      <c r="AF889" s="1"/>
      <c r="AG889" s="1" t="s">
        <v>1185</v>
      </c>
      <c r="AH889" s="1"/>
      <c r="AI889" s="1"/>
      <c r="AJ889" s="1"/>
      <c r="AK889" s="1"/>
      <c r="AL889" s="1"/>
      <c r="AM889" s="1"/>
      <c r="AN889" s="1"/>
      <c r="AO889" s="1"/>
      <c r="AP889" s="1"/>
      <c r="AQ889" s="1"/>
      <c r="AR889" s="1"/>
      <c r="AS889" s="1"/>
      <c r="AT889" s="1"/>
      <c r="AU889" s="1"/>
      <c r="AV889" s="1"/>
      <c r="AW889" s="1"/>
      <c r="AX889" s="1"/>
      <c r="AY889" s="1"/>
      <c r="AZ889" s="5" t="s">
        <v>2055</v>
      </c>
      <c r="BA889" s="5"/>
      <c r="BB889" s="1"/>
      <c r="BC889" s="1"/>
    </row>
    <row r="890" spans="1:55" s="78" customFormat="1" ht="15" customHeight="1" x14ac:dyDescent="0.25">
      <c r="A890" s="52" t="s">
        <v>4899</v>
      </c>
      <c r="B890" s="34" t="s">
        <v>59</v>
      </c>
      <c r="C890" s="53">
        <v>2026</v>
      </c>
      <c r="D890" s="53">
        <v>2026</v>
      </c>
      <c r="E890" s="54" t="s">
        <v>3527</v>
      </c>
      <c r="F890" s="55" t="s">
        <v>50</v>
      </c>
      <c r="G890" s="55" t="s">
        <v>50</v>
      </c>
      <c r="H890" s="45" t="s">
        <v>2061</v>
      </c>
      <c r="I890" s="56" t="s">
        <v>52</v>
      </c>
      <c r="J890" s="56"/>
      <c r="K890" s="56" t="s">
        <v>87</v>
      </c>
      <c r="L890" s="55" t="str">
        <f t="shared" si="14"/>
        <v/>
      </c>
      <c r="M890" s="55"/>
      <c r="N890" s="56"/>
      <c r="O890" s="55" t="s">
        <v>2891</v>
      </c>
      <c r="P890" s="56" t="s">
        <v>89</v>
      </c>
      <c r="Q890" s="56" t="s">
        <v>89</v>
      </c>
      <c r="R890" s="55"/>
      <c r="S890" s="56" t="s">
        <v>81</v>
      </c>
      <c r="T890" s="55" t="str">
        <f t="shared" si="15"/>
        <v>N</v>
      </c>
      <c r="U890" s="57">
        <v>-999</v>
      </c>
      <c r="V890" s="57" t="s">
        <v>59</v>
      </c>
      <c r="W890" s="55" t="s">
        <v>2319</v>
      </c>
      <c r="X890" s="54" t="s">
        <v>4899</v>
      </c>
      <c r="Y890" s="52"/>
      <c r="Z890" s="1" t="s">
        <v>61</v>
      </c>
      <c r="AA890" s="1" t="s">
        <v>2062</v>
      </c>
      <c r="AB890" s="1"/>
      <c r="AC890" s="1"/>
      <c r="AD890" s="3" t="s">
        <v>62</v>
      </c>
      <c r="AE890" s="1" t="s">
        <v>221</v>
      </c>
      <c r="AF890" s="1" t="s">
        <v>227</v>
      </c>
      <c r="AG890" s="1" t="s">
        <v>228</v>
      </c>
      <c r="AH890" s="2">
        <v>100</v>
      </c>
      <c r="AI890" s="1"/>
      <c r="AJ890" s="1"/>
      <c r="AK890" s="1"/>
      <c r="AL890" s="1"/>
      <c r="AM890" s="1"/>
      <c r="AN890" s="1"/>
      <c r="AO890" s="1"/>
      <c r="AP890" s="1"/>
      <c r="AQ890" s="1"/>
      <c r="AR890" s="1"/>
      <c r="AS890" s="1"/>
      <c r="AT890" s="1"/>
      <c r="AU890" s="1"/>
      <c r="AV890" s="1"/>
      <c r="AW890" s="1"/>
      <c r="AX890" s="1"/>
      <c r="AY890" s="1"/>
      <c r="AZ890" s="5" t="s">
        <v>2060</v>
      </c>
      <c r="BA890" s="5"/>
      <c r="BB890" s="1"/>
      <c r="BC890" s="1"/>
    </row>
    <row r="891" spans="1:55" s="78" customFormat="1" ht="14.45" customHeight="1" x14ac:dyDescent="0.25">
      <c r="A891" s="52" t="s">
        <v>4900</v>
      </c>
      <c r="B891" s="34" t="s">
        <v>59</v>
      </c>
      <c r="C891" s="53">
        <v>2026</v>
      </c>
      <c r="D891" s="53">
        <v>2026</v>
      </c>
      <c r="E891" s="54" t="s">
        <v>3528</v>
      </c>
      <c r="F891" s="55" t="s">
        <v>50</v>
      </c>
      <c r="G891" s="55" t="s">
        <v>50</v>
      </c>
      <c r="H891" s="45" t="s">
        <v>2063</v>
      </c>
      <c r="I891" s="56" t="s">
        <v>52</v>
      </c>
      <c r="J891" s="56"/>
      <c r="K891" s="56" t="s">
        <v>87</v>
      </c>
      <c r="L891" s="55" t="str">
        <f t="shared" si="14"/>
        <v/>
      </c>
      <c r="M891" s="55"/>
      <c r="N891" s="56"/>
      <c r="O891" s="56" t="s">
        <v>2893</v>
      </c>
      <c r="P891" s="56" t="s">
        <v>89</v>
      </c>
      <c r="Q891" s="56" t="s">
        <v>89</v>
      </c>
      <c r="R891" s="55"/>
      <c r="S891" s="56" t="s">
        <v>81</v>
      </c>
      <c r="T891" s="55" t="str">
        <f t="shared" si="15"/>
        <v>N</v>
      </c>
      <c r="U891" s="57">
        <v>-999</v>
      </c>
      <c r="V891" s="57" t="s">
        <v>59</v>
      </c>
      <c r="W891" s="55" t="s">
        <v>2319</v>
      </c>
      <c r="X891" s="54" t="s">
        <v>4900</v>
      </c>
      <c r="Y891" s="52"/>
      <c r="Z891" s="1" t="s">
        <v>61</v>
      </c>
      <c r="AA891" s="1" t="s">
        <v>2064</v>
      </c>
      <c r="AB891" s="1"/>
      <c r="AC891" s="1"/>
      <c r="AD891" s="3" t="s">
        <v>62</v>
      </c>
      <c r="AE891" s="1" t="s">
        <v>695</v>
      </c>
      <c r="AF891" s="1"/>
      <c r="AG891" s="1" t="s">
        <v>2065</v>
      </c>
      <c r="AH891" s="2">
        <v>100</v>
      </c>
      <c r="AI891" s="1"/>
      <c r="AJ891" s="1"/>
      <c r="AK891" s="1"/>
      <c r="AL891" s="1"/>
      <c r="AM891" s="1"/>
      <c r="AN891" s="1"/>
      <c r="AO891" s="1"/>
      <c r="AP891" s="1"/>
      <c r="AQ891" s="1"/>
      <c r="AR891" s="1"/>
      <c r="AS891" s="1"/>
      <c r="AT891" s="1"/>
      <c r="AU891" s="1"/>
      <c r="AV891" s="1"/>
      <c r="AW891" s="1"/>
      <c r="AX891" s="1"/>
      <c r="AY891" s="1"/>
      <c r="AZ891" s="5" t="s">
        <v>2066</v>
      </c>
      <c r="BA891" s="5" t="s">
        <v>3917</v>
      </c>
      <c r="BB891" s="1"/>
      <c r="BC891" s="1"/>
    </row>
    <row r="892" spans="1:55" s="78" customFormat="1" ht="15" customHeight="1" x14ac:dyDescent="0.25">
      <c r="A892" s="52" t="s">
        <v>4901</v>
      </c>
      <c r="B892" s="34" t="s">
        <v>59</v>
      </c>
      <c r="C892" s="53">
        <v>2026</v>
      </c>
      <c r="D892" s="53">
        <v>2026</v>
      </c>
      <c r="E892" s="54" t="s">
        <v>3529</v>
      </c>
      <c r="F892" s="55" t="s">
        <v>50</v>
      </c>
      <c r="G892" s="55" t="s">
        <v>50</v>
      </c>
      <c r="H892" s="45" t="s">
        <v>2068</v>
      </c>
      <c r="I892" s="56" t="s">
        <v>52</v>
      </c>
      <c r="J892" s="56"/>
      <c r="K892" s="56" t="s">
        <v>87</v>
      </c>
      <c r="L892" s="55" t="str">
        <f t="shared" si="14"/>
        <v/>
      </c>
      <c r="M892" s="55"/>
      <c r="N892" s="56"/>
      <c r="O892" s="56" t="s">
        <v>2893</v>
      </c>
      <c r="P892" s="56" t="s">
        <v>89</v>
      </c>
      <c r="Q892" s="56" t="s">
        <v>89</v>
      </c>
      <c r="R892" s="55"/>
      <c r="S892" s="56" t="s">
        <v>81</v>
      </c>
      <c r="T892" s="55" t="str">
        <f t="shared" si="15"/>
        <v>N</v>
      </c>
      <c r="U892" s="57">
        <v>-999</v>
      </c>
      <c r="V892" s="57" t="s">
        <v>59</v>
      </c>
      <c r="W892" s="55" t="s">
        <v>2319</v>
      </c>
      <c r="X892" s="54" t="s">
        <v>4901</v>
      </c>
      <c r="Y892" s="52"/>
      <c r="Z892" s="1" t="s">
        <v>61</v>
      </c>
      <c r="AA892" s="1" t="s">
        <v>2069</v>
      </c>
      <c r="AB892" s="1"/>
      <c r="AC892" s="1"/>
      <c r="AD892" s="3" t="s">
        <v>62</v>
      </c>
      <c r="AE892" s="1" t="s">
        <v>306</v>
      </c>
      <c r="AF892" s="1"/>
      <c r="AG892" s="1" t="s">
        <v>2054</v>
      </c>
      <c r="AH892" s="1"/>
      <c r="AI892" s="1"/>
      <c r="AJ892" s="1"/>
      <c r="AK892" s="1"/>
      <c r="AL892" s="1"/>
      <c r="AM892" s="1"/>
      <c r="AN892" s="1"/>
      <c r="AO892" s="1"/>
      <c r="AP892" s="1"/>
      <c r="AQ892" s="1"/>
      <c r="AR892" s="1"/>
      <c r="AS892" s="1"/>
      <c r="AT892" s="1"/>
      <c r="AU892" s="1"/>
      <c r="AV892" s="1"/>
      <c r="AW892" s="1"/>
      <c r="AX892" s="1"/>
      <c r="AY892" s="1"/>
      <c r="AZ892" s="5" t="s">
        <v>2067</v>
      </c>
      <c r="BA892" s="5"/>
      <c r="BB892" s="1"/>
      <c r="BC892" s="1"/>
    </row>
    <row r="893" spans="1:55" s="78" customFormat="1" ht="15" customHeight="1" x14ac:dyDescent="0.25">
      <c r="A893" s="52" t="s">
        <v>4902</v>
      </c>
      <c r="B893" s="34" t="s">
        <v>59</v>
      </c>
      <c r="C893" s="53">
        <v>2026</v>
      </c>
      <c r="D893" s="53">
        <v>2026</v>
      </c>
      <c r="E893" s="54" t="s">
        <v>3530</v>
      </c>
      <c r="F893" s="55" t="s">
        <v>50</v>
      </c>
      <c r="G893" s="55" t="s">
        <v>50</v>
      </c>
      <c r="H893" s="45" t="s">
        <v>2071</v>
      </c>
      <c r="I893" s="56" t="s">
        <v>52</v>
      </c>
      <c r="J893" s="56"/>
      <c r="K893" s="56" t="s">
        <v>87</v>
      </c>
      <c r="L893" s="55" t="str">
        <f t="shared" si="14"/>
        <v/>
      </c>
      <c r="M893" s="55"/>
      <c r="N893" s="56"/>
      <c r="O893" s="56" t="s">
        <v>2892</v>
      </c>
      <c r="P893" s="56" t="s">
        <v>89</v>
      </c>
      <c r="Q893" s="56" t="s">
        <v>89</v>
      </c>
      <c r="R893" s="55"/>
      <c r="S893" s="56" t="s">
        <v>81</v>
      </c>
      <c r="T893" s="55" t="s">
        <v>58</v>
      </c>
      <c r="U893" s="57">
        <v>470000</v>
      </c>
      <c r="V893" s="57" t="s">
        <v>101</v>
      </c>
      <c r="W893" s="55" t="s">
        <v>2319</v>
      </c>
      <c r="X893" s="54" t="s">
        <v>4902</v>
      </c>
      <c r="Y893" s="52"/>
      <c r="Z893" s="1" t="s">
        <v>61</v>
      </c>
      <c r="AA893" s="1" t="s">
        <v>2072</v>
      </c>
      <c r="AB893" s="1"/>
      <c r="AC893" s="1"/>
      <c r="AD893" s="3" t="s">
        <v>62</v>
      </c>
      <c r="AE893" s="1" t="s">
        <v>184</v>
      </c>
      <c r="AF893" s="1" t="s">
        <v>368</v>
      </c>
      <c r="AG893" s="1" t="s">
        <v>368</v>
      </c>
      <c r="AH893" s="1"/>
      <c r="AI893" s="1"/>
      <c r="AJ893" s="1"/>
      <c r="AK893" s="1"/>
      <c r="AL893" s="1"/>
      <c r="AM893" s="1"/>
      <c r="AN893" s="1"/>
      <c r="AO893" s="1"/>
      <c r="AP893" s="1"/>
      <c r="AQ893" s="1"/>
      <c r="AR893" s="1"/>
      <c r="AS893" s="1"/>
      <c r="AT893" s="1"/>
      <c r="AU893" s="1"/>
      <c r="AV893" s="1"/>
      <c r="AW893" s="1"/>
      <c r="AX893" s="1"/>
      <c r="AY893" s="1"/>
      <c r="AZ893" s="5" t="s">
        <v>2070</v>
      </c>
      <c r="BA893" s="5"/>
      <c r="BB893" s="1"/>
      <c r="BC893" s="1"/>
    </row>
    <row r="894" spans="1:55" s="78" customFormat="1" ht="15" customHeight="1" x14ac:dyDescent="0.25">
      <c r="A894" s="52" t="s">
        <v>4903</v>
      </c>
      <c r="B894" s="34" t="s">
        <v>59</v>
      </c>
      <c r="C894" s="53">
        <v>2026</v>
      </c>
      <c r="D894" s="53">
        <v>2026</v>
      </c>
      <c r="E894" s="54" t="s">
        <v>3531</v>
      </c>
      <c r="F894" s="55" t="s">
        <v>50</v>
      </c>
      <c r="G894" s="55" t="s">
        <v>50</v>
      </c>
      <c r="H894" s="45" t="s">
        <v>2872</v>
      </c>
      <c r="I894" s="56" t="s">
        <v>52</v>
      </c>
      <c r="J894" s="56"/>
      <c r="K894" s="56" t="s">
        <v>87</v>
      </c>
      <c r="L894" s="55" t="str">
        <f t="shared" si="14"/>
        <v/>
      </c>
      <c r="M894" s="55"/>
      <c r="N894" s="56"/>
      <c r="O894" s="56" t="s">
        <v>2893</v>
      </c>
      <c r="P894" s="56" t="s">
        <v>89</v>
      </c>
      <c r="Q894" s="56" t="s">
        <v>89</v>
      </c>
      <c r="R894" s="55"/>
      <c r="S894" s="56" t="s">
        <v>81</v>
      </c>
      <c r="T894" s="55" t="s">
        <v>81</v>
      </c>
      <c r="U894" s="57">
        <v>-999</v>
      </c>
      <c r="V894" s="57" t="s">
        <v>59</v>
      </c>
      <c r="W894" s="55" t="s">
        <v>2319</v>
      </c>
      <c r="X894" s="54" t="s">
        <v>4903</v>
      </c>
      <c r="Y894" s="52"/>
      <c r="Z894" s="1" t="s">
        <v>61</v>
      </c>
      <c r="AA894" s="1" t="s">
        <v>2131</v>
      </c>
      <c r="AB894" s="1"/>
      <c r="AC894" s="1"/>
      <c r="AD894" s="3" t="s">
        <v>62</v>
      </c>
      <c r="AE894" s="1" t="s">
        <v>1054</v>
      </c>
      <c r="AF894" s="1"/>
      <c r="AG894" s="1" t="s">
        <v>2132</v>
      </c>
      <c r="AH894" s="2">
        <v>100</v>
      </c>
      <c r="AI894" s="1"/>
      <c r="AJ894" s="1"/>
      <c r="AK894" s="1"/>
      <c r="AL894" s="1"/>
      <c r="AM894" s="1"/>
      <c r="AN894" s="1"/>
      <c r="AO894" s="1"/>
      <c r="AP894" s="1"/>
      <c r="AQ894" s="1"/>
      <c r="AR894" s="1"/>
      <c r="AS894" s="1"/>
      <c r="AT894" s="1"/>
      <c r="AU894" s="1"/>
      <c r="AV894" s="1"/>
      <c r="AW894" s="1"/>
      <c r="AX894" s="1"/>
      <c r="AY894" s="1"/>
      <c r="AZ894" s="4" t="s">
        <v>2873</v>
      </c>
      <c r="BA894" s="5"/>
      <c r="BB894" s="1"/>
      <c r="BC894" s="1"/>
    </row>
    <row r="895" spans="1:55" s="78" customFormat="1" ht="15" customHeight="1" x14ac:dyDescent="0.25">
      <c r="A895" s="52" t="s">
        <v>4904</v>
      </c>
      <c r="B895" s="34" t="s">
        <v>59</v>
      </c>
      <c r="C895" s="53">
        <v>2026</v>
      </c>
      <c r="D895" s="53">
        <v>2026</v>
      </c>
      <c r="E895" s="54" t="s">
        <v>3532</v>
      </c>
      <c r="F895" s="55" t="s">
        <v>50</v>
      </c>
      <c r="G895" s="55" t="s">
        <v>50</v>
      </c>
      <c r="H895" s="45" t="s">
        <v>2074</v>
      </c>
      <c r="I895" s="56" t="s">
        <v>52</v>
      </c>
      <c r="J895" s="56"/>
      <c r="K895" s="56" t="s">
        <v>87</v>
      </c>
      <c r="L895" s="55" t="str">
        <f t="shared" si="14"/>
        <v/>
      </c>
      <c r="M895" s="55"/>
      <c r="N895" s="56"/>
      <c r="O895" s="56" t="s">
        <v>2893</v>
      </c>
      <c r="P895" s="56" t="s">
        <v>89</v>
      </c>
      <c r="Q895" s="56" t="s">
        <v>89</v>
      </c>
      <c r="R895" s="55"/>
      <c r="S895" s="56" t="s">
        <v>81</v>
      </c>
      <c r="T895" s="55" t="str">
        <f>IF(ISNUMBER(SEARCH(",",N895)),"Y","N")</f>
        <v>N</v>
      </c>
      <c r="U895" s="57">
        <v>-999</v>
      </c>
      <c r="V895" s="57" t="s">
        <v>59</v>
      </c>
      <c r="W895" s="55" t="s">
        <v>2319</v>
      </c>
      <c r="X895" s="54" t="s">
        <v>4904</v>
      </c>
      <c r="Y895" s="52"/>
      <c r="Z895" s="1" t="s">
        <v>61</v>
      </c>
      <c r="AA895" s="1" t="s">
        <v>2075</v>
      </c>
      <c r="AB895" s="1"/>
      <c r="AC895" s="1"/>
      <c r="AD895" s="3" t="s">
        <v>62</v>
      </c>
      <c r="AE895" s="1" t="s">
        <v>306</v>
      </c>
      <c r="AF895" s="1"/>
      <c r="AG895" s="1" t="s">
        <v>2054</v>
      </c>
      <c r="AH895" s="1"/>
      <c r="AI895" s="1"/>
      <c r="AJ895" s="1"/>
      <c r="AK895" s="1"/>
      <c r="AL895" s="1"/>
      <c r="AM895" s="1"/>
      <c r="AN895" s="1"/>
      <c r="AO895" s="1"/>
      <c r="AP895" s="1"/>
      <c r="AQ895" s="1"/>
      <c r="AR895" s="1"/>
      <c r="AS895" s="1"/>
      <c r="AT895" s="1"/>
      <c r="AU895" s="1"/>
      <c r="AV895" s="1"/>
      <c r="AW895" s="1"/>
      <c r="AX895" s="1"/>
      <c r="AY895" s="1"/>
      <c r="AZ895" s="5" t="s">
        <v>2073</v>
      </c>
      <c r="BA895" s="5"/>
      <c r="BB895" s="1"/>
      <c r="BC895" s="1"/>
    </row>
    <row r="896" spans="1:55" s="78" customFormat="1" ht="15" customHeight="1" x14ac:dyDescent="0.25">
      <c r="A896" s="52" t="s">
        <v>4905</v>
      </c>
      <c r="B896" s="34" t="s">
        <v>59</v>
      </c>
      <c r="C896" s="53">
        <v>2026</v>
      </c>
      <c r="D896" s="53">
        <v>2026</v>
      </c>
      <c r="E896" s="54" t="s">
        <v>3533</v>
      </c>
      <c r="F896" s="55" t="s">
        <v>50</v>
      </c>
      <c r="G896" s="55" t="s">
        <v>50</v>
      </c>
      <c r="H896" s="45" t="s">
        <v>2076</v>
      </c>
      <c r="I896" s="56" t="s">
        <v>52</v>
      </c>
      <c r="J896" s="56"/>
      <c r="K896" s="56" t="s">
        <v>87</v>
      </c>
      <c r="L896" s="55" t="str">
        <f t="shared" si="14"/>
        <v/>
      </c>
      <c r="M896" s="55"/>
      <c r="N896" s="56"/>
      <c r="O896" s="56" t="s">
        <v>2984</v>
      </c>
      <c r="P896" s="56" t="s">
        <v>89</v>
      </c>
      <c r="Q896" s="56" t="s">
        <v>89</v>
      </c>
      <c r="R896" s="55"/>
      <c r="S896" s="56" t="s">
        <v>81</v>
      </c>
      <c r="T896" s="55" t="s">
        <v>58</v>
      </c>
      <c r="U896" s="57">
        <v>-999</v>
      </c>
      <c r="V896" s="57" t="s">
        <v>59</v>
      </c>
      <c r="W896" s="55" t="s">
        <v>2319</v>
      </c>
      <c r="X896" s="54" t="s">
        <v>4905</v>
      </c>
      <c r="Y896" s="52"/>
      <c r="Z896" s="1" t="s">
        <v>61</v>
      </c>
      <c r="AA896" s="1" t="s">
        <v>2077</v>
      </c>
      <c r="AB896" s="1"/>
      <c r="AC896" s="1"/>
      <c r="AD896" s="3" t="s">
        <v>62</v>
      </c>
      <c r="AE896" s="1" t="s">
        <v>115</v>
      </c>
      <c r="AF896" s="1" t="s">
        <v>227</v>
      </c>
      <c r="AG896" s="1" t="s">
        <v>228</v>
      </c>
      <c r="AH896" s="2">
        <v>100</v>
      </c>
      <c r="AI896" s="1"/>
      <c r="AJ896" s="1"/>
      <c r="AK896" s="1"/>
      <c r="AL896" s="1"/>
      <c r="AM896" s="1"/>
      <c r="AN896" s="1"/>
      <c r="AO896" s="1"/>
      <c r="AP896" s="1"/>
      <c r="AQ896" s="1"/>
      <c r="AR896" s="1"/>
      <c r="AS896" s="1"/>
      <c r="AT896" s="1"/>
      <c r="AU896" s="1"/>
      <c r="AV896" s="1"/>
      <c r="AW896" s="1"/>
      <c r="AX896" s="1"/>
      <c r="AY896" s="1"/>
      <c r="AZ896" s="5" t="s">
        <v>1689</v>
      </c>
      <c r="BA896" s="5"/>
      <c r="BB896" s="1"/>
      <c r="BC896" s="1"/>
    </row>
    <row r="897" spans="1:55" s="78" customFormat="1" ht="15" customHeight="1" x14ac:dyDescent="0.25">
      <c r="A897" s="52" t="s">
        <v>4906</v>
      </c>
      <c r="B897" s="34" t="s">
        <v>59</v>
      </c>
      <c r="C897" s="53">
        <v>2026</v>
      </c>
      <c r="D897" s="53">
        <v>2026</v>
      </c>
      <c r="E897" s="54" t="s">
        <v>3534</v>
      </c>
      <c r="F897" s="55" t="s">
        <v>50</v>
      </c>
      <c r="G897" s="55" t="s">
        <v>50</v>
      </c>
      <c r="H897" s="45" t="s">
        <v>2079</v>
      </c>
      <c r="I897" s="56" t="s">
        <v>52</v>
      </c>
      <c r="J897" s="56"/>
      <c r="K897" s="56" t="s">
        <v>87</v>
      </c>
      <c r="L897" s="55" t="str">
        <f t="shared" si="14"/>
        <v/>
      </c>
      <c r="M897" s="55"/>
      <c r="N897" s="56"/>
      <c r="O897" s="56" t="s">
        <v>2904</v>
      </c>
      <c r="P897" s="56" t="s">
        <v>89</v>
      </c>
      <c r="Q897" s="56" t="s">
        <v>89</v>
      </c>
      <c r="R897" s="55"/>
      <c r="S897" s="56" t="s">
        <v>81</v>
      </c>
      <c r="T897" s="55" t="s">
        <v>58</v>
      </c>
      <c r="U897" s="57">
        <v>-999</v>
      </c>
      <c r="V897" s="57" t="s">
        <v>59</v>
      </c>
      <c r="W897" s="55" t="s">
        <v>2319</v>
      </c>
      <c r="X897" s="54" t="s">
        <v>4906</v>
      </c>
      <c r="Y897" s="52"/>
      <c r="Z897" s="1" t="s">
        <v>61</v>
      </c>
      <c r="AA897" s="1" t="s">
        <v>2080</v>
      </c>
      <c r="AB897" s="1"/>
      <c r="AC897" s="1"/>
      <c r="AD897" s="3" t="s">
        <v>62</v>
      </c>
      <c r="AE897" s="1" t="s">
        <v>91</v>
      </c>
      <c r="AF897" s="1" t="s">
        <v>2081</v>
      </c>
      <c r="AG897" s="1" t="s">
        <v>2082</v>
      </c>
      <c r="AH897" s="59">
        <v>100</v>
      </c>
      <c r="AI897" s="1"/>
      <c r="AJ897" s="1"/>
      <c r="AK897" s="1"/>
      <c r="AL897" s="1"/>
      <c r="AM897" s="1"/>
      <c r="AN897" s="1"/>
      <c r="AO897" s="1"/>
      <c r="AP897" s="1"/>
      <c r="AQ897" s="1"/>
      <c r="AR897" s="1"/>
      <c r="AS897" s="1"/>
      <c r="AT897" s="1"/>
      <c r="AU897" s="1"/>
      <c r="AV897" s="1"/>
      <c r="AW897" s="1"/>
      <c r="AX897" s="1"/>
      <c r="AY897" s="1"/>
      <c r="AZ897" s="5" t="s">
        <v>2078</v>
      </c>
      <c r="BA897" s="5"/>
      <c r="BB897" s="1"/>
      <c r="BC897" s="1"/>
    </row>
    <row r="898" spans="1:55" s="78" customFormat="1" ht="15" customHeight="1" x14ac:dyDescent="0.25">
      <c r="A898" s="52" t="s">
        <v>4907</v>
      </c>
      <c r="B898" s="34" t="s">
        <v>59</v>
      </c>
      <c r="C898" s="53">
        <v>2026</v>
      </c>
      <c r="D898" s="53">
        <v>2026</v>
      </c>
      <c r="E898" s="54" t="s">
        <v>3535</v>
      </c>
      <c r="F898" s="55" t="s">
        <v>50</v>
      </c>
      <c r="G898" s="55" t="s">
        <v>50</v>
      </c>
      <c r="H898" s="45" t="s">
        <v>2083</v>
      </c>
      <c r="I898" s="56" t="s">
        <v>52</v>
      </c>
      <c r="J898" s="56"/>
      <c r="K898" s="56" t="s">
        <v>87</v>
      </c>
      <c r="L898" s="55" t="str">
        <f t="shared" si="14"/>
        <v/>
      </c>
      <c r="M898" s="55"/>
      <c r="N898" s="56"/>
      <c r="O898" s="45" t="s">
        <v>2890</v>
      </c>
      <c r="P898" s="56" t="s">
        <v>89</v>
      </c>
      <c r="Q898" s="56" t="s">
        <v>89</v>
      </c>
      <c r="R898" s="55"/>
      <c r="S898" s="56" t="s">
        <v>81</v>
      </c>
      <c r="T898" s="55" t="s">
        <v>58</v>
      </c>
      <c r="U898" s="57">
        <v>-999</v>
      </c>
      <c r="V898" s="57" t="s">
        <v>59</v>
      </c>
      <c r="W898" s="55" t="s">
        <v>2319</v>
      </c>
      <c r="X898" s="54" t="s">
        <v>4907</v>
      </c>
      <c r="Y898" s="52"/>
      <c r="Z898" s="1" t="s">
        <v>61</v>
      </c>
      <c r="AA898" s="1" t="s">
        <v>2084</v>
      </c>
      <c r="AB898" s="1"/>
      <c r="AC898" s="1"/>
      <c r="AD898" s="3" t="s">
        <v>62</v>
      </c>
      <c r="AE898" s="1" t="s">
        <v>131</v>
      </c>
      <c r="AF898" s="1" t="s">
        <v>227</v>
      </c>
      <c r="AG898" s="1" t="s">
        <v>228</v>
      </c>
      <c r="AH898" s="2">
        <v>100</v>
      </c>
      <c r="AI898" s="1"/>
      <c r="AJ898" s="1"/>
      <c r="AK898" s="1"/>
      <c r="AL898" s="1"/>
      <c r="AM898" s="1"/>
      <c r="AN898" s="1"/>
      <c r="AO898" s="1"/>
      <c r="AP898" s="1"/>
      <c r="AQ898" s="1"/>
      <c r="AR898" s="1"/>
      <c r="AS898" s="1"/>
      <c r="AT898" s="1"/>
      <c r="AU898" s="1"/>
      <c r="AV898" s="1"/>
      <c r="AW898" s="1"/>
      <c r="AX898" s="1"/>
      <c r="AY898" s="1"/>
      <c r="AZ898" s="5" t="s">
        <v>1689</v>
      </c>
      <c r="BA898" s="5"/>
      <c r="BB898" s="1"/>
      <c r="BC898" s="1"/>
    </row>
    <row r="899" spans="1:55" s="78" customFormat="1" ht="15" customHeight="1" x14ac:dyDescent="0.25">
      <c r="A899" s="52" t="s">
        <v>4908</v>
      </c>
      <c r="B899" s="34" t="s">
        <v>59</v>
      </c>
      <c r="C899" s="53">
        <v>2026</v>
      </c>
      <c r="D899" s="53">
        <v>2026</v>
      </c>
      <c r="E899" s="54" t="s">
        <v>3536</v>
      </c>
      <c r="F899" s="55" t="s">
        <v>50</v>
      </c>
      <c r="G899" s="55" t="s">
        <v>50</v>
      </c>
      <c r="H899" s="45" t="s">
        <v>2085</v>
      </c>
      <c r="I899" s="56" t="s">
        <v>52</v>
      </c>
      <c r="J899" s="56"/>
      <c r="K899" s="56" t="s">
        <v>87</v>
      </c>
      <c r="L899" s="55" t="str">
        <f t="shared" si="14"/>
        <v/>
      </c>
      <c r="M899" s="55"/>
      <c r="N899" s="56"/>
      <c r="O899" s="56" t="s">
        <v>2892</v>
      </c>
      <c r="P899" s="56" t="s">
        <v>89</v>
      </c>
      <c r="Q899" s="56" t="s">
        <v>89</v>
      </c>
      <c r="R899" s="55"/>
      <c r="S899" s="56" t="s">
        <v>81</v>
      </c>
      <c r="T899" s="55" t="s">
        <v>58</v>
      </c>
      <c r="U899" s="57">
        <v>-999</v>
      </c>
      <c r="V899" s="57" t="s">
        <v>59</v>
      </c>
      <c r="W899" s="55" t="s">
        <v>2319</v>
      </c>
      <c r="X899" s="54" t="s">
        <v>4908</v>
      </c>
      <c r="Y899" s="52"/>
      <c r="Z899" s="1" t="s">
        <v>61</v>
      </c>
      <c r="AA899" s="1" t="s">
        <v>2086</v>
      </c>
      <c r="AB899" s="1"/>
      <c r="AC899" s="1"/>
      <c r="AD899" s="3" t="s">
        <v>62</v>
      </c>
      <c r="AE899" s="1" t="s">
        <v>695</v>
      </c>
      <c r="AF899" s="1" t="s">
        <v>227</v>
      </c>
      <c r="AG899" s="1" t="s">
        <v>228</v>
      </c>
      <c r="AH899" s="2">
        <v>100</v>
      </c>
      <c r="AI899" s="1"/>
      <c r="AJ899" s="1"/>
      <c r="AK899" s="1"/>
      <c r="AL899" s="1"/>
      <c r="AM899" s="1"/>
      <c r="AN899" s="1"/>
      <c r="AO899" s="1"/>
      <c r="AP899" s="1"/>
      <c r="AQ899" s="1"/>
      <c r="AR899" s="1"/>
      <c r="AS899" s="1"/>
      <c r="AT899" s="1"/>
      <c r="AU899" s="1"/>
      <c r="AV899" s="1"/>
      <c r="AW899" s="1"/>
      <c r="AX899" s="1"/>
      <c r="AY899" s="1"/>
      <c r="AZ899" s="5" t="s">
        <v>1689</v>
      </c>
      <c r="BA899" s="5"/>
      <c r="BB899" s="1"/>
      <c r="BC899" s="1"/>
    </row>
    <row r="900" spans="1:55" s="78" customFormat="1" ht="15" customHeight="1" x14ac:dyDescent="0.25">
      <c r="A900" s="52" t="s">
        <v>4909</v>
      </c>
      <c r="B900" s="34" t="s">
        <v>59</v>
      </c>
      <c r="C900" s="53">
        <v>2026</v>
      </c>
      <c r="D900" s="53">
        <v>2026</v>
      </c>
      <c r="E900" s="54" t="s">
        <v>3537</v>
      </c>
      <c r="F900" s="55" t="s">
        <v>50</v>
      </c>
      <c r="G900" s="55" t="s">
        <v>50</v>
      </c>
      <c r="H900" s="45" t="s">
        <v>2087</v>
      </c>
      <c r="I900" s="56" t="s">
        <v>52</v>
      </c>
      <c r="J900" s="56"/>
      <c r="K900" s="56" t="s">
        <v>87</v>
      </c>
      <c r="L900" s="55" t="str">
        <f t="shared" si="14"/>
        <v/>
      </c>
      <c r="M900" s="55"/>
      <c r="N900" s="56"/>
      <c r="O900" s="56" t="s">
        <v>2894</v>
      </c>
      <c r="P900" s="56" t="s">
        <v>89</v>
      </c>
      <c r="Q900" s="56" t="s">
        <v>89</v>
      </c>
      <c r="R900" s="55"/>
      <c r="S900" s="56" t="s">
        <v>81</v>
      </c>
      <c r="T900" s="55" t="str">
        <f>IF(ISNUMBER(SEARCH(",",N900)),"Y","N")</f>
        <v>N</v>
      </c>
      <c r="U900" s="57">
        <v>-999</v>
      </c>
      <c r="V900" s="57" t="s">
        <v>59</v>
      </c>
      <c r="W900" s="55" t="s">
        <v>2319</v>
      </c>
      <c r="X900" s="54" t="s">
        <v>4909</v>
      </c>
      <c r="Y900" s="52"/>
      <c r="Z900" s="1" t="s">
        <v>61</v>
      </c>
      <c r="AA900" s="1" t="s">
        <v>2088</v>
      </c>
      <c r="AB900" s="1"/>
      <c r="AC900" s="1"/>
      <c r="AD900" s="3" t="s">
        <v>62</v>
      </c>
      <c r="AE900" s="1" t="s">
        <v>262</v>
      </c>
      <c r="AF900" s="1" t="s">
        <v>227</v>
      </c>
      <c r="AG900" s="1" t="s">
        <v>228</v>
      </c>
      <c r="AH900" s="2">
        <v>100</v>
      </c>
      <c r="AI900" s="1"/>
      <c r="AJ900" s="1"/>
      <c r="AK900" s="1"/>
      <c r="AL900" s="1"/>
      <c r="AM900" s="1"/>
      <c r="AN900" s="1"/>
      <c r="AO900" s="1"/>
      <c r="AP900" s="1"/>
      <c r="AQ900" s="1"/>
      <c r="AR900" s="1"/>
      <c r="AS900" s="1"/>
      <c r="AT900" s="1"/>
      <c r="AU900" s="1"/>
      <c r="AV900" s="1"/>
      <c r="AW900" s="1"/>
      <c r="AX900" s="1"/>
      <c r="AY900" s="1"/>
      <c r="AZ900" s="5" t="s">
        <v>2021</v>
      </c>
      <c r="BA900" s="5"/>
      <c r="BB900" s="1"/>
      <c r="BC900" s="1"/>
    </row>
    <row r="901" spans="1:55" s="78" customFormat="1" ht="15" customHeight="1" x14ac:dyDescent="0.25">
      <c r="A901" s="52" t="s">
        <v>4910</v>
      </c>
      <c r="B901" s="34" t="s">
        <v>59</v>
      </c>
      <c r="C901" s="53">
        <v>2026</v>
      </c>
      <c r="D901" s="53">
        <v>2026</v>
      </c>
      <c r="E901" s="54" t="s">
        <v>3538</v>
      </c>
      <c r="F901" s="55" t="s">
        <v>50</v>
      </c>
      <c r="G901" s="55" t="s">
        <v>50</v>
      </c>
      <c r="H901" s="45" t="s">
        <v>2090</v>
      </c>
      <c r="I901" s="56" t="s">
        <v>52</v>
      </c>
      <c r="J901" s="56"/>
      <c r="K901" s="56" t="s">
        <v>87</v>
      </c>
      <c r="L901" s="55" t="str">
        <f t="shared" si="14"/>
        <v/>
      </c>
      <c r="M901" s="55"/>
      <c r="N901" s="56"/>
      <c r="O901" s="56" t="s">
        <v>2986</v>
      </c>
      <c r="P901" s="56" t="s">
        <v>89</v>
      </c>
      <c r="Q901" s="56" t="s">
        <v>89</v>
      </c>
      <c r="R901" s="55"/>
      <c r="S901" s="56" t="s">
        <v>81</v>
      </c>
      <c r="T901" s="55" t="s">
        <v>58</v>
      </c>
      <c r="U901" s="57">
        <v>-999</v>
      </c>
      <c r="V901" s="57" t="s">
        <v>59</v>
      </c>
      <c r="W901" s="55" t="s">
        <v>2319</v>
      </c>
      <c r="X901" s="54" t="s">
        <v>4910</v>
      </c>
      <c r="Y901" s="52"/>
      <c r="Z901" s="1" t="s">
        <v>61</v>
      </c>
      <c r="AA901" s="1" t="s">
        <v>2091</v>
      </c>
      <c r="AB901" s="1"/>
      <c r="AC901" s="1"/>
      <c r="AD901" s="3" t="s">
        <v>62</v>
      </c>
      <c r="AE901" s="1" t="s">
        <v>1077</v>
      </c>
      <c r="AF901" s="1" t="s">
        <v>227</v>
      </c>
      <c r="AG901" s="1" t="s">
        <v>228</v>
      </c>
      <c r="AH901" s="2">
        <v>100</v>
      </c>
      <c r="AI901" s="1"/>
      <c r="AJ901" s="1"/>
      <c r="AK901" s="1"/>
      <c r="AL901" s="1"/>
      <c r="AM901" s="1"/>
      <c r="AN901" s="1"/>
      <c r="AO901" s="1"/>
      <c r="AP901" s="1"/>
      <c r="AQ901" s="1"/>
      <c r="AR901" s="1"/>
      <c r="AS901" s="1"/>
      <c r="AT901" s="1"/>
      <c r="AU901" s="1"/>
      <c r="AV901" s="1"/>
      <c r="AW901" s="1"/>
      <c r="AX901" s="1"/>
      <c r="AY901" s="1"/>
      <c r="AZ901" s="5" t="s">
        <v>2089</v>
      </c>
      <c r="BA901" s="5"/>
      <c r="BB901" s="1"/>
      <c r="BC901" s="1"/>
    </row>
    <row r="902" spans="1:55" s="78" customFormat="1" ht="15" customHeight="1" x14ac:dyDescent="0.25">
      <c r="A902" s="52" t="s">
        <v>4911</v>
      </c>
      <c r="B902" s="34" t="s">
        <v>59</v>
      </c>
      <c r="C902" s="53">
        <v>2026</v>
      </c>
      <c r="D902" s="53">
        <v>2026</v>
      </c>
      <c r="E902" s="54" t="s">
        <v>3539</v>
      </c>
      <c r="F902" s="55" t="s">
        <v>50</v>
      </c>
      <c r="G902" s="55" t="s">
        <v>50</v>
      </c>
      <c r="H902" s="45" t="s">
        <v>2092</v>
      </c>
      <c r="I902" s="56" t="s">
        <v>52</v>
      </c>
      <c r="J902" s="56"/>
      <c r="K902" s="56" t="s">
        <v>87</v>
      </c>
      <c r="L902" s="55" t="str">
        <f t="shared" si="14"/>
        <v/>
      </c>
      <c r="M902" s="55"/>
      <c r="N902" s="56"/>
      <c r="O902" s="56" t="s">
        <v>2893</v>
      </c>
      <c r="P902" s="56" t="s">
        <v>89</v>
      </c>
      <c r="Q902" s="56" t="s">
        <v>89</v>
      </c>
      <c r="R902" s="55"/>
      <c r="S902" s="56" t="s">
        <v>81</v>
      </c>
      <c r="T902" s="55" t="str">
        <f>IF(ISNUMBER(SEARCH(",",N902)),"Y","N")</f>
        <v>N</v>
      </c>
      <c r="U902" s="57">
        <v>-999</v>
      </c>
      <c r="V902" s="57" t="s">
        <v>59</v>
      </c>
      <c r="W902" s="55" t="s">
        <v>2319</v>
      </c>
      <c r="X902" s="54" t="s">
        <v>4911</v>
      </c>
      <c r="Y902" s="52"/>
      <c r="Z902" s="1" t="s">
        <v>61</v>
      </c>
      <c r="AA902" s="1" t="s">
        <v>2093</v>
      </c>
      <c r="AB902" s="1"/>
      <c r="AC902" s="1"/>
      <c r="AD902" s="3" t="s">
        <v>62</v>
      </c>
      <c r="AE902" s="1" t="s">
        <v>257</v>
      </c>
      <c r="AF902" s="1" t="s">
        <v>227</v>
      </c>
      <c r="AG902" s="1" t="s">
        <v>228</v>
      </c>
      <c r="AH902" s="2">
        <v>100</v>
      </c>
      <c r="AI902" s="1"/>
      <c r="AJ902" s="1"/>
      <c r="AK902" s="1"/>
      <c r="AL902" s="1"/>
      <c r="AM902" s="1"/>
      <c r="AN902" s="1"/>
      <c r="AO902" s="1"/>
      <c r="AP902" s="1"/>
      <c r="AQ902" s="1"/>
      <c r="AR902" s="1"/>
      <c r="AS902" s="1"/>
      <c r="AT902" s="1"/>
      <c r="AU902" s="1"/>
      <c r="AV902" s="1"/>
      <c r="AW902" s="1"/>
      <c r="AX902" s="1"/>
      <c r="AY902" s="1"/>
      <c r="AZ902" s="5" t="s">
        <v>1689</v>
      </c>
      <c r="BA902" s="5"/>
      <c r="BB902" s="1"/>
      <c r="BC902" s="1"/>
    </row>
    <row r="903" spans="1:55" s="78" customFormat="1" ht="15" customHeight="1" x14ac:dyDescent="0.25">
      <c r="A903" s="52" t="s">
        <v>4912</v>
      </c>
      <c r="B903" s="34" t="s">
        <v>59</v>
      </c>
      <c r="C903" s="53">
        <v>2026</v>
      </c>
      <c r="D903" s="53">
        <v>2026</v>
      </c>
      <c r="E903" s="54" t="s">
        <v>3540</v>
      </c>
      <c r="F903" s="55" t="s">
        <v>50</v>
      </c>
      <c r="G903" s="55" t="s">
        <v>50</v>
      </c>
      <c r="H903" s="45" t="s">
        <v>2094</v>
      </c>
      <c r="I903" s="56" t="s">
        <v>52</v>
      </c>
      <c r="J903" s="56"/>
      <c r="K903" s="56" t="s">
        <v>87</v>
      </c>
      <c r="L903" s="55" t="str">
        <f t="shared" si="14"/>
        <v/>
      </c>
      <c r="M903" s="55"/>
      <c r="N903" s="56"/>
      <c r="O903" s="56" t="s">
        <v>2985</v>
      </c>
      <c r="P903" s="56" t="s">
        <v>89</v>
      </c>
      <c r="Q903" s="56" t="s">
        <v>89</v>
      </c>
      <c r="R903" s="55"/>
      <c r="S903" s="56" t="s">
        <v>81</v>
      </c>
      <c r="T903" s="55" t="s">
        <v>58</v>
      </c>
      <c r="U903" s="57">
        <v>-999</v>
      </c>
      <c r="V903" s="57" t="s">
        <v>59</v>
      </c>
      <c r="W903" s="55" t="s">
        <v>2319</v>
      </c>
      <c r="X903" s="54" t="s">
        <v>4912</v>
      </c>
      <c r="Y903" s="52"/>
      <c r="Z903" s="1" t="s">
        <v>61</v>
      </c>
      <c r="AA903" s="1" t="s">
        <v>2095</v>
      </c>
      <c r="AB903" s="1"/>
      <c r="AC903" s="1"/>
      <c r="AD903" s="3" t="s">
        <v>62</v>
      </c>
      <c r="AE903" s="1" t="s">
        <v>115</v>
      </c>
      <c r="AF903" s="1" t="s">
        <v>227</v>
      </c>
      <c r="AG903" s="1" t="s">
        <v>228</v>
      </c>
      <c r="AH903" s="2">
        <v>100</v>
      </c>
      <c r="AI903" s="1"/>
      <c r="AJ903" s="1"/>
      <c r="AK903" s="1"/>
      <c r="AL903" s="1"/>
      <c r="AM903" s="1"/>
      <c r="AN903" s="1"/>
      <c r="AO903" s="1"/>
      <c r="AP903" s="1"/>
      <c r="AQ903" s="1"/>
      <c r="AR903" s="1"/>
      <c r="AS903" s="1"/>
      <c r="AT903" s="1"/>
      <c r="AU903" s="1"/>
      <c r="AV903" s="1"/>
      <c r="AW903" s="1"/>
      <c r="AX903" s="1"/>
      <c r="AY903" s="1"/>
      <c r="AZ903" s="5" t="s">
        <v>2021</v>
      </c>
      <c r="BA903" s="5"/>
      <c r="BB903" s="1"/>
      <c r="BC903" s="1"/>
    </row>
    <row r="904" spans="1:55" s="78" customFormat="1" ht="15" customHeight="1" x14ac:dyDescent="0.25">
      <c r="A904" s="52" t="s">
        <v>4913</v>
      </c>
      <c r="B904" s="34" t="s">
        <v>59</v>
      </c>
      <c r="C904" s="53">
        <v>2026</v>
      </c>
      <c r="D904" s="53">
        <v>2026</v>
      </c>
      <c r="E904" s="54" t="s">
        <v>3541</v>
      </c>
      <c r="F904" s="55" t="s">
        <v>50</v>
      </c>
      <c r="G904" s="55" t="s">
        <v>50</v>
      </c>
      <c r="H904" s="45" t="s">
        <v>2097</v>
      </c>
      <c r="I904" s="56" t="s">
        <v>52</v>
      </c>
      <c r="J904" s="56"/>
      <c r="K904" s="56" t="s">
        <v>87</v>
      </c>
      <c r="L904" s="55" t="str">
        <f t="shared" si="14"/>
        <v/>
      </c>
      <c r="M904" s="55"/>
      <c r="N904" s="56"/>
      <c r="O904" s="56" t="s">
        <v>2893</v>
      </c>
      <c r="P904" s="56" t="s">
        <v>89</v>
      </c>
      <c r="Q904" s="56" t="s">
        <v>89</v>
      </c>
      <c r="R904" s="55"/>
      <c r="S904" s="56" t="s">
        <v>81</v>
      </c>
      <c r="T904" s="55" t="str">
        <f>IF(ISNUMBER(SEARCH(",",N904)),"Y","N")</f>
        <v>N</v>
      </c>
      <c r="U904" s="57">
        <v>-999</v>
      </c>
      <c r="V904" s="57" t="s">
        <v>59</v>
      </c>
      <c r="W904" s="55" t="s">
        <v>2319</v>
      </c>
      <c r="X904" s="54" t="s">
        <v>4913</v>
      </c>
      <c r="Y904" s="52"/>
      <c r="Z904" s="1" t="s">
        <v>61</v>
      </c>
      <c r="AA904" s="1" t="s">
        <v>2098</v>
      </c>
      <c r="AB904" s="1"/>
      <c r="AC904" s="1"/>
      <c r="AD904" s="3" t="s">
        <v>62</v>
      </c>
      <c r="AE904" s="1" t="s">
        <v>336</v>
      </c>
      <c r="AF904" s="1" t="s">
        <v>1818</v>
      </c>
      <c r="AG904" s="1" t="s">
        <v>1818</v>
      </c>
      <c r="AH904" s="2">
        <v>100</v>
      </c>
      <c r="AI904" s="1"/>
      <c r="AJ904" s="1"/>
      <c r="AK904" s="1"/>
      <c r="AL904" s="1"/>
      <c r="AM904" s="1"/>
      <c r="AN904" s="1"/>
      <c r="AO904" s="1"/>
      <c r="AP904" s="1"/>
      <c r="AQ904" s="1"/>
      <c r="AR904" s="1"/>
      <c r="AS904" s="1"/>
      <c r="AT904" s="1"/>
      <c r="AU904" s="1"/>
      <c r="AV904" s="1"/>
      <c r="AW904" s="1"/>
      <c r="AX904" s="1"/>
      <c r="AY904" s="1"/>
      <c r="AZ904" s="5" t="s">
        <v>2096</v>
      </c>
      <c r="BA904" s="5"/>
      <c r="BB904" s="1"/>
      <c r="BC904" s="1"/>
    </row>
    <row r="905" spans="1:55" s="78" customFormat="1" ht="15" customHeight="1" x14ac:dyDescent="0.25">
      <c r="A905" s="52" t="s">
        <v>4914</v>
      </c>
      <c r="B905" s="34" t="s">
        <v>59</v>
      </c>
      <c r="C905" s="53">
        <v>2026</v>
      </c>
      <c r="D905" s="53">
        <v>2026</v>
      </c>
      <c r="E905" s="54" t="s">
        <v>3542</v>
      </c>
      <c r="F905" s="55" t="s">
        <v>50</v>
      </c>
      <c r="G905" s="55" t="s">
        <v>50</v>
      </c>
      <c r="H905" s="45" t="s">
        <v>2099</v>
      </c>
      <c r="I905" s="56" t="s">
        <v>52</v>
      </c>
      <c r="J905" s="56"/>
      <c r="K905" s="56" t="s">
        <v>87</v>
      </c>
      <c r="L905" s="55" t="str">
        <f t="shared" si="14"/>
        <v/>
      </c>
      <c r="M905" s="55"/>
      <c r="N905" s="56"/>
      <c r="O905" s="56" t="s">
        <v>2893</v>
      </c>
      <c r="P905" s="56" t="s">
        <v>89</v>
      </c>
      <c r="Q905" s="56" t="s">
        <v>89</v>
      </c>
      <c r="R905" s="55"/>
      <c r="S905" s="56" t="s">
        <v>81</v>
      </c>
      <c r="T905" s="55" t="str">
        <f>IF(ISNUMBER(SEARCH(",",N905)),"Y","N")</f>
        <v>N</v>
      </c>
      <c r="U905" s="57">
        <v>-999</v>
      </c>
      <c r="V905" s="57" t="s">
        <v>59</v>
      </c>
      <c r="W905" s="55" t="s">
        <v>2319</v>
      </c>
      <c r="X905" s="54" t="s">
        <v>4914</v>
      </c>
      <c r="Y905" s="52"/>
      <c r="Z905" s="1" t="s">
        <v>61</v>
      </c>
      <c r="AA905" s="1" t="s">
        <v>2100</v>
      </c>
      <c r="AB905" s="1"/>
      <c r="AC905" s="1"/>
      <c r="AD905" s="3" t="s">
        <v>62</v>
      </c>
      <c r="AE905" s="1" t="s">
        <v>306</v>
      </c>
      <c r="AF905" s="1" t="s">
        <v>227</v>
      </c>
      <c r="AG905" s="1" t="s">
        <v>228</v>
      </c>
      <c r="AH905" s="2">
        <v>100</v>
      </c>
      <c r="AI905" s="1"/>
      <c r="AJ905" s="1"/>
      <c r="AK905" s="1"/>
      <c r="AL905" s="1"/>
      <c r="AM905" s="1"/>
      <c r="AN905" s="1"/>
      <c r="AO905" s="1"/>
      <c r="AP905" s="1"/>
      <c r="AQ905" s="1"/>
      <c r="AR905" s="1"/>
      <c r="AS905" s="1"/>
      <c r="AT905" s="1"/>
      <c r="AU905" s="1"/>
      <c r="AV905" s="1"/>
      <c r="AW905" s="1"/>
      <c r="AX905" s="1"/>
      <c r="AY905" s="1"/>
      <c r="AZ905" s="5" t="s">
        <v>1689</v>
      </c>
      <c r="BA905" s="5"/>
      <c r="BB905" s="1"/>
      <c r="BC905" s="1"/>
    </row>
    <row r="906" spans="1:55" s="78" customFormat="1" ht="15" customHeight="1" x14ac:dyDescent="0.25">
      <c r="A906" s="52" t="s">
        <v>4915</v>
      </c>
      <c r="B906" s="34" t="s">
        <v>59</v>
      </c>
      <c r="C906" s="53">
        <v>2026</v>
      </c>
      <c r="D906" s="53">
        <v>2026</v>
      </c>
      <c r="E906" s="54" t="s">
        <v>3543</v>
      </c>
      <c r="F906" s="55" t="s">
        <v>50</v>
      </c>
      <c r="G906" s="55" t="s">
        <v>50</v>
      </c>
      <c r="H906" s="45" t="s">
        <v>2102</v>
      </c>
      <c r="I906" s="56" t="s">
        <v>52</v>
      </c>
      <c r="J906" s="56"/>
      <c r="K906" s="56" t="s">
        <v>87</v>
      </c>
      <c r="L906" s="55" t="str">
        <f t="shared" si="14"/>
        <v/>
      </c>
      <c r="M906" s="55"/>
      <c r="N906" s="56"/>
      <c r="O906" s="56" t="s">
        <v>2893</v>
      </c>
      <c r="P906" s="56" t="s">
        <v>89</v>
      </c>
      <c r="Q906" s="56" t="s">
        <v>89</v>
      </c>
      <c r="R906" s="55"/>
      <c r="S906" s="56" t="s">
        <v>81</v>
      </c>
      <c r="T906" s="55" t="str">
        <f>IF(ISNUMBER(SEARCH(",",N906)),"Y","N")</f>
        <v>N</v>
      </c>
      <c r="U906" s="57">
        <v>-999</v>
      </c>
      <c r="V906" s="57" t="s">
        <v>59</v>
      </c>
      <c r="W906" s="55" t="s">
        <v>2319</v>
      </c>
      <c r="X906" s="54" t="s">
        <v>4915</v>
      </c>
      <c r="Y906" s="52"/>
      <c r="Z906" s="1" t="s">
        <v>61</v>
      </c>
      <c r="AA906" s="1" t="s">
        <v>2103</v>
      </c>
      <c r="AB906" s="1"/>
      <c r="AC906" s="1"/>
      <c r="AD906" s="3" t="s">
        <v>62</v>
      </c>
      <c r="AE906" s="2" t="s">
        <v>403</v>
      </c>
      <c r="AF906" s="1"/>
      <c r="AG906" s="1" t="s">
        <v>1185</v>
      </c>
      <c r="AH906" s="1"/>
      <c r="AI906" s="1"/>
      <c r="AJ906" s="1"/>
      <c r="AK906" s="1"/>
      <c r="AL906" s="1"/>
      <c r="AM906" s="1"/>
      <c r="AN906" s="1"/>
      <c r="AO906" s="1"/>
      <c r="AP906" s="1"/>
      <c r="AQ906" s="1"/>
      <c r="AR906" s="1"/>
      <c r="AS906" s="1"/>
      <c r="AT906" s="1"/>
      <c r="AU906" s="1"/>
      <c r="AV906" s="1"/>
      <c r="AW906" s="1"/>
      <c r="AX906" s="1"/>
      <c r="AY906" s="1"/>
      <c r="AZ906" s="5" t="s">
        <v>2101</v>
      </c>
      <c r="BA906" s="5"/>
      <c r="BB906" s="1"/>
      <c r="BC906" s="1"/>
    </row>
    <row r="907" spans="1:55" s="78" customFormat="1" ht="15" customHeight="1" x14ac:dyDescent="0.25">
      <c r="A907" s="52" t="s">
        <v>4916</v>
      </c>
      <c r="B907" s="34" t="s">
        <v>59</v>
      </c>
      <c r="C907" s="53">
        <v>2026</v>
      </c>
      <c r="D907" s="53">
        <v>2026</v>
      </c>
      <c r="E907" s="54" t="s">
        <v>3544</v>
      </c>
      <c r="F907" s="55" t="s">
        <v>50</v>
      </c>
      <c r="G907" s="55" t="s">
        <v>50</v>
      </c>
      <c r="H907" s="45" t="s">
        <v>2105</v>
      </c>
      <c r="I907" s="56" t="s">
        <v>52</v>
      </c>
      <c r="J907" s="56"/>
      <c r="K907" s="56" t="s">
        <v>79</v>
      </c>
      <c r="L907" s="55" t="str">
        <f t="shared" si="14"/>
        <v/>
      </c>
      <c r="M907" s="55"/>
      <c r="N907" s="56" t="s">
        <v>80</v>
      </c>
      <c r="O907" s="56"/>
      <c r="P907" s="56" t="s">
        <v>89</v>
      </c>
      <c r="Q907" s="56" t="s">
        <v>89</v>
      </c>
      <c r="R907" s="55"/>
      <c r="S907" s="56" t="s">
        <v>81</v>
      </c>
      <c r="T907" s="55" t="str">
        <f>IF(ISNUMBER(SEARCH(",",N907)),"Y","N")</f>
        <v>N</v>
      </c>
      <c r="U907" s="57">
        <v>-999</v>
      </c>
      <c r="V907" s="57" t="s">
        <v>59</v>
      </c>
      <c r="W907" s="55" t="s">
        <v>2319</v>
      </c>
      <c r="X907" s="54" t="s">
        <v>4916</v>
      </c>
      <c r="Y907" s="52"/>
      <c r="Z907" s="1" t="s">
        <v>61</v>
      </c>
      <c r="AA907" s="1" t="s">
        <v>2106</v>
      </c>
      <c r="AB907" s="1"/>
      <c r="AC907" s="1"/>
      <c r="AD907" s="3" t="s">
        <v>62</v>
      </c>
      <c r="AE907" s="1" t="s">
        <v>1174</v>
      </c>
      <c r="AF907" s="1" t="s">
        <v>307</v>
      </c>
      <c r="AG907" s="1" t="s">
        <v>308</v>
      </c>
      <c r="AH907" s="1"/>
      <c r="AI907" s="1"/>
      <c r="AJ907" s="1"/>
      <c r="AK907" s="1"/>
      <c r="AL907" s="1"/>
      <c r="AM907" s="1"/>
      <c r="AN907" s="1"/>
      <c r="AO907" s="1"/>
      <c r="AP907" s="1"/>
      <c r="AQ907" s="1"/>
      <c r="AR907" s="1"/>
      <c r="AS907" s="1"/>
      <c r="AT907" s="1"/>
      <c r="AU907" s="1"/>
      <c r="AV907" s="1"/>
      <c r="AW907" s="1"/>
      <c r="AX907" s="1"/>
      <c r="AY907" s="1"/>
      <c r="AZ907" s="5" t="s">
        <v>2104</v>
      </c>
      <c r="BA907" s="5"/>
      <c r="BB907" s="1"/>
      <c r="BC907" s="1"/>
    </row>
    <row r="908" spans="1:55" s="78" customFormat="1" ht="15" customHeight="1" x14ac:dyDescent="0.25">
      <c r="A908" s="52" t="s">
        <v>4917</v>
      </c>
      <c r="B908" s="34" t="s">
        <v>59</v>
      </c>
      <c r="C908" s="53">
        <v>2026</v>
      </c>
      <c r="D908" s="53">
        <v>2026</v>
      </c>
      <c r="E908" s="54" t="s">
        <v>3545</v>
      </c>
      <c r="F908" s="55" t="s">
        <v>50</v>
      </c>
      <c r="G908" s="55" t="s">
        <v>50</v>
      </c>
      <c r="H908" s="45" t="s">
        <v>2108</v>
      </c>
      <c r="I908" s="56" t="s">
        <v>52</v>
      </c>
      <c r="J908" s="56"/>
      <c r="K908" s="56" t="s">
        <v>87</v>
      </c>
      <c r="L908" s="55" t="str">
        <f t="shared" si="14"/>
        <v/>
      </c>
      <c r="M908" s="55"/>
      <c r="N908" s="56"/>
      <c r="O908" s="56" t="s">
        <v>2892</v>
      </c>
      <c r="P908" s="56" t="s">
        <v>89</v>
      </c>
      <c r="Q908" s="56" t="s">
        <v>89</v>
      </c>
      <c r="R908" s="55"/>
      <c r="S908" s="56" t="s">
        <v>81</v>
      </c>
      <c r="T908" s="55" t="s">
        <v>58</v>
      </c>
      <c r="U908" s="57">
        <v>-999</v>
      </c>
      <c r="V908" s="57" t="s">
        <v>59</v>
      </c>
      <c r="W908" s="55" t="s">
        <v>2319</v>
      </c>
      <c r="X908" s="54" t="s">
        <v>4917</v>
      </c>
      <c r="Y908" s="52"/>
      <c r="Z908" s="1" t="s">
        <v>61</v>
      </c>
      <c r="AA908" s="1" t="s">
        <v>2109</v>
      </c>
      <c r="AB908" s="1"/>
      <c r="AC908" s="1"/>
      <c r="AD908" s="3" t="s">
        <v>62</v>
      </c>
      <c r="AE908" s="1" t="s">
        <v>524</v>
      </c>
      <c r="AF908" s="1" t="s">
        <v>525</v>
      </c>
      <c r="AG908" s="1" t="s">
        <v>526</v>
      </c>
      <c r="AH908" s="1"/>
      <c r="AI908" s="1"/>
      <c r="AJ908" s="1"/>
      <c r="AK908" s="1"/>
      <c r="AL908" s="1"/>
      <c r="AM908" s="1"/>
      <c r="AN908" s="1"/>
      <c r="AO908" s="1"/>
      <c r="AP908" s="1"/>
      <c r="AQ908" s="1"/>
      <c r="AR908" s="1"/>
      <c r="AS908" s="1"/>
      <c r="AT908" s="1"/>
      <c r="AU908" s="1"/>
      <c r="AV908" s="1"/>
      <c r="AW908" s="1"/>
      <c r="AX908" s="1"/>
      <c r="AY908" s="1"/>
      <c r="AZ908" s="5" t="s">
        <v>2107</v>
      </c>
      <c r="BA908" s="5"/>
      <c r="BB908" s="1"/>
      <c r="BC908" s="1"/>
    </row>
    <row r="909" spans="1:55" s="76" customFormat="1" ht="15" customHeight="1" x14ac:dyDescent="0.25">
      <c r="A909" s="52" t="s">
        <v>4918</v>
      </c>
      <c r="B909" s="34" t="s">
        <v>59</v>
      </c>
      <c r="C909" s="53">
        <v>2026</v>
      </c>
      <c r="D909" s="53">
        <v>2026</v>
      </c>
      <c r="E909" s="54" t="s">
        <v>3545</v>
      </c>
      <c r="F909" s="55" t="s">
        <v>50</v>
      </c>
      <c r="G909" s="55" t="s">
        <v>50</v>
      </c>
      <c r="H909" s="45" t="s">
        <v>2108</v>
      </c>
      <c r="I909" s="56" t="s">
        <v>52</v>
      </c>
      <c r="J909" s="56"/>
      <c r="K909" s="56" t="s">
        <v>87</v>
      </c>
      <c r="L909" s="55" t="str">
        <f t="shared" si="14"/>
        <v/>
      </c>
      <c r="M909" s="55"/>
      <c r="N909" s="56"/>
      <c r="O909" s="56" t="s">
        <v>2893</v>
      </c>
      <c r="P909" s="56" t="s">
        <v>89</v>
      </c>
      <c r="Q909" s="56" t="s">
        <v>89</v>
      </c>
      <c r="R909" s="55"/>
      <c r="S909" s="56" t="s">
        <v>81</v>
      </c>
      <c r="T909" s="55" t="str">
        <f>IF(ISNUMBER(SEARCH(",",N909)),"Y","N")</f>
        <v>N</v>
      </c>
      <c r="U909" s="57">
        <v>-999</v>
      </c>
      <c r="V909" s="57" t="s">
        <v>59</v>
      </c>
      <c r="W909" s="55" t="s">
        <v>2319</v>
      </c>
      <c r="X909" s="54" t="s">
        <v>4918</v>
      </c>
      <c r="Y909" s="52"/>
      <c r="Z909" s="1" t="s">
        <v>61</v>
      </c>
      <c r="AA909" s="1" t="s">
        <v>2109</v>
      </c>
      <c r="AB909" s="1"/>
      <c r="AC909" s="1"/>
      <c r="AD909" s="3" t="s">
        <v>62</v>
      </c>
      <c r="AE909" s="1" t="s">
        <v>524</v>
      </c>
      <c r="AF909" s="1" t="s">
        <v>1519</v>
      </c>
      <c r="AG909" s="1" t="s">
        <v>233</v>
      </c>
      <c r="AH909" s="2">
        <v>100</v>
      </c>
      <c r="AI909" s="1"/>
      <c r="AJ909" s="1"/>
      <c r="AK909" s="1"/>
      <c r="AL909" s="1"/>
      <c r="AM909" s="1"/>
      <c r="AN909" s="1"/>
      <c r="AO909" s="1"/>
      <c r="AP909" s="1"/>
      <c r="AQ909" s="1"/>
      <c r="AR909" s="1"/>
      <c r="AS909" s="1"/>
      <c r="AT909" s="1"/>
      <c r="AU909" s="1"/>
      <c r="AV909" s="1"/>
      <c r="AW909" s="1"/>
      <c r="AX909" s="1"/>
      <c r="AY909" s="1"/>
      <c r="AZ909" s="5" t="s">
        <v>1890</v>
      </c>
      <c r="BA909" s="5"/>
      <c r="BB909" s="1"/>
      <c r="BC909" s="1"/>
    </row>
    <row r="910" spans="1:55" s="76" customFormat="1" ht="15" customHeight="1" x14ac:dyDescent="0.25">
      <c r="A910" s="52" t="s">
        <v>4919</v>
      </c>
      <c r="B910" s="34" t="s">
        <v>59</v>
      </c>
      <c r="C910" s="53">
        <v>2026</v>
      </c>
      <c r="D910" s="53">
        <v>2026</v>
      </c>
      <c r="E910" s="54" t="s">
        <v>3546</v>
      </c>
      <c r="F910" s="55" t="s">
        <v>50</v>
      </c>
      <c r="G910" s="55" t="s">
        <v>50</v>
      </c>
      <c r="H910" s="45" t="s">
        <v>2110</v>
      </c>
      <c r="I910" s="56" t="s">
        <v>52</v>
      </c>
      <c r="J910" s="56"/>
      <c r="K910" s="56" t="s">
        <v>87</v>
      </c>
      <c r="L910" s="55" t="str">
        <f t="shared" si="14"/>
        <v/>
      </c>
      <c r="M910" s="55"/>
      <c r="N910" s="56"/>
      <c r="O910" s="56" t="s">
        <v>2892</v>
      </c>
      <c r="P910" s="56" t="s">
        <v>89</v>
      </c>
      <c r="Q910" s="56" t="s">
        <v>89</v>
      </c>
      <c r="R910" s="55"/>
      <c r="S910" s="56" t="s">
        <v>81</v>
      </c>
      <c r="T910" s="55" t="s">
        <v>58</v>
      </c>
      <c r="U910" s="57">
        <v>-999</v>
      </c>
      <c r="V910" s="57" t="s">
        <v>59</v>
      </c>
      <c r="W910" s="55" t="s">
        <v>2319</v>
      </c>
      <c r="X910" s="54" t="s">
        <v>4919</v>
      </c>
      <c r="Y910" s="52"/>
      <c r="Z910" s="1" t="s">
        <v>61</v>
      </c>
      <c r="AA910" s="1" t="s">
        <v>2111</v>
      </c>
      <c r="AB910" s="1"/>
      <c r="AC910" s="1"/>
      <c r="AD910" s="3" t="s">
        <v>62</v>
      </c>
      <c r="AE910" s="1" t="s">
        <v>592</v>
      </c>
      <c r="AF910" s="1" t="s">
        <v>227</v>
      </c>
      <c r="AG910" s="1" t="s">
        <v>228</v>
      </c>
      <c r="AH910" s="2">
        <v>100</v>
      </c>
      <c r="AI910" s="1"/>
      <c r="AJ910" s="1"/>
      <c r="AK910" s="1"/>
      <c r="AL910" s="1"/>
      <c r="AM910" s="1"/>
      <c r="AN910" s="1"/>
      <c r="AO910" s="1"/>
      <c r="AP910" s="1"/>
      <c r="AQ910" s="1"/>
      <c r="AR910" s="1"/>
      <c r="AS910" s="1"/>
      <c r="AT910" s="1"/>
      <c r="AU910" s="1"/>
      <c r="AV910" s="1"/>
      <c r="AW910" s="1"/>
      <c r="AX910" s="1"/>
      <c r="AY910" s="1"/>
      <c r="AZ910" s="5" t="s">
        <v>1689</v>
      </c>
      <c r="BA910" s="5"/>
      <c r="BB910" s="1"/>
      <c r="BC910" s="1"/>
    </row>
    <row r="911" spans="1:55" s="78" customFormat="1" ht="15" customHeight="1" x14ac:dyDescent="0.25">
      <c r="A911" s="52" t="s">
        <v>4920</v>
      </c>
      <c r="B911" s="34" t="s">
        <v>59</v>
      </c>
      <c r="C911" s="53">
        <v>2026</v>
      </c>
      <c r="D911" s="53">
        <v>2026</v>
      </c>
      <c r="E911" s="54" t="s">
        <v>3547</v>
      </c>
      <c r="F911" s="55" t="s">
        <v>50</v>
      </c>
      <c r="G911" s="55" t="s">
        <v>50</v>
      </c>
      <c r="H911" s="45" t="s">
        <v>2113</v>
      </c>
      <c r="I911" s="56" t="s">
        <v>52</v>
      </c>
      <c r="J911" s="56"/>
      <c r="K911" s="56" t="s">
        <v>87</v>
      </c>
      <c r="L911" s="55" t="str">
        <f t="shared" si="14"/>
        <v/>
      </c>
      <c r="M911" s="55"/>
      <c r="N911" s="56"/>
      <c r="O911" s="56" t="s">
        <v>2893</v>
      </c>
      <c r="P911" s="56" t="s">
        <v>89</v>
      </c>
      <c r="Q911" s="56" t="s">
        <v>89</v>
      </c>
      <c r="R911" s="55"/>
      <c r="S911" s="56" t="s">
        <v>81</v>
      </c>
      <c r="T911" s="55" t="str">
        <f>IF(ISNUMBER(SEARCH(",",N911)),"Y","N")</f>
        <v>N</v>
      </c>
      <c r="U911" s="57">
        <v>-999</v>
      </c>
      <c r="V911" s="57" t="s">
        <v>59</v>
      </c>
      <c r="W911" s="55" t="s">
        <v>2319</v>
      </c>
      <c r="X911" s="54" t="s">
        <v>4920</v>
      </c>
      <c r="Y911" s="52"/>
      <c r="Z911" s="1" t="s">
        <v>61</v>
      </c>
      <c r="AA911" s="1" t="s">
        <v>2114</v>
      </c>
      <c r="AB911" s="1"/>
      <c r="AC911" s="1"/>
      <c r="AD911" s="3" t="s">
        <v>62</v>
      </c>
      <c r="AE911" s="1" t="s">
        <v>336</v>
      </c>
      <c r="AF911" s="1" t="s">
        <v>1818</v>
      </c>
      <c r="AG911" s="1" t="s">
        <v>1818</v>
      </c>
      <c r="AH911" s="2">
        <v>100</v>
      </c>
      <c r="AI911" s="1"/>
      <c r="AJ911" s="1"/>
      <c r="AK911" s="1"/>
      <c r="AL911" s="1"/>
      <c r="AM911" s="1"/>
      <c r="AN911" s="1"/>
      <c r="AO911" s="1"/>
      <c r="AP911" s="1"/>
      <c r="AQ911" s="1"/>
      <c r="AR911" s="1"/>
      <c r="AS911" s="1"/>
      <c r="AT911" s="1"/>
      <c r="AU911" s="1"/>
      <c r="AV911" s="1"/>
      <c r="AW911" s="1"/>
      <c r="AX911" s="1"/>
      <c r="AY911" s="1"/>
      <c r="AZ911" s="5" t="s">
        <v>2112</v>
      </c>
      <c r="BA911" s="5"/>
      <c r="BB911" s="1"/>
      <c r="BC911" s="1"/>
    </row>
    <row r="912" spans="1:55" s="78" customFormat="1" ht="15" customHeight="1" x14ac:dyDescent="0.25">
      <c r="A912" s="52" t="s">
        <v>4921</v>
      </c>
      <c r="B912" s="34" t="s">
        <v>59</v>
      </c>
      <c r="C912" s="53">
        <v>2026</v>
      </c>
      <c r="D912" s="53">
        <v>2026</v>
      </c>
      <c r="E912" s="54" t="s">
        <v>3548</v>
      </c>
      <c r="F912" s="55" t="s">
        <v>50</v>
      </c>
      <c r="G912" s="55" t="s">
        <v>50</v>
      </c>
      <c r="H912" s="45" t="s">
        <v>2115</v>
      </c>
      <c r="I912" s="56" t="s">
        <v>52</v>
      </c>
      <c r="J912" s="56"/>
      <c r="K912" s="56" t="s">
        <v>87</v>
      </c>
      <c r="L912" s="55" t="str">
        <f t="shared" si="14"/>
        <v/>
      </c>
      <c r="M912" s="55"/>
      <c r="N912" s="56"/>
      <c r="O912" s="56" t="s">
        <v>2893</v>
      </c>
      <c r="P912" s="56" t="s">
        <v>89</v>
      </c>
      <c r="Q912" s="56" t="s">
        <v>89</v>
      </c>
      <c r="R912" s="55"/>
      <c r="S912" s="56" t="s">
        <v>81</v>
      </c>
      <c r="T912" s="55" t="str">
        <f>IF(ISNUMBER(SEARCH(",",N912)),"Y","N")</f>
        <v>N</v>
      </c>
      <c r="U912" s="57">
        <v>-999</v>
      </c>
      <c r="V912" s="57" t="s">
        <v>59</v>
      </c>
      <c r="W912" s="55" t="s">
        <v>2319</v>
      </c>
      <c r="X912" s="54" t="s">
        <v>4921</v>
      </c>
      <c r="Y912" s="52"/>
      <c r="Z912" s="1" t="s">
        <v>61</v>
      </c>
      <c r="AA912" s="1" t="s">
        <v>2116</v>
      </c>
      <c r="AB912" s="1"/>
      <c r="AC912" s="1"/>
      <c r="AD912" s="3" t="s">
        <v>62</v>
      </c>
      <c r="AE912" s="1" t="s">
        <v>257</v>
      </c>
      <c r="AF912" s="1" t="s">
        <v>525</v>
      </c>
      <c r="AG912" s="1" t="s">
        <v>526</v>
      </c>
      <c r="AH912" s="1"/>
      <c r="AI912" s="1"/>
      <c r="AJ912" s="1"/>
      <c r="AK912" s="1"/>
      <c r="AL912" s="1"/>
      <c r="AM912" s="1"/>
      <c r="AN912" s="1"/>
      <c r="AO912" s="1"/>
      <c r="AP912" s="1"/>
      <c r="AQ912" s="1"/>
      <c r="AR912" s="1"/>
      <c r="AS912" s="1"/>
      <c r="AT912" s="1"/>
      <c r="AU912" s="1"/>
      <c r="AV912" s="1"/>
      <c r="AW912" s="1"/>
      <c r="AX912" s="1"/>
      <c r="AY912" s="1"/>
      <c r="AZ912" s="5" t="s">
        <v>2107</v>
      </c>
      <c r="BA912" s="5"/>
      <c r="BB912" s="1"/>
      <c r="BC912" s="1"/>
    </row>
    <row r="913" spans="1:55" s="78" customFormat="1" ht="15" customHeight="1" x14ac:dyDescent="0.25">
      <c r="A913" s="52" t="s">
        <v>4922</v>
      </c>
      <c r="B913" s="34" t="s">
        <v>59</v>
      </c>
      <c r="C913" s="53">
        <v>2026</v>
      </c>
      <c r="D913" s="53">
        <v>2026</v>
      </c>
      <c r="E913" s="54" t="s">
        <v>3549</v>
      </c>
      <c r="F913" s="55" t="s">
        <v>50</v>
      </c>
      <c r="G913" s="55" t="s">
        <v>50</v>
      </c>
      <c r="H913" s="45" t="s">
        <v>2117</v>
      </c>
      <c r="I913" s="56" t="s">
        <v>52</v>
      </c>
      <c r="J913" s="56"/>
      <c r="K913" s="56" t="s">
        <v>87</v>
      </c>
      <c r="L913" s="55" t="str">
        <f t="shared" si="14"/>
        <v/>
      </c>
      <c r="M913" s="55"/>
      <c r="N913" s="56"/>
      <c r="O913" s="56" t="s">
        <v>2892</v>
      </c>
      <c r="P913" s="56" t="s">
        <v>89</v>
      </c>
      <c r="Q913" s="56" t="s">
        <v>89</v>
      </c>
      <c r="R913" s="55"/>
      <c r="S913" s="56" t="s">
        <v>81</v>
      </c>
      <c r="T913" s="55" t="s">
        <v>58</v>
      </c>
      <c r="U913" s="57">
        <v>-999</v>
      </c>
      <c r="V913" s="57" t="s">
        <v>59</v>
      </c>
      <c r="W913" s="55" t="s">
        <v>2319</v>
      </c>
      <c r="X913" s="54" t="s">
        <v>4922</v>
      </c>
      <c r="Y913" s="52"/>
      <c r="Z913" s="1" t="s">
        <v>61</v>
      </c>
      <c r="AA913" s="1" t="s">
        <v>2118</v>
      </c>
      <c r="AB913" s="1"/>
      <c r="AC913" s="1"/>
      <c r="AD913" s="3" t="s">
        <v>62</v>
      </c>
      <c r="AE913" s="1" t="s">
        <v>592</v>
      </c>
      <c r="AF913" s="1" t="s">
        <v>227</v>
      </c>
      <c r="AG913" s="1" t="s">
        <v>228</v>
      </c>
      <c r="AH913" s="2">
        <v>100</v>
      </c>
      <c r="AI913" s="1"/>
      <c r="AJ913" s="1"/>
      <c r="AK913" s="1"/>
      <c r="AL913" s="1"/>
      <c r="AM913" s="1"/>
      <c r="AN913" s="1"/>
      <c r="AO913" s="1"/>
      <c r="AP913" s="1"/>
      <c r="AQ913" s="1"/>
      <c r="AR913" s="1"/>
      <c r="AS913" s="1"/>
      <c r="AT913" s="1"/>
      <c r="AU913" s="1"/>
      <c r="AV913" s="1"/>
      <c r="AW913" s="1"/>
      <c r="AX913" s="1"/>
      <c r="AY913" s="1"/>
      <c r="AZ913" s="5" t="s">
        <v>1689</v>
      </c>
      <c r="BA913" s="5"/>
      <c r="BB913" s="1"/>
      <c r="BC913" s="1"/>
    </row>
    <row r="914" spans="1:55" s="76" customFormat="1" ht="15" customHeight="1" x14ac:dyDescent="0.25">
      <c r="A914" s="52" t="s">
        <v>4923</v>
      </c>
      <c r="B914" s="34" t="s">
        <v>59</v>
      </c>
      <c r="C914" s="53">
        <v>2026</v>
      </c>
      <c r="D914" s="53">
        <v>2026</v>
      </c>
      <c r="E914" s="54" t="s">
        <v>3550</v>
      </c>
      <c r="F914" s="55" t="s">
        <v>50</v>
      </c>
      <c r="G914" s="55" t="s">
        <v>50</v>
      </c>
      <c r="H914" s="45" t="s">
        <v>2120</v>
      </c>
      <c r="I914" s="56" t="s">
        <v>52</v>
      </c>
      <c r="J914" s="56"/>
      <c r="K914" s="56" t="s">
        <v>87</v>
      </c>
      <c r="L914" s="55" t="str">
        <f t="shared" si="14"/>
        <v/>
      </c>
      <c r="M914" s="55"/>
      <c r="N914" s="56"/>
      <c r="O914" s="56" t="s">
        <v>2985</v>
      </c>
      <c r="P914" s="56" t="s">
        <v>89</v>
      </c>
      <c r="Q914" s="56" t="s">
        <v>89</v>
      </c>
      <c r="R914" s="55"/>
      <c r="S914" s="56" t="s">
        <v>81</v>
      </c>
      <c r="T914" s="55" t="s">
        <v>58</v>
      </c>
      <c r="U914" s="57">
        <v>-999</v>
      </c>
      <c r="V914" s="57" t="s">
        <v>59</v>
      </c>
      <c r="W914" s="55" t="s">
        <v>2319</v>
      </c>
      <c r="X914" s="54" t="s">
        <v>4923</v>
      </c>
      <c r="Y914" s="52"/>
      <c r="Z914" s="1" t="s">
        <v>61</v>
      </c>
      <c r="AA914" s="1" t="s">
        <v>2121</v>
      </c>
      <c r="AB914" s="1"/>
      <c r="AC914" s="1"/>
      <c r="AD914" s="3" t="s">
        <v>62</v>
      </c>
      <c r="AE914" s="1" t="s">
        <v>115</v>
      </c>
      <c r="AF914" s="1" t="s">
        <v>2122</v>
      </c>
      <c r="AG914" s="1" t="s">
        <v>1211</v>
      </c>
      <c r="AH914" s="1"/>
      <c r="AI914" s="1"/>
      <c r="AJ914" s="1"/>
      <c r="AK914" s="1"/>
      <c r="AL914" s="1"/>
      <c r="AM914" s="1"/>
      <c r="AN914" s="1"/>
      <c r="AO914" s="1"/>
      <c r="AP914" s="1"/>
      <c r="AQ914" s="1"/>
      <c r="AR914" s="1"/>
      <c r="AS914" s="1"/>
      <c r="AT914" s="1"/>
      <c r="AU914" s="1"/>
      <c r="AV914" s="1"/>
      <c r="AW914" s="1"/>
      <c r="AX914" s="1"/>
      <c r="AY914" s="1"/>
      <c r="AZ914" s="5" t="s">
        <v>2119</v>
      </c>
      <c r="BA914" s="5"/>
      <c r="BB914" s="1"/>
      <c r="BC914" s="1"/>
    </row>
    <row r="915" spans="1:55" s="76" customFormat="1" ht="15" customHeight="1" x14ac:dyDescent="0.25">
      <c r="A915" s="52" t="s">
        <v>4924</v>
      </c>
      <c r="B915" s="34" t="s">
        <v>59</v>
      </c>
      <c r="C915" s="53">
        <v>2026</v>
      </c>
      <c r="D915" s="53">
        <v>2026</v>
      </c>
      <c r="E915" s="54" t="s">
        <v>3551</v>
      </c>
      <c r="F915" s="55" t="s">
        <v>50</v>
      </c>
      <c r="G915" s="55" t="s">
        <v>50</v>
      </c>
      <c r="H915" s="45" t="s">
        <v>2124</v>
      </c>
      <c r="I915" s="56" t="s">
        <v>52</v>
      </c>
      <c r="J915" s="56"/>
      <c r="K915" s="56" t="s">
        <v>87</v>
      </c>
      <c r="L915" s="55" t="str">
        <f t="shared" si="14"/>
        <v/>
      </c>
      <c r="M915" s="55"/>
      <c r="N915" s="56"/>
      <c r="O915" s="56" t="s">
        <v>2893</v>
      </c>
      <c r="P915" s="56" t="s">
        <v>89</v>
      </c>
      <c r="Q915" s="56" t="s">
        <v>89</v>
      </c>
      <c r="R915" s="55"/>
      <c r="S915" s="56" t="s">
        <v>81</v>
      </c>
      <c r="T915" s="55" t="str">
        <f>IF(ISNUMBER(SEARCH(",",N915)),"Y","N")</f>
        <v>N</v>
      </c>
      <c r="U915" s="57">
        <v>-999</v>
      </c>
      <c r="V915" s="57" t="s">
        <v>59</v>
      </c>
      <c r="W915" s="55" t="s">
        <v>2319</v>
      </c>
      <c r="X915" s="54" t="s">
        <v>4924</v>
      </c>
      <c r="Y915" s="52"/>
      <c r="Z915" s="1" t="s">
        <v>61</v>
      </c>
      <c r="AA915" s="1" t="s">
        <v>2125</v>
      </c>
      <c r="AB915" s="1"/>
      <c r="AC915" s="1"/>
      <c r="AD915" s="3" t="s">
        <v>62</v>
      </c>
      <c r="AE915" s="1" t="s">
        <v>387</v>
      </c>
      <c r="AF915" s="1"/>
      <c r="AG915" s="1" t="s">
        <v>2126</v>
      </c>
      <c r="AH915" s="1"/>
      <c r="AI915" s="1"/>
      <c r="AJ915" s="1"/>
      <c r="AK915" s="1"/>
      <c r="AL915" s="1"/>
      <c r="AM915" s="1"/>
      <c r="AN915" s="1"/>
      <c r="AO915" s="1"/>
      <c r="AP915" s="1"/>
      <c r="AQ915" s="1"/>
      <c r="AR915" s="1"/>
      <c r="AS915" s="1"/>
      <c r="AT915" s="1"/>
      <c r="AU915" s="1"/>
      <c r="AV915" s="1"/>
      <c r="AW915" s="1"/>
      <c r="AX915" s="1"/>
      <c r="AY915" s="1"/>
      <c r="AZ915" s="5" t="s">
        <v>2123</v>
      </c>
      <c r="BA915" s="5"/>
      <c r="BB915" s="1"/>
      <c r="BC915" s="1"/>
    </row>
    <row r="916" spans="1:55" s="78" customFormat="1" ht="15" customHeight="1" x14ac:dyDescent="0.25">
      <c r="A916" s="52" t="s">
        <v>4925</v>
      </c>
      <c r="B916" s="34" t="s">
        <v>59</v>
      </c>
      <c r="C916" s="53">
        <v>2026</v>
      </c>
      <c r="D916" s="53">
        <v>2026</v>
      </c>
      <c r="E916" s="54" t="s">
        <v>3552</v>
      </c>
      <c r="F916" s="55" t="s">
        <v>50</v>
      </c>
      <c r="G916" s="55" t="s">
        <v>50</v>
      </c>
      <c r="H916" s="45" t="s">
        <v>2128</v>
      </c>
      <c r="I916" s="56" t="s">
        <v>52</v>
      </c>
      <c r="J916" s="56"/>
      <c r="K916" s="56" t="s">
        <v>87</v>
      </c>
      <c r="L916" s="55" t="str">
        <f t="shared" si="14"/>
        <v/>
      </c>
      <c r="M916" s="55"/>
      <c r="N916" s="56"/>
      <c r="O916" s="56" t="s">
        <v>2892</v>
      </c>
      <c r="P916" s="56" t="s">
        <v>89</v>
      </c>
      <c r="Q916" s="56" t="s">
        <v>89</v>
      </c>
      <c r="R916" s="55"/>
      <c r="S916" s="56" t="s">
        <v>81</v>
      </c>
      <c r="T916" s="55" t="s">
        <v>58</v>
      </c>
      <c r="U916" s="57">
        <v>-999</v>
      </c>
      <c r="V916" s="57" t="s">
        <v>59</v>
      </c>
      <c r="W916" s="55" t="s">
        <v>2319</v>
      </c>
      <c r="X916" s="54" t="s">
        <v>4925</v>
      </c>
      <c r="Y916" s="52"/>
      <c r="Z916" s="1" t="s">
        <v>61</v>
      </c>
      <c r="AA916" s="1" t="s">
        <v>2129</v>
      </c>
      <c r="AB916" s="1"/>
      <c r="AC916" s="1"/>
      <c r="AD916" s="3" t="s">
        <v>62</v>
      </c>
      <c r="AE916" s="1" t="s">
        <v>131</v>
      </c>
      <c r="AF916" s="1" t="s">
        <v>525</v>
      </c>
      <c r="AG916" s="1" t="s">
        <v>526</v>
      </c>
      <c r="AH916" s="1"/>
      <c r="AI916" s="1"/>
      <c r="AJ916" s="1"/>
      <c r="AK916" s="1"/>
      <c r="AL916" s="1"/>
      <c r="AM916" s="1"/>
      <c r="AN916" s="1"/>
      <c r="AO916" s="1"/>
      <c r="AP916" s="1"/>
      <c r="AQ916" s="1"/>
      <c r="AR916" s="1"/>
      <c r="AS916" s="1"/>
      <c r="AT916" s="1"/>
      <c r="AU916" s="1"/>
      <c r="AV916" s="1"/>
      <c r="AW916" s="1"/>
      <c r="AX916" s="1"/>
      <c r="AY916" s="1"/>
      <c r="AZ916" s="5" t="s">
        <v>2127</v>
      </c>
      <c r="BA916" s="5"/>
      <c r="BB916" s="1"/>
      <c r="BC916" s="1"/>
    </row>
    <row r="917" spans="1:55" s="78" customFormat="1" ht="15" customHeight="1" x14ac:dyDescent="0.25">
      <c r="A917" s="52" t="s">
        <v>4926</v>
      </c>
      <c r="B917" s="34" t="s">
        <v>59</v>
      </c>
      <c r="C917" s="53">
        <v>2026</v>
      </c>
      <c r="D917" s="53">
        <v>2026</v>
      </c>
      <c r="E917" s="54" t="s">
        <v>3553</v>
      </c>
      <c r="F917" s="55" t="s">
        <v>50</v>
      </c>
      <c r="G917" s="55" t="s">
        <v>50</v>
      </c>
      <c r="H917" s="45" t="s">
        <v>2134</v>
      </c>
      <c r="I917" s="56" t="s">
        <v>52</v>
      </c>
      <c r="J917" s="56"/>
      <c r="K917" s="56" t="s">
        <v>87</v>
      </c>
      <c r="L917" s="55" t="str">
        <f t="shared" si="14"/>
        <v/>
      </c>
      <c r="M917" s="55"/>
      <c r="N917" s="56"/>
      <c r="O917" s="56" t="s">
        <v>2896</v>
      </c>
      <c r="P917" s="56" t="s">
        <v>89</v>
      </c>
      <c r="Q917" s="56" t="s">
        <v>89</v>
      </c>
      <c r="R917" s="55"/>
      <c r="S917" s="56" t="s">
        <v>81</v>
      </c>
      <c r="T917" s="55" t="s">
        <v>58</v>
      </c>
      <c r="U917" s="57">
        <v>-999</v>
      </c>
      <c r="V917" s="57" t="s">
        <v>59</v>
      </c>
      <c r="W917" s="55" t="s">
        <v>2319</v>
      </c>
      <c r="X917" s="54" t="s">
        <v>4926</v>
      </c>
      <c r="Y917" s="52"/>
      <c r="Z917" s="1" t="s">
        <v>61</v>
      </c>
      <c r="AA917" s="1" t="s">
        <v>2135</v>
      </c>
      <c r="AB917" s="1"/>
      <c r="AC917" s="1"/>
      <c r="AD917" s="3" t="s">
        <v>62</v>
      </c>
      <c r="AE917" s="1" t="s">
        <v>1174</v>
      </c>
      <c r="AF917" s="1" t="s">
        <v>2136</v>
      </c>
      <c r="AG917" s="1" t="s">
        <v>2137</v>
      </c>
      <c r="AH917" s="1"/>
      <c r="AI917" s="1"/>
      <c r="AJ917" s="1"/>
      <c r="AK917" s="1"/>
      <c r="AL917" s="1"/>
      <c r="AM917" s="1"/>
      <c r="AN917" s="1"/>
      <c r="AO917" s="1"/>
      <c r="AP917" s="1"/>
      <c r="AQ917" s="1"/>
      <c r="AR917" s="1"/>
      <c r="AS917" s="1"/>
      <c r="AT917" s="1"/>
      <c r="AU917" s="1"/>
      <c r="AV917" s="1"/>
      <c r="AW917" s="1"/>
      <c r="AX917" s="1"/>
      <c r="AY917" s="1"/>
      <c r="AZ917" s="5" t="s">
        <v>2133</v>
      </c>
      <c r="BA917" s="5"/>
      <c r="BB917" s="1"/>
      <c r="BC917" s="1"/>
    </row>
    <row r="918" spans="1:55" s="78" customFormat="1" ht="15" customHeight="1" x14ac:dyDescent="0.25">
      <c r="A918" s="52" t="s">
        <v>4927</v>
      </c>
      <c r="B918" s="34" t="s">
        <v>59</v>
      </c>
      <c r="C918" s="53">
        <v>2026</v>
      </c>
      <c r="D918" s="53">
        <v>2026</v>
      </c>
      <c r="E918" s="54" t="s">
        <v>3554</v>
      </c>
      <c r="F918" s="55" t="s">
        <v>50</v>
      </c>
      <c r="G918" s="55" t="s">
        <v>50</v>
      </c>
      <c r="H918" s="45" t="s">
        <v>2138</v>
      </c>
      <c r="I918" s="56" t="s">
        <v>52</v>
      </c>
      <c r="J918" s="56"/>
      <c r="K918" s="56" t="s">
        <v>87</v>
      </c>
      <c r="L918" s="55" t="str">
        <f t="shared" si="14"/>
        <v/>
      </c>
      <c r="M918" s="55"/>
      <c r="N918" s="56"/>
      <c r="O918" s="56" t="s">
        <v>2893</v>
      </c>
      <c r="P918" s="56" t="s">
        <v>89</v>
      </c>
      <c r="Q918" s="56" t="s">
        <v>89</v>
      </c>
      <c r="R918" s="55"/>
      <c r="S918" s="56" t="s">
        <v>81</v>
      </c>
      <c r="T918" s="55" t="str">
        <f>IF(ISNUMBER(SEARCH(",",N918)),"Y","N")</f>
        <v>N</v>
      </c>
      <c r="U918" s="57">
        <v>-999</v>
      </c>
      <c r="V918" s="57" t="s">
        <v>59</v>
      </c>
      <c r="W918" s="55" t="s">
        <v>2319</v>
      </c>
      <c r="X918" s="54" t="s">
        <v>4927</v>
      </c>
      <c r="Y918" s="52"/>
      <c r="Z918" s="1" t="s">
        <v>61</v>
      </c>
      <c r="AA918" s="1" t="s">
        <v>2139</v>
      </c>
      <c r="AB918" s="1"/>
      <c r="AC918" s="1"/>
      <c r="AD918" s="3" t="s">
        <v>62</v>
      </c>
      <c r="AE918" s="1" t="s">
        <v>438</v>
      </c>
      <c r="AF918" s="1" t="s">
        <v>2132</v>
      </c>
      <c r="AG918" s="1" t="s">
        <v>2132</v>
      </c>
      <c r="AH918" s="58">
        <v>100</v>
      </c>
      <c r="AI918" s="1"/>
      <c r="AJ918" s="1"/>
      <c r="AK918" s="1"/>
      <c r="AL918" s="1"/>
      <c r="AM918" s="1"/>
      <c r="AN918" s="1"/>
      <c r="AO918" s="1"/>
      <c r="AP918" s="1"/>
      <c r="AQ918" s="1"/>
      <c r="AR918" s="1"/>
      <c r="AS918" s="1"/>
      <c r="AT918" s="1"/>
      <c r="AU918" s="1"/>
      <c r="AV918" s="1"/>
      <c r="AW918" s="1"/>
      <c r="AX918" s="1"/>
      <c r="AY918" s="1"/>
      <c r="AZ918" s="5" t="s">
        <v>2130</v>
      </c>
      <c r="BA918" s="5"/>
      <c r="BB918" s="1"/>
      <c r="BC918" s="1"/>
    </row>
    <row r="919" spans="1:55" s="78" customFormat="1" ht="15" customHeight="1" x14ac:dyDescent="0.25">
      <c r="A919" s="52" t="s">
        <v>4928</v>
      </c>
      <c r="B919" s="34" t="s">
        <v>59</v>
      </c>
      <c r="C919" s="53">
        <v>2026</v>
      </c>
      <c r="D919" s="53">
        <v>2026</v>
      </c>
      <c r="E919" s="54" t="s">
        <v>3555</v>
      </c>
      <c r="F919" s="55" t="s">
        <v>50</v>
      </c>
      <c r="G919" s="55" t="s">
        <v>50</v>
      </c>
      <c r="H919" s="45" t="s">
        <v>2140</v>
      </c>
      <c r="I919" s="56" t="s">
        <v>52</v>
      </c>
      <c r="J919" s="56"/>
      <c r="K919" s="56" t="s">
        <v>87</v>
      </c>
      <c r="L919" s="55" t="str">
        <f t="shared" si="14"/>
        <v/>
      </c>
      <c r="M919" s="55"/>
      <c r="N919" s="56"/>
      <c r="O919" s="56" t="s">
        <v>2893</v>
      </c>
      <c r="P919" s="56" t="s">
        <v>89</v>
      </c>
      <c r="Q919" s="56" t="s">
        <v>89</v>
      </c>
      <c r="R919" s="55"/>
      <c r="S919" s="56" t="s">
        <v>81</v>
      </c>
      <c r="T919" s="55" t="str">
        <f>IF(ISNUMBER(SEARCH(",",N919)),"Y","N")</f>
        <v>N</v>
      </c>
      <c r="U919" s="57">
        <v>-999</v>
      </c>
      <c r="V919" s="57" t="s">
        <v>59</v>
      </c>
      <c r="W919" s="55" t="s">
        <v>2319</v>
      </c>
      <c r="X919" s="54" t="s">
        <v>4928</v>
      </c>
      <c r="Y919" s="52"/>
      <c r="Z919" s="1" t="s">
        <v>61</v>
      </c>
      <c r="AA919" s="1" t="s">
        <v>2141</v>
      </c>
      <c r="AB919" s="1"/>
      <c r="AC919" s="1"/>
      <c r="AD919" s="3" t="s">
        <v>62</v>
      </c>
      <c r="AE919" s="1" t="s">
        <v>1054</v>
      </c>
      <c r="AF919" s="1" t="s">
        <v>2132</v>
      </c>
      <c r="AG919" s="1" t="s">
        <v>2132</v>
      </c>
      <c r="AH919" s="58">
        <v>100</v>
      </c>
      <c r="AI919" s="1"/>
      <c r="AJ919" s="1"/>
      <c r="AK919" s="1"/>
      <c r="AL919" s="1"/>
      <c r="AM919" s="1"/>
      <c r="AN919" s="1"/>
      <c r="AO919" s="1"/>
      <c r="AP919" s="1"/>
      <c r="AQ919" s="1"/>
      <c r="AR919" s="1"/>
      <c r="AS919" s="1"/>
      <c r="AT919" s="1"/>
      <c r="AU919" s="1"/>
      <c r="AV919" s="1"/>
      <c r="AW919" s="1"/>
      <c r="AX919" s="1"/>
      <c r="AY919" s="1"/>
      <c r="AZ919" s="5" t="s">
        <v>2130</v>
      </c>
      <c r="BA919" s="5"/>
      <c r="BB919" s="1"/>
      <c r="BC919" s="1"/>
    </row>
    <row r="920" spans="1:55" s="78" customFormat="1" ht="15" customHeight="1" x14ac:dyDescent="0.25">
      <c r="A920" s="52" t="s">
        <v>4929</v>
      </c>
      <c r="B920" s="34" t="s">
        <v>59</v>
      </c>
      <c r="C920" s="53">
        <v>2026</v>
      </c>
      <c r="D920" s="53">
        <v>2026</v>
      </c>
      <c r="E920" s="54" t="s">
        <v>3556</v>
      </c>
      <c r="F920" s="55" t="s">
        <v>50</v>
      </c>
      <c r="G920" s="55" t="s">
        <v>50</v>
      </c>
      <c r="H920" s="45" t="s">
        <v>2142</v>
      </c>
      <c r="I920" s="56" t="s">
        <v>52</v>
      </c>
      <c r="J920" s="56"/>
      <c r="K920" s="56" t="s">
        <v>87</v>
      </c>
      <c r="L920" s="55" t="str">
        <f t="shared" si="14"/>
        <v/>
      </c>
      <c r="M920" s="55"/>
      <c r="N920" s="56"/>
      <c r="O920" s="56" t="s">
        <v>2893</v>
      </c>
      <c r="P920" s="56" t="s">
        <v>89</v>
      </c>
      <c r="Q920" s="56" t="s">
        <v>89</v>
      </c>
      <c r="R920" s="55"/>
      <c r="S920" s="56" t="s">
        <v>81</v>
      </c>
      <c r="T920" s="55" t="str">
        <f>IF(ISNUMBER(SEARCH(",",N920)),"Y","N")</f>
        <v>N</v>
      </c>
      <c r="U920" s="57">
        <v>-999</v>
      </c>
      <c r="V920" s="57" t="s">
        <v>59</v>
      </c>
      <c r="W920" s="55" t="s">
        <v>2319</v>
      </c>
      <c r="X920" s="54" t="s">
        <v>4929</v>
      </c>
      <c r="Y920" s="52"/>
      <c r="Z920" s="1" t="s">
        <v>61</v>
      </c>
      <c r="AA920" s="1" t="s">
        <v>2143</v>
      </c>
      <c r="AB920" s="1"/>
      <c r="AC920" s="1"/>
      <c r="AD920" s="3" t="s">
        <v>62</v>
      </c>
      <c r="AE920" s="1" t="s">
        <v>438</v>
      </c>
      <c r="AF920" s="1" t="s">
        <v>2132</v>
      </c>
      <c r="AG920" s="1" t="s">
        <v>2132</v>
      </c>
      <c r="AH920" s="58">
        <v>100</v>
      </c>
      <c r="AI920" s="1"/>
      <c r="AJ920" s="1"/>
      <c r="AK920" s="1"/>
      <c r="AL920" s="1"/>
      <c r="AM920" s="1"/>
      <c r="AN920" s="1"/>
      <c r="AO920" s="1"/>
      <c r="AP920" s="1"/>
      <c r="AQ920" s="1"/>
      <c r="AR920" s="1"/>
      <c r="AS920" s="1"/>
      <c r="AT920" s="1"/>
      <c r="AU920" s="1"/>
      <c r="AV920" s="1"/>
      <c r="AW920" s="1"/>
      <c r="AX920" s="1"/>
      <c r="AY920" s="1"/>
      <c r="AZ920" s="5" t="s">
        <v>2130</v>
      </c>
      <c r="BA920" s="5"/>
      <c r="BB920" s="56"/>
      <c r="BC920" s="56"/>
    </row>
    <row r="921" spans="1:55" s="78" customFormat="1" ht="15" customHeight="1" x14ac:dyDescent="0.25">
      <c r="A921" s="52" t="s">
        <v>4930</v>
      </c>
      <c r="B921" s="34" t="s">
        <v>59</v>
      </c>
      <c r="C921" s="53">
        <v>2026</v>
      </c>
      <c r="D921" s="53">
        <v>2026</v>
      </c>
      <c r="E921" s="54" t="s">
        <v>3557</v>
      </c>
      <c r="F921" s="55" t="s">
        <v>50</v>
      </c>
      <c r="G921" s="55" t="s">
        <v>50</v>
      </c>
      <c r="H921" s="45" t="s">
        <v>2144</v>
      </c>
      <c r="I921" s="56" t="s">
        <v>52</v>
      </c>
      <c r="J921" s="56"/>
      <c r="K921" s="56" t="s">
        <v>87</v>
      </c>
      <c r="L921" s="55" t="str">
        <f t="shared" si="14"/>
        <v/>
      </c>
      <c r="M921" s="55"/>
      <c r="N921" s="56"/>
      <c r="O921" s="45" t="s">
        <v>2890</v>
      </c>
      <c r="P921" s="56" t="s">
        <v>89</v>
      </c>
      <c r="Q921" s="56" t="s">
        <v>89</v>
      </c>
      <c r="R921" s="55"/>
      <c r="S921" s="56" t="s">
        <v>81</v>
      </c>
      <c r="T921" s="55" t="s">
        <v>58</v>
      </c>
      <c r="U921" s="57">
        <v>-999</v>
      </c>
      <c r="V921" s="57" t="s">
        <v>59</v>
      </c>
      <c r="W921" s="55" t="s">
        <v>2319</v>
      </c>
      <c r="X921" s="54" t="s">
        <v>4930</v>
      </c>
      <c r="Y921" s="52"/>
      <c r="Z921" s="1" t="s">
        <v>61</v>
      </c>
      <c r="AA921" s="1" t="s">
        <v>2145</v>
      </c>
      <c r="AB921" s="1"/>
      <c r="AC921" s="1"/>
      <c r="AD921" s="3" t="s">
        <v>62</v>
      </c>
      <c r="AE921" s="1" t="s">
        <v>131</v>
      </c>
      <c r="AF921" s="1" t="s">
        <v>1519</v>
      </c>
      <c r="AG921" s="1" t="s">
        <v>233</v>
      </c>
      <c r="AH921" s="1"/>
      <c r="AI921" s="1"/>
      <c r="AJ921" s="1"/>
      <c r="AK921" s="1"/>
      <c r="AL921" s="1"/>
      <c r="AM921" s="1"/>
      <c r="AN921" s="1"/>
      <c r="AO921" s="1"/>
      <c r="AP921" s="1"/>
      <c r="AQ921" s="1"/>
      <c r="AR921" s="1"/>
      <c r="AS921" s="1"/>
      <c r="AT921" s="1"/>
      <c r="AU921" s="1"/>
      <c r="AV921" s="1"/>
      <c r="AW921" s="1"/>
      <c r="AX921" s="1"/>
      <c r="AY921" s="1"/>
      <c r="AZ921" s="5" t="s">
        <v>1890</v>
      </c>
      <c r="BA921" s="5"/>
      <c r="BB921" s="56"/>
      <c r="BC921" s="56"/>
    </row>
    <row r="922" spans="1:55" s="78" customFormat="1" ht="15" customHeight="1" x14ac:dyDescent="0.25">
      <c r="A922" s="52" t="s">
        <v>4931</v>
      </c>
      <c r="B922" s="34" t="s">
        <v>59</v>
      </c>
      <c r="C922" s="53">
        <v>2026</v>
      </c>
      <c r="D922" s="53">
        <v>2026</v>
      </c>
      <c r="E922" s="54" t="s">
        <v>3558</v>
      </c>
      <c r="F922" s="55" t="s">
        <v>50</v>
      </c>
      <c r="G922" s="55" t="s">
        <v>50</v>
      </c>
      <c r="H922" s="45" t="s">
        <v>2146</v>
      </c>
      <c r="I922" s="56" t="s">
        <v>52</v>
      </c>
      <c r="J922" s="56"/>
      <c r="K922" s="56" t="s">
        <v>87</v>
      </c>
      <c r="L922" s="55" t="str">
        <f t="shared" si="14"/>
        <v/>
      </c>
      <c r="M922" s="55"/>
      <c r="N922" s="56"/>
      <c r="O922" s="56" t="s">
        <v>2893</v>
      </c>
      <c r="P922" s="56" t="s">
        <v>89</v>
      </c>
      <c r="Q922" s="56" t="s">
        <v>89</v>
      </c>
      <c r="R922" s="55"/>
      <c r="S922" s="56" t="s">
        <v>81</v>
      </c>
      <c r="T922" s="55" t="str">
        <f>IF(ISNUMBER(SEARCH(",",N922)),"Y","N")</f>
        <v>N</v>
      </c>
      <c r="U922" s="57">
        <v>-999</v>
      </c>
      <c r="V922" s="57" t="s">
        <v>59</v>
      </c>
      <c r="W922" s="55" t="s">
        <v>2319</v>
      </c>
      <c r="X922" s="54" t="s">
        <v>4931</v>
      </c>
      <c r="Y922" s="52"/>
      <c r="Z922" s="1" t="s">
        <v>61</v>
      </c>
      <c r="AA922" s="1" t="s">
        <v>2147</v>
      </c>
      <c r="AB922" s="1"/>
      <c r="AC922" s="1"/>
      <c r="AD922" s="3" t="s">
        <v>62</v>
      </c>
      <c r="AE922" s="1" t="s">
        <v>1054</v>
      </c>
      <c r="AF922" s="1" t="s">
        <v>2132</v>
      </c>
      <c r="AG922" s="1" t="s">
        <v>2132</v>
      </c>
      <c r="AH922" s="58">
        <v>100</v>
      </c>
      <c r="AI922" s="1"/>
      <c r="AJ922" s="1"/>
      <c r="AK922" s="1"/>
      <c r="AL922" s="1"/>
      <c r="AM922" s="1"/>
      <c r="AN922" s="1"/>
      <c r="AO922" s="1"/>
      <c r="AP922" s="1"/>
      <c r="AQ922" s="1"/>
      <c r="AR922" s="1"/>
      <c r="AS922" s="1"/>
      <c r="AT922" s="1"/>
      <c r="AU922" s="1"/>
      <c r="AV922" s="1"/>
      <c r="AW922" s="1"/>
      <c r="AX922" s="1"/>
      <c r="AY922" s="1"/>
      <c r="AZ922" s="5" t="s">
        <v>2130</v>
      </c>
      <c r="BA922" s="5"/>
      <c r="BB922" s="1"/>
      <c r="BC922" s="1"/>
    </row>
    <row r="923" spans="1:55" s="78" customFormat="1" ht="15" customHeight="1" x14ac:dyDescent="0.25">
      <c r="A923" s="52" t="s">
        <v>4932</v>
      </c>
      <c r="B923" s="34" t="s">
        <v>59</v>
      </c>
      <c r="C923" s="53">
        <v>2026</v>
      </c>
      <c r="D923" s="53">
        <v>2026</v>
      </c>
      <c r="E923" s="54" t="s">
        <v>3559</v>
      </c>
      <c r="F923" s="55" t="s">
        <v>50</v>
      </c>
      <c r="G923" s="55" t="s">
        <v>50</v>
      </c>
      <c r="H923" s="45" t="s">
        <v>2149</v>
      </c>
      <c r="I923" s="56" t="s">
        <v>52</v>
      </c>
      <c r="J923" s="56"/>
      <c r="K923" s="56" t="s">
        <v>79</v>
      </c>
      <c r="L923" s="55" t="str">
        <f t="shared" si="14"/>
        <v/>
      </c>
      <c r="M923" s="55"/>
      <c r="N923" s="56" t="s">
        <v>80</v>
      </c>
      <c r="O923" s="56"/>
      <c r="P923" s="56" t="s">
        <v>89</v>
      </c>
      <c r="Q923" s="56" t="s">
        <v>89</v>
      </c>
      <c r="R923" s="55"/>
      <c r="S923" s="56" t="s">
        <v>81</v>
      </c>
      <c r="T923" s="55" t="str">
        <f>IF(ISNUMBER(SEARCH(",",N923)),"Y","N")</f>
        <v>N</v>
      </c>
      <c r="U923" s="57">
        <v>-999</v>
      </c>
      <c r="V923" s="57" t="s">
        <v>59</v>
      </c>
      <c r="W923" s="55" t="s">
        <v>2319</v>
      </c>
      <c r="X923" s="54" t="s">
        <v>4932</v>
      </c>
      <c r="Y923" s="52"/>
      <c r="Z923" s="1" t="s">
        <v>61</v>
      </c>
      <c r="AA923" s="1" t="s">
        <v>2150</v>
      </c>
      <c r="AB923" s="1"/>
      <c r="AC923" s="1"/>
      <c r="AD923" s="3" t="s">
        <v>62</v>
      </c>
      <c r="AE923" s="1" t="s">
        <v>366</v>
      </c>
      <c r="AF923" s="1" t="s">
        <v>483</v>
      </c>
      <c r="AG923" s="1" t="s">
        <v>484</v>
      </c>
      <c r="AH923" s="1"/>
      <c r="AI923" s="1"/>
      <c r="AJ923" s="1"/>
      <c r="AK923" s="1"/>
      <c r="AL923" s="1"/>
      <c r="AM923" s="1"/>
      <c r="AN923" s="1"/>
      <c r="AO923" s="1"/>
      <c r="AP923" s="1"/>
      <c r="AQ923" s="1"/>
      <c r="AR923" s="1"/>
      <c r="AS923" s="1"/>
      <c r="AT923" s="1"/>
      <c r="AU923" s="1"/>
      <c r="AV923" s="1"/>
      <c r="AW923" s="1"/>
      <c r="AX923" s="1"/>
      <c r="AY923" s="1"/>
      <c r="AZ923" s="5" t="s">
        <v>2148</v>
      </c>
      <c r="BA923" s="5"/>
      <c r="BB923" s="1"/>
      <c r="BC923" s="1"/>
    </row>
    <row r="924" spans="1:55" s="78" customFormat="1" ht="15" customHeight="1" x14ac:dyDescent="0.25">
      <c r="A924" s="52" t="s">
        <v>4933</v>
      </c>
      <c r="B924" s="34" t="s">
        <v>59</v>
      </c>
      <c r="C924" s="53">
        <v>2026</v>
      </c>
      <c r="D924" s="53">
        <v>2026</v>
      </c>
      <c r="E924" s="54" t="s">
        <v>3560</v>
      </c>
      <c r="F924" s="55" t="s">
        <v>50</v>
      </c>
      <c r="G924" s="55" t="s">
        <v>50</v>
      </c>
      <c r="H924" s="45" t="s">
        <v>2152</v>
      </c>
      <c r="I924" s="56" t="s">
        <v>52</v>
      </c>
      <c r="J924" s="56"/>
      <c r="K924" s="56" t="s">
        <v>87</v>
      </c>
      <c r="L924" s="55" t="str">
        <f t="shared" si="14"/>
        <v/>
      </c>
      <c r="M924" s="55"/>
      <c r="N924" s="56"/>
      <c r="O924" s="56" t="s">
        <v>2894</v>
      </c>
      <c r="P924" s="56" t="s">
        <v>89</v>
      </c>
      <c r="Q924" s="56" t="s">
        <v>89</v>
      </c>
      <c r="R924" s="55"/>
      <c r="S924" s="56" t="s">
        <v>81</v>
      </c>
      <c r="T924" s="55" t="str">
        <f>IF(ISNUMBER(SEARCH(",",N924)),"Y","N")</f>
        <v>N</v>
      </c>
      <c r="U924" s="57">
        <v>-999</v>
      </c>
      <c r="V924" s="57" t="s">
        <v>59</v>
      </c>
      <c r="W924" s="55" t="s">
        <v>2319</v>
      </c>
      <c r="X924" s="54" t="s">
        <v>4933</v>
      </c>
      <c r="Y924" s="52"/>
      <c r="Z924" s="1" t="s">
        <v>61</v>
      </c>
      <c r="AA924" s="1" t="s">
        <v>2153</v>
      </c>
      <c r="AB924" s="1"/>
      <c r="AC924" s="1"/>
      <c r="AD924" s="3" t="s">
        <v>62</v>
      </c>
      <c r="AE924" s="1" t="s">
        <v>144</v>
      </c>
      <c r="AF924" s="1" t="s">
        <v>947</v>
      </c>
      <c r="AG924" s="1" t="s">
        <v>947</v>
      </c>
      <c r="AH924" s="1"/>
      <c r="AI924" s="1"/>
      <c r="AJ924" s="1"/>
      <c r="AK924" s="1"/>
      <c r="AL924" s="1"/>
      <c r="AM924" s="1"/>
      <c r="AN924" s="1"/>
      <c r="AO924" s="1"/>
      <c r="AP924" s="1"/>
      <c r="AQ924" s="1"/>
      <c r="AR924" s="1"/>
      <c r="AS924" s="1"/>
      <c r="AT924" s="1"/>
      <c r="AU924" s="1"/>
      <c r="AV924" s="1"/>
      <c r="AW924" s="1"/>
      <c r="AX924" s="1"/>
      <c r="AY924" s="1"/>
      <c r="AZ924" s="5" t="s">
        <v>2151</v>
      </c>
      <c r="BA924" s="5"/>
      <c r="BB924" s="1"/>
      <c r="BC924" s="1"/>
    </row>
    <row r="925" spans="1:55" s="78" customFormat="1" ht="15" customHeight="1" x14ac:dyDescent="0.25">
      <c r="A925" s="52" t="s">
        <v>4934</v>
      </c>
      <c r="B925" s="34" t="s">
        <v>59</v>
      </c>
      <c r="C925" s="53">
        <v>2026</v>
      </c>
      <c r="D925" s="53">
        <v>2026</v>
      </c>
      <c r="E925" s="54" t="s">
        <v>3561</v>
      </c>
      <c r="F925" s="55" t="s">
        <v>50</v>
      </c>
      <c r="G925" s="55" t="s">
        <v>50</v>
      </c>
      <c r="H925" s="45" t="s">
        <v>2155</v>
      </c>
      <c r="I925" s="56" t="s">
        <v>52</v>
      </c>
      <c r="J925" s="56"/>
      <c r="K925" s="56" t="s">
        <v>87</v>
      </c>
      <c r="L925" s="55" t="str">
        <f t="shared" si="14"/>
        <v/>
      </c>
      <c r="M925" s="55"/>
      <c r="N925" s="56"/>
      <c r="O925" s="56" t="s">
        <v>2892</v>
      </c>
      <c r="P925" s="56" t="s">
        <v>89</v>
      </c>
      <c r="Q925" s="56" t="s">
        <v>89</v>
      </c>
      <c r="R925" s="55"/>
      <c r="S925" s="56" t="s">
        <v>81</v>
      </c>
      <c r="T925" s="55" t="s">
        <v>58</v>
      </c>
      <c r="U925" s="57">
        <v>-999</v>
      </c>
      <c r="V925" s="57" t="s">
        <v>59</v>
      </c>
      <c r="W925" s="55" t="s">
        <v>2319</v>
      </c>
      <c r="X925" s="54" t="s">
        <v>4934</v>
      </c>
      <c r="Y925" s="52"/>
      <c r="Z925" s="1" t="s">
        <v>61</v>
      </c>
      <c r="AA925" s="1" t="s">
        <v>2156</v>
      </c>
      <c r="AB925" s="1"/>
      <c r="AC925" s="1"/>
      <c r="AD925" s="3" t="s">
        <v>62</v>
      </c>
      <c r="AE925" s="1" t="s">
        <v>175</v>
      </c>
      <c r="AF925" s="1" t="s">
        <v>2157</v>
      </c>
      <c r="AG925" s="1" t="s">
        <v>2158</v>
      </c>
      <c r="AH925" s="2">
        <v>100</v>
      </c>
      <c r="AI925" s="1"/>
      <c r="AJ925" s="1"/>
      <c r="AK925" s="1"/>
      <c r="AL925" s="1"/>
      <c r="AM925" s="1"/>
      <c r="AN925" s="1"/>
      <c r="AO925" s="1"/>
      <c r="AP925" s="1"/>
      <c r="AQ925" s="1"/>
      <c r="AR925" s="1"/>
      <c r="AS925" s="1"/>
      <c r="AT925" s="1"/>
      <c r="AU925" s="1"/>
      <c r="AV925" s="1"/>
      <c r="AW925" s="1"/>
      <c r="AX925" s="1"/>
      <c r="AY925" s="1"/>
      <c r="AZ925" s="5" t="s">
        <v>2154</v>
      </c>
      <c r="BA925" s="5"/>
      <c r="BB925" s="56"/>
      <c r="BC925" s="56"/>
    </row>
    <row r="926" spans="1:55" s="78" customFormat="1" ht="15" customHeight="1" x14ac:dyDescent="0.25">
      <c r="A926" s="52" t="s">
        <v>4935</v>
      </c>
      <c r="B926" s="34" t="s">
        <v>59</v>
      </c>
      <c r="C926" s="53">
        <v>2026</v>
      </c>
      <c r="D926" s="53">
        <v>2026</v>
      </c>
      <c r="E926" s="54" t="s">
        <v>3562</v>
      </c>
      <c r="F926" s="55" t="s">
        <v>50</v>
      </c>
      <c r="G926" s="55" t="s">
        <v>50</v>
      </c>
      <c r="H926" s="45" t="s">
        <v>2160</v>
      </c>
      <c r="I926" s="56" t="s">
        <v>52</v>
      </c>
      <c r="J926" s="56"/>
      <c r="K926" s="56" t="s">
        <v>87</v>
      </c>
      <c r="L926" s="55" t="str">
        <f t="shared" si="14"/>
        <v/>
      </c>
      <c r="M926" s="55"/>
      <c r="N926" s="56"/>
      <c r="O926" s="56" t="s">
        <v>2893</v>
      </c>
      <c r="P926" s="56" t="s">
        <v>89</v>
      </c>
      <c r="Q926" s="56" t="s">
        <v>89</v>
      </c>
      <c r="R926" s="55"/>
      <c r="S926" s="56" t="s">
        <v>81</v>
      </c>
      <c r="T926" s="55" t="str">
        <f t="shared" ref="T926:T931" si="16">IF(ISNUMBER(SEARCH(",",N926)),"Y","N")</f>
        <v>N</v>
      </c>
      <c r="U926" s="57">
        <v>-999</v>
      </c>
      <c r="V926" s="57" t="s">
        <v>59</v>
      </c>
      <c r="W926" s="55" t="s">
        <v>2319</v>
      </c>
      <c r="X926" s="54" t="s">
        <v>4935</v>
      </c>
      <c r="Y926" s="52"/>
      <c r="Z926" s="1" t="s">
        <v>514</v>
      </c>
      <c r="AA926" s="1" t="s">
        <v>2161</v>
      </c>
      <c r="AB926" s="1"/>
      <c r="AC926" s="1"/>
      <c r="AD926" s="3" t="s">
        <v>62</v>
      </c>
      <c r="AE926" s="1" t="s">
        <v>155</v>
      </c>
      <c r="AF926" s="1" t="s">
        <v>2162</v>
      </c>
      <c r="AG926" s="1" t="s">
        <v>2132</v>
      </c>
      <c r="AH926" s="1"/>
      <c r="AI926" s="1"/>
      <c r="AJ926" s="1"/>
      <c r="AK926" s="1"/>
      <c r="AL926" s="1"/>
      <c r="AM926" s="1"/>
      <c r="AN926" s="1"/>
      <c r="AO926" s="1"/>
      <c r="AP926" s="1"/>
      <c r="AQ926" s="1"/>
      <c r="AR926" s="1"/>
      <c r="AS926" s="1"/>
      <c r="AT926" s="1"/>
      <c r="AU926" s="1"/>
      <c r="AV926" s="1"/>
      <c r="AW926" s="1"/>
      <c r="AX926" s="1"/>
      <c r="AY926" s="1"/>
      <c r="AZ926" s="5" t="s">
        <v>2159</v>
      </c>
      <c r="BA926" s="5"/>
      <c r="BB926" s="56"/>
      <c r="BC926" s="56"/>
    </row>
    <row r="927" spans="1:55" s="78" customFormat="1" ht="15" customHeight="1" x14ac:dyDescent="0.25">
      <c r="A927" s="52" t="s">
        <v>4936</v>
      </c>
      <c r="B927" s="34" t="s">
        <v>59</v>
      </c>
      <c r="C927" s="53">
        <v>2026</v>
      </c>
      <c r="D927" s="53">
        <v>2026</v>
      </c>
      <c r="E927" s="54" t="s">
        <v>3563</v>
      </c>
      <c r="F927" s="55" t="s">
        <v>50</v>
      </c>
      <c r="G927" s="55" t="s">
        <v>50</v>
      </c>
      <c r="H927" s="45" t="s">
        <v>2163</v>
      </c>
      <c r="I927" s="56" t="s">
        <v>52</v>
      </c>
      <c r="J927" s="56"/>
      <c r="K927" s="56" t="s">
        <v>79</v>
      </c>
      <c r="L927" s="55" t="str">
        <f t="shared" si="14"/>
        <v/>
      </c>
      <c r="M927" s="55"/>
      <c r="N927" s="56" t="s">
        <v>80</v>
      </c>
      <c r="O927" s="56"/>
      <c r="P927" s="56" t="s">
        <v>89</v>
      </c>
      <c r="Q927" s="56" t="s">
        <v>89</v>
      </c>
      <c r="R927" s="55"/>
      <c r="S927" s="56" t="s">
        <v>81</v>
      </c>
      <c r="T927" s="55" t="str">
        <f t="shared" si="16"/>
        <v>N</v>
      </c>
      <c r="U927" s="57">
        <v>-999</v>
      </c>
      <c r="V927" s="57" t="s">
        <v>59</v>
      </c>
      <c r="W927" s="55" t="s">
        <v>2319</v>
      </c>
      <c r="X927" s="54" t="s">
        <v>4936</v>
      </c>
      <c r="Y927" s="52"/>
      <c r="Z927" s="1" t="s">
        <v>61</v>
      </c>
      <c r="AA927" s="1" t="s">
        <v>2164</v>
      </c>
      <c r="AB927" s="1"/>
      <c r="AC927" s="1"/>
      <c r="AD927" s="3" t="s">
        <v>62</v>
      </c>
      <c r="AE927" s="1" t="s">
        <v>192</v>
      </c>
      <c r="AF927" s="1" t="s">
        <v>307</v>
      </c>
      <c r="AG927" s="1" t="s">
        <v>308</v>
      </c>
      <c r="AH927" s="1"/>
      <c r="AI927" s="1"/>
      <c r="AJ927" s="1"/>
      <c r="AK927" s="1"/>
      <c r="AL927" s="1"/>
      <c r="AM927" s="1"/>
      <c r="AN927" s="1"/>
      <c r="AO927" s="1"/>
      <c r="AP927" s="1"/>
      <c r="AQ927" s="1"/>
      <c r="AR927" s="1"/>
      <c r="AS927" s="1"/>
      <c r="AT927" s="1"/>
      <c r="AU927" s="1"/>
      <c r="AV927" s="1"/>
      <c r="AW927" s="1"/>
      <c r="AX927" s="1"/>
      <c r="AY927" s="1"/>
      <c r="AZ927" s="5" t="s">
        <v>2104</v>
      </c>
      <c r="BA927" s="5"/>
      <c r="BB927" s="1"/>
      <c r="BC927" s="1"/>
    </row>
    <row r="928" spans="1:55" s="78" customFormat="1" ht="15" customHeight="1" x14ac:dyDescent="0.25">
      <c r="A928" s="52" t="s">
        <v>4937</v>
      </c>
      <c r="B928" s="34" t="s">
        <v>59</v>
      </c>
      <c r="C928" s="53">
        <v>2026</v>
      </c>
      <c r="D928" s="53">
        <v>2026</v>
      </c>
      <c r="E928" s="54" t="s">
        <v>3564</v>
      </c>
      <c r="F928" s="55" t="s">
        <v>50</v>
      </c>
      <c r="G928" s="55" t="s">
        <v>50</v>
      </c>
      <c r="H928" s="45" t="s">
        <v>2165</v>
      </c>
      <c r="I928" s="56" t="s">
        <v>52</v>
      </c>
      <c r="J928" s="56"/>
      <c r="K928" s="56" t="s">
        <v>79</v>
      </c>
      <c r="L928" s="55" t="str">
        <f t="shared" si="14"/>
        <v/>
      </c>
      <c r="M928" s="55"/>
      <c r="N928" s="56" t="s">
        <v>80</v>
      </c>
      <c r="O928" s="56"/>
      <c r="P928" s="56" t="s">
        <v>89</v>
      </c>
      <c r="Q928" s="56" t="s">
        <v>89</v>
      </c>
      <c r="R928" s="55"/>
      <c r="S928" s="56" t="s">
        <v>81</v>
      </c>
      <c r="T928" s="55" t="str">
        <f t="shared" si="16"/>
        <v>N</v>
      </c>
      <c r="U928" s="57">
        <v>-999</v>
      </c>
      <c r="V928" s="57" t="s">
        <v>59</v>
      </c>
      <c r="W928" s="55" t="s">
        <v>2319</v>
      </c>
      <c r="X928" s="54" t="s">
        <v>4937</v>
      </c>
      <c r="Y928" s="52"/>
      <c r="Z928" s="1" t="s">
        <v>61</v>
      </c>
      <c r="AA928" s="1" t="s">
        <v>2166</v>
      </c>
      <c r="AB928" s="1"/>
      <c r="AC928" s="1"/>
      <c r="AD928" s="3" t="s">
        <v>62</v>
      </c>
      <c r="AE928" s="1" t="s">
        <v>184</v>
      </c>
      <c r="AF928" s="1" t="s">
        <v>307</v>
      </c>
      <c r="AG928" s="1" t="s">
        <v>308</v>
      </c>
      <c r="AH928" s="1"/>
      <c r="AI928" s="1"/>
      <c r="AJ928" s="1"/>
      <c r="AK928" s="1"/>
      <c r="AL928" s="1"/>
      <c r="AM928" s="1"/>
      <c r="AN928" s="1"/>
      <c r="AO928" s="1"/>
      <c r="AP928" s="1"/>
      <c r="AQ928" s="1"/>
      <c r="AR928" s="1"/>
      <c r="AS928" s="1"/>
      <c r="AT928" s="1"/>
      <c r="AU928" s="1"/>
      <c r="AV928" s="1"/>
      <c r="AW928" s="1"/>
      <c r="AX928" s="1"/>
      <c r="AY928" s="1"/>
      <c r="AZ928" s="5" t="s">
        <v>2104</v>
      </c>
      <c r="BA928" s="5"/>
      <c r="BB928" s="1"/>
      <c r="BC928" s="1"/>
    </row>
    <row r="929" spans="1:55" s="78" customFormat="1" ht="15" customHeight="1" x14ac:dyDescent="0.25">
      <c r="A929" s="52" t="s">
        <v>4938</v>
      </c>
      <c r="B929" s="34" t="s">
        <v>59</v>
      </c>
      <c r="C929" s="53">
        <v>2026</v>
      </c>
      <c r="D929" s="53">
        <v>2026</v>
      </c>
      <c r="E929" s="54" t="s">
        <v>3565</v>
      </c>
      <c r="F929" s="55" t="s">
        <v>50</v>
      </c>
      <c r="G929" s="55" t="s">
        <v>50</v>
      </c>
      <c r="H929" s="45" t="s">
        <v>2168</v>
      </c>
      <c r="I929" s="56" t="s">
        <v>52</v>
      </c>
      <c r="J929" s="56"/>
      <c r="K929" s="56" t="s">
        <v>87</v>
      </c>
      <c r="L929" s="55" t="str">
        <f t="shared" si="14"/>
        <v/>
      </c>
      <c r="M929" s="55"/>
      <c r="N929" s="56"/>
      <c r="O929" s="56" t="s">
        <v>2894</v>
      </c>
      <c r="P929" s="56" t="s">
        <v>89</v>
      </c>
      <c r="Q929" s="56" t="s">
        <v>89</v>
      </c>
      <c r="R929" s="55"/>
      <c r="S929" s="56" t="s">
        <v>58</v>
      </c>
      <c r="T929" s="55" t="str">
        <f t="shared" si="16"/>
        <v>N</v>
      </c>
      <c r="U929" s="57">
        <v>-999</v>
      </c>
      <c r="V929" s="57" t="s">
        <v>59</v>
      </c>
      <c r="W929" s="55" t="s">
        <v>2319</v>
      </c>
      <c r="X929" s="54" t="s">
        <v>4938</v>
      </c>
      <c r="Y929" s="52"/>
      <c r="Z929" s="1" t="s">
        <v>61</v>
      </c>
      <c r="AA929" s="1" t="s">
        <v>2169</v>
      </c>
      <c r="AB929" s="1"/>
      <c r="AC929" s="1"/>
      <c r="AD929" s="3" t="s">
        <v>62</v>
      </c>
      <c r="AE929" s="1" t="s">
        <v>214</v>
      </c>
      <c r="AF929" s="1" t="s">
        <v>947</v>
      </c>
      <c r="AG929" s="1" t="s">
        <v>947</v>
      </c>
      <c r="AH929" s="1"/>
      <c r="AI929" s="1"/>
      <c r="AJ929" s="1"/>
      <c r="AK929" s="1"/>
      <c r="AL929" s="1"/>
      <c r="AM929" s="1"/>
      <c r="AN929" s="1"/>
      <c r="AO929" s="1"/>
      <c r="AP929" s="1"/>
      <c r="AQ929" s="1"/>
      <c r="AR929" s="1"/>
      <c r="AS929" s="1"/>
      <c r="AT929" s="1"/>
      <c r="AU929" s="1"/>
      <c r="AV929" s="1"/>
      <c r="AW929" s="1"/>
      <c r="AX929" s="1"/>
      <c r="AY929" s="1"/>
      <c r="AZ929" s="5" t="s">
        <v>2167</v>
      </c>
      <c r="BA929" s="5"/>
      <c r="BB929" s="1"/>
      <c r="BC929" s="1"/>
    </row>
    <row r="930" spans="1:55" s="78" customFormat="1" ht="15" customHeight="1" x14ac:dyDescent="0.25">
      <c r="A930" s="52" t="s">
        <v>4939</v>
      </c>
      <c r="B930" s="34" t="s">
        <v>59</v>
      </c>
      <c r="C930" s="53">
        <v>2026</v>
      </c>
      <c r="D930" s="53">
        <v>2026</v>
      </c>
      <c r="E930" s="54" t="s">
        <v>3566</v>
      </c>
      <c r="F930" s="55" t="s">
        <v>50</v>
      </c>
      <c r="G930" s="55" t="s">
        <v>50</v>
      </c>
      <c r="H930" s="45" t="s">
        <v>2171</v>
      </c>
      <c r="I930" s="56" t="s">
        <v>52</v>
      </c>
      <c r="J930" s="56"/>
      <c r="K930" s="56" t="s">
        <v>87</v>
      </c>
      <c r="L930" s="55" t="str">
        <f t="shared" si="14"/>
        <v/>
      </c>
      <c r="M930" s="55"/>
      <c r="N930" s="56"/>
      <c r="O930" s="56" t="s">
        <v>2893</v>
      </c>
      <c r="P930" s="56" t="s">
        <v>89</v>
      </c>
      <c r="Q930" s="56" t="s">
        <v>89</v>
      </c>
      <c r="R930" s="55"/>
      <c r="S930" s="56" t="s">
        <v>81</v>
      </c>
      <c r="T930" s="55" t="str">
        <f t="shared" si="16"/>
        <v>N</v>
      </c>
      <c r="U930" s="57">
        <v>-999</v>
      </c>
      <c r="V930" s="57" t="s">
        <v>59</v>
      </c>
      <c r="W930" s="55" t="s">
        <v>2319</v>
      </c>
      <c r="X930" s="54" t="s">
        <v>4939</v>
      </c>
      <c r="Y930" s="52"/>
      <c r="Z930" s="1" t="s">
        <v>61</v>
      </c>
      <c r="AA930" s="1" t="s">
        <v>2172</v>
      </c>
      <c r="AB930" s="1"/>
      <c r="AC930" s="1"/>
      <c r="AD930" s="3" t="s">
        <v>62</v>
      </c>
      <c r="AE930" s="1" t="s">
        <v>438</v>
      </c>
      <c r="AF930" s="1" t="s">
        <v>2173</v>
      </c>
      <c r="AG930" s="1" t="s">
        <v>2173</v>
      </c>
      <c r="AH930" s="1"/>
      <c r="AI930" s="1"/>
      <c r="AJ930" s="1"/>
      <c r="AK930" s="1"/>
      <c r="AL930" s="1"/>
      <c r="AM930" s="1"/>
      <c r="AN930" s="1"/>
      <c r="AO930" s="1"/>
      <c r="AP930" s="1"/>
      <c r="AQ930" s="1"/>
      <c r="AR930" s="1"/>
      <c r="AS930" s="1"/>
      <c r="AT930" s="1"/>
      <c r="AU930" s="1"/>
      <c r="AV930" s="1"/>
      <c r="AW930" s="1"/>
      <c r="AX930" s="1"/>
      <c r="AY930" s="1"/>
      <c r="AZ930" s="5" t="s">
        <v>2170</v>
      </c>
      <c r="BA930" s="5"/>
      <c r="BB930" s="1"/>
      <c r="BC930" s="1"/>
    </row>
    <row r="931" spans="1:55" s="78" customFormat="1" ht="15" customHeight="1" x14ac:dyDescent="0.25">
      <c r="A931" s="52" t="s">
        <v>4940</v>
      </c>
      <c r="B931" s="34" t="s">
        <v>59</v>
      </c>
      <c r="C931" s="53">
        <v>2026</v>
      </c>
      <c r="D931" s="53">
        <v>2026</v>
      </c>
      <c r="E931" s="54" t="s">
        <v>3567</v>
      </c>
      <c r="F931" s="55" t="s">
        <v>50</v>
      </c>
      <c r="G931" s="55" t="s">
        <v>50</v>
      </c>
      <c r="H931" s="45" t="s">
        <v>2175</v>
      </c>
      <c r="I931" s="56" t="s">
        <v>52</v>
      </c>
      <c r="J931" s="56"/>
      <c r="K931" s="56" t="s">
        <v>87</v>
      </c>
      <c r="L931" s="55" t="str">
        <f t="shared" si="14"/>
        <v/>
      </c>
      <c r="M931" s="55"/>
      <c r="N931" s="56"/>
      <c r="O931" s="56" t="s">
        <v>2987</v>
      </c>
      <c r="P931" s="56" t="s">
        <v>89</v>
      </c>
      <c r="Q931" s="56" t="s">
        <v>89</v>
      </c>
      <c r="R931" s="55"/>
      <c r="S931" s="56" t="s">
        <v>81</v>
      </c>
      <c r="T931" s="55" t="str">
        <f t="shared" si="16"/>
        <v>N</v>
      </c>
      <c r="U931" s="57">
        <v>-999</v>
      </c>
      <c r="V931" s="57" t="s">
        <v>59</v>
      </c>
      <c r="W931" s="55" t="s">
        <v>2319</v>
      </c>
      <c r="X931" s="54" t="s">
        <v>4940</v>
      </c>
      <c r="Y931" s="52"/>
      <c r="Z931" s="1" t="s">
        <v>61</v>
      </c>
      <c r="AA931" s="1" t="s">
        <v>2176</v>
      </c>
      <c r="AB931" s="1"/>
      <c r="AC931" s="1"/>
      <c r="AD931" s="3" t="s">
        <v>62</v>
      </c>
      <c r="AE931" s="1" t="s">
        <v>63</v>
      </c>
      <c r="AF931" s="1"/>
      <c r="AG931" s="1" t="s">
        <v>2177</v>
      </c>
      <c r="AH931" s="1"/>
      <c r="AI931" s="1"/>
      <c r="AJ931" s="1"/>
      <c r="AK931" s="1"/>
      <c r="AL931" s="1"/>
      <c r="AM931" s="1"/>
      <c r="AN931" s="1"/>
      <c r="AO931" s="1"/>
      <c r="AP931" s="1"/>
      <c r="AQ931" s="1"/>
      <c r="AR931" s="1"/>
      <c r="AS931" s="1"/>
      <c r="AT931" s="1"/>
      <c r="AU931" s="1"/>
      <c r="AV931" s="1"/>
      <c r="AW931" s="1"/>
      <c r="AX931" s="1"/>
      <c r="AY931" s="1"/>
      <c r="AZ931" s="5" t="s">
        <v>2174</v>
      </c>
      <c r="BA931" s="5"/>
      <c r="BB931" s="1"/>
      <c r="BC931" s="1"/>
    </row>
    <row r="932" spans="1:55" s="78" customFormat="1" ht="15" customHeight="1" x14ac:dyDescent="0.25">
      <c r="A932" s="52" t="s">
        <v>4941</v>
      </c>
      <c r="B932" s="34" t="s">
        <v>59</v>
      </c>
      <c r="C932" s="53">
        <v>2026</v>
      </c>
      <c r="D932" s="53">
        <v>2026</v>
      </c>
      <c r="E932" s="54" t="s">
        <v>3568</v>
      </c>
      <c r="F932" s="55" t="s">
        <v>50</v>
      </c>
      <c r="G932" s="55" t="s">
        <v>50</v>
      </c>
      <c r="H932" s="45" t="s">
        <v>2179</v>
      </c>
      <c r="I932" s="56" t="s">
        <v>52</v>
      </c>
      <c r="J932" s="56"/>
      <c r="K932" s="56" t="s">
        <v>79</v>
      </c>
      <c r="L932" s="55" t="str">
        <f t="shared" si="14"/>
        <v/>
      </c>
      <c r="M932" s="55"/>
      <c r="N932" s="56" t="s">
        <v>80</v>
      </c>
      <c r="O932" s="56"/>
      <c r="P932" s="56" t="s">
        <v>89</v>
      </c>
      <c r="Q932" s="56" t="s">
        <v>89</v>
      </c>
      <c r="R932" s="55"/>
      <c r="S932" s="56" t="s">
        <v>81</v>
      </c>
      <c r="T932" s="55" t="s">
        <v>81</v>
      </c>
      <c r="U932" s="57">
        <v>-999</v>
      </c>
      <c r="V932" s="57" t="s">
        <v>59</v>
      </c>
      <c r="W932" s="55" t="s">
        <v>2797</v>
      </c>
      <c r="X932" s="54" t="s">
        <v>4941</v>
      </c>
      <c r="Y932" s="52"/>
      <c r="Z932" s="1" t="s">
        <v>61</v>
      </c>
      <c r="AA932" s="1" t="s">
        <v>2180</v>
      </c>
      <c r="AB932" s="1"/>
      <c r="AC932" s="1"/>
      <c r="AD932" s="3" t="s">
        <v>62</v>
      </c>
      <c r="AE932" s="1" t="s">
        <v>464</v>
      </c>
      <c r="AF932" s="1" t="s">
        <v>307</v>
      </c>
      <c r="AG932" s="1" t="s">
        <v>308</v>
      </c>
      <c r="AH932" s="2">
        <v>100</v>
      </c>
      <c r="AI932" s="1"/>
      <c r="AJ932" s="1"/>
      <c r="AK932" s="1"/>
      <c r="AL932" s="1"/>
      <c r="AM932" s="1"/>
      <c r="AN932" s="1"/>
      <c r="AO932" s="1"/>
      <c r="AP932" s="1"/>
      <c r="AQ932" s="1"/>
      <c r="AR932" s="1"/>
      <c r="AS932" s="1"/>
      <c r="AT932" s="1"/>
      <c r="AU932" s="1"/>
      <c r="AV932" s="1"/>
      <c r="AW932" s="1"/>
      <c r="AX932" s="1"/>
      <c r="AY932" s="1"/>
      <c r="AZ932" s="5" t="s">
        <v>2178</v>
      </c>
      <c r="BA932" s="5"/>
      <c r="BB932" s="1"/>
      <c r="BC932" s="1"/>
    </row>
    <row r="933" spans="1:55" s="78" customFormat="1" ht="15" customHeight="1" x14ac:dyDescent="0.25">
      <c r="A933" s="52" t="s">
        <v>4942</v>
      </c>
      <c r="B933" s="34" t="s">
        <v>59</v>
      </c>
      <c r="C933" s="53">
        <v>2026</v>
      </c>
      <c r="D933" s="53">
        <v>2026</v>
      </c>
      <c r="E933" s="54" t="s">
        <v>3569</v>
      </c>
      <c r="F933" s="55" t="s">
        <v>50</v>
      </c>
      <c r="G933" s="55" t="s">
        <v>50</v>
      </c>
      <c r="H933" s="45" t="s">
        <v>2181</v>
      </c>
      <c r="I933" s="56" t="s">
        <v>78</v>
      </c>
      <c r="J933" s="56"/>
      <c r="K933" s="56" t="s">
        <v>79</v>
      </c>
      <c r="L933" s="55" t="str">
        <f t="shared" si="14"/>
        <v/>
      </c>
      <c r="M933" s="55"/>
      <c r="N933" s="56" t="s">
        <v>80</v>
      </c>
      <c r="O933" s="56"/>
      <c r="P933" s="56" t="s">
        <v>89</v>
      </c>
      <c r="Q933" s="56" t="s">
        <v>89</v>
      </c>
      <c r="R933" s="55"/>
      <c r="S933" s="56" t="s">
        <v>81</v>
      </c>
      <c r="T933" s="55" t="str">
        <f>IF(ISNUMBER(SEARCH(",",N933)),"Y","N")</f>
        <v>N</v>
      </c>
      <c r="U933" s="57">
        <v>-999</v>
      </c>
      <c r="V933" s="57" t="s">
        <v>59</v>
      </c>
      <c r="W933" s="55" t="s">
        <v>2797</v>
      </c>
      <c r="X933" s="54" t="s">
        <v>4942</v>
      </c>
      <c r="Y933" s="52"/>
      <c r="Z933" s="1" t="s">
        <v>61</v>
      </c>
      <c r="AA933" s="1" t="s">
        <v>2180</v>
      </c>
      <c r="AB933" s="1"/>
      <c r="AC933" s="1"/>
      <c r="AD933" s="3" t="s">
        <v>62</v>
      </c>
      <c r="AE933" s="1" t="s">
        <v>464</v>
      </c>
      <c r="AF933" s="1" t="s">
        <v>307</v>
      </c>
      <c r="AG933" s="1" t="s">
        <v>308</v>
      </c>
      <c r="AH933" s="2">
        <v>100</v>
      </c>
      <c r="AI933" s="1"/>
      <c r="AJ933" s="1"/>
      <c r="AK933" s="1"/>
      <c r="AL933" s="1"/>
      <c r="AM933" s="1"/>
      <c r="AN933" s="1"/>
      <c r="AO933" s="1"/>
      <c r="AP933" s="1"/>
      <c r="AQ933" s="1"/>
      <c r="AR933" s="1"/>
      <c r="AS933" s="1"/>
      <c r="AT933" s="1"/>
      <c r="AU933" s="1"/>
      <c r="AV933" s="1"/>
      <c r="AW933" s="1"/>
      <c r="AX933" s="1"/>
      <c r="AY933" s="1"/>
      <c r="AZ933" s="5" t="s">
        <v>2178</v>
      </c>
      <c r="BA933" s="5"/>
      <c r="BB933" s="1"/>
      <c r="BC933" s="1"/>
    </row>
    <row r="934" spans="1:55" s="78" customFormat="1" ht="15" customHeight="1" x14ac:dyDescent="0.25">
      <c r="A934" s="52" t="s">
        <v>4943</v>
      </c>
      <c r="B934" s="34" t="s">
        <v>59</v>
      </c>
      <c r="C934" s="53">
        <v>2026</v>
      </c>
      <c r="D934" s="53">
        <v>2026</v>
      </c>
      <c r="E934" s="54" t="s">
        <v>3570</v>
      </c>
      <c r="F934" s="55" t="s">
        <v>50</v>
      </c>
      <c r="G934" s="55" t="s">
        <v>50</v>
      </c>
      <c r="H934" s="45" t="s">
        <v>2182</v>
      </c>
      <c r="I934" s="56" t="s">
        <v>52</v>
      </c>
      <c r="J934" s="56"/>
      <c r="K934" s="56" t="s">
        <v>87</v>
      </c>
      <c r="L934" s="55" t="str">
        <f t="shared" si="14"/>
        <v/>
      </c>
      <c r="M934" s="55"/>
      <c r="N934" s="56"/>
      <c r="O934" s="55" t="s">
        <v>2892</v>
      </c>
      <c r="P934" s="56" t="s">
        <v>89</v>
      </c>
      <c r="Q934" s="56" t="s">
        <v>89</v>
      </c>
      <c r="R934" s="55"/>
      <c r="S934" s="56" t="s">
        <v>81</v>
      </c>
      <c r="T934" s="55" t="s">
        <v>58</v>
      </c>
      <c r="U934" s="57">
        <v>-999</v>
      </c>
      <c r="V934" s="57" t="s">
        <v>59</v>
      </c>
      <c r="W934" s="55" t="s">
        <v>2319</v>
      </c>
      <c r="X934" s="54" t="s">
        <v>4943</v>
      </c>
      <c r="Y934" s="52"/>
      <c r="Z934" s="1" t="s">
        <v>61</v>
      </c>
      <c r="AA934" s="1" t="s">
        <v>2183</v>
      </c>
      <c r="AB934" s="1"/>
      <c r="AC934" s="1"/>
      <c r="AD934" s="3" t="s">
        <v>62</v>
      </c>
      <c r="AE934" s="1" t="s">
        <v>63</v>
      </c>
      <c r="AF934" s="1" t="s">
        <v>947</v>
      </c>
      <c r="AG934" s="1" t="s">
        <v>947</v>
      </c>
      <c r="AH934" s="1"/>
      <c r="AI934" s="1"/>
      <c r="AJ934" s="1"/>
      <c r="AK934" s="1"/>
      <c r="AL934" s="1"/>
      <c r="AM934" s="1"/>
      <c r="AN934" s="1"/>
      <c r="AO934" s="1"/>
      <c r="AP934" s="1"/>
      <c r="AQ934" s="1"/>
      <c r="AR934" s="1"/>
      <c r="AS934" s="1"/>
      <c r="AT934" s="1"/>
      <c r="AU934" s="1"/>
      <c r="AV934" s="1"/>
      <c r="AW934" s="1"/>
      <c r="AX934" s="1"/>
      <c r="AY934" s="1"/>
      <c r="AZ934" s="5" t="s">
        <v>1074</v>
      </c>
      <c r="BA934" s="5"/>
      <c r="BB934" s="1"/>
      <c r="BC934" s="1"/>
    </row>
    <row r="935" spans="1:55" s="78" customFormat="1" ht="15" customHeight="1" x14ac:dyDescent="0.25">
      <c r="A935" s="52" t="s">
        <v>4944</v>
      </c>
      <c r="B935" s="34" t="s">
        <v>59</v>
      </c>
      <c r="C935" s="53">
        <v>2026</v>
      </c>
      <c r="D935" s="53">
        <v>2026</v>
      </c>
      <c r="E935" s="54" t="s">
        <v>3571</v>
      </c>
      <c r="F935" s="55" t="s">
        <v>50</v>
      </c>
      <c r="G935" s="55" t="s">
        <v>50</v>
      </c>
      <c r="H935" s="45" t="s">
        <v>2185</v>
      </c>
      <c r="I935" s="56" t="s">
        <v>78</v>
      </c>
      <c r="J935" s="56"/>
      <c r="K935" s="56" t="s">
        <v>71</v>
      </c>
      <c r="L935" s="55" t="s">
        <v>88</v>
      </c>
      <c r="M935" s="55"/>
      <c r="N935" s="56" t="s">
        <v>110</v>
      </c>
      <c r="O935" s="56"/>
      <c r="P935" s="55" t="s">
        <v>73</v>
      </c>
      <c r="Q935" s="55" t="s">
        <v>57</v>
      </c>
      <c r="R935" s="55"/>
      <c r="S935" s="56" t="s">
        <v>81</v>
      </c>
      <c r="T935" s="55" t="str">
        <f>IF(ISNUMBER(SEARCH(",",N935)),"Y","N")</f>
        <v>N</v>
      </c>
      <c r="U935" s="57">
        <v>8.0229999999999997</v>
      </c>
      <c r="V935" s="57" t="s">
        <v>101</v>
      </c>
      <c r="W935" s="55"/>
      <c r="X935" s="54" t="s">
        <v>4944</v>
      </c>
      <c r="Y935" s="52"/>
      <c r="Z935" s="1" t="s">
        <v>61</v>
      </c>
      <c r="AA935" s="1" t="s">
        <v>2186</v>
      </c>
      <c r="AB935" s="1"/>
      <c r="AC935" s="1"/>
      <c r="AD935" s="3" t="s">
        <v>62</v>
      </c>
      <c r="AE935" s="3" t="s">
        <v>519</v>
      </c>
      <c r="AF935" s="2" t="s">
        <v>2187</v>
      </c>
      <c r="AG935" s="2" t="s">
        <v>2187</v>
      </c>
      <c r="AH935" s="58">
        <v>100</v>
      </c>
      <c r="AI935" s="1"/>
      <c r="AJ935" s="1"/>
      <c r="AK935" s="1"/>
      <c r="AL935" s="1"/>
      <c r="AM935" s="1"/>
      <c r="AN935" s="1"/>
      <c r="AO935" s="1"/>
      <c r="AP935" s="1"/>
      <c r="AQ935" s="1"/>
      <c r="AR935" s="1"/>
      <c r="AS935" s="1"/>
      <c r="AT935" s="1"/>
      <c r="AU935" s="1"/>
      <c r="AV935" s="1"/>
      <c r="AW935" s="1"/>
      <c r="AX935" s="1"/>
      <c r="AY935" s="1"/>
      <c r="AZ935" s="4" t="s">
        <v>2184</v>
      </c>
      <c r="BA935" s="1"/>
      <c r="BB935" s="1"/>
      <c r="BC935" s="1"/>
    </row>
    <row r="936" spans="1:55" s="78" customFormat="1" ht="15" customHeight="1" x14ac:dyDescent="0.25">
      <c r="A936" s="52" t="s">
        <v>4945</v>
      </c>
      <c r="B936" s="34" t="s">
        <v>59</v>
      </c>
      <c r="C936" s="53">
        <v>2026</v>
      </c>
      <c r="D936" s="53">
        <v>2026</v>
      </c>
      <c r="E936" s="54" t="s">
        <v>3572</v>
      </c>
      <c r="F936" s="55" t="s">
        <v>50</v>
      </c>
      <c r="G936" s="55" t="s">
        <v>50</v>
      </c>
      <c r="H936" s="45" t="s">
        <v>2188</v>
      </c>
      <c r="I936" s="56" t="s">
        <v>52</v>
      </c>
      <c r="J936" s="56"/>
      <c r="K936" s="56" t="s">
        <v>71</v>
      </c>
      <c r="L936" s="55" t="s">
        <v>54</v>
      </c>
      <c r="M936" s="55"/>
      <c r="N936" s="55" t="s">
        <v>110</v>
      </c>
      <c r="O936" s="45" t="s">
        <v>296</v>
      </c>
      <c r="P936" s="55" t="s">
        <v>73</v>
      </c>
      <c r="Q936" s="55" t="s">
        <v>57</v>
      </c>
      <c r="R936" s="55"/>
      <c r="S936" s="56" t="s">
        <v>81</v>
      </c>
      <c r="T936" s="55" t="str">
        <f>IF(ISNUMBER(SEARCH(",",N936)),"Y","N")</f>
        <v>N</v>
      </c>
      <c r="U936" s="57">
        <v>8.0229999999999997</v>
      </c>
      <c r="V936" s="57" t="s">
        <v>101</v>
      </c>
      <c r="W936" s="55"/>
      <c r="X936" s="54" t="s">
        <v>4945</v>
      </c>
      <c r="Y936" s="52"/>
      <c r="Z936" s="1" t="s">
        <v>61</v>
      </c>
      <c r="AA936" s="1" t="s">
        <v>2186</v>
      </c>
      <c r="AB936" s="1"/>
      <c r="AC936" s="1"/>
      <c r="AD936" s="3" t="s">
        <v>62</v>
      </c>
      <c r="AE936" s="1" t="s">
        <v>519</v>
      </c>
      <c r="AF936" s="2" t="s">
        <v>2187</v>
      </c>
      <c r="AG936" s="2" t="s">
        <v>2187</v>
      </c>
      <c r="AH936" s="58">
        <v>100</v>
      </c>
      <c r="AI936" s="1"/>
      <c r="AJ936" s="1"/>
      <c r="AK936" s="1"/>
      <c r="AL936" s="1"/>
      <c r="AM936" s="1"/>
      <c r="AN936" s="1"/>
      <c r="AO936" s="1"/>
      <c r="AP936" s="1"/>
      <c r="AQ936" s="1"/>
      <c r="AR936" s="1"/>
      <c r="AS936" s="1"/>
      <c r="AT936" s="1"/>
      <c r="AU936" s="1"/>
      <c r="AV936" s="1"/>
      <c r="AW936" s="1"/>
      <c r="AX936" s="1"/>
      <c r="AY936" s="1"/>
      <c r="AZ936" s="4" t="s">
        <v>2184</v>
      </c>
      <c r="BA936" s="1"/>
      <c r="BB936" s="1"/>
      <c r="BC936" s="1"/>
    </row>
    <row r="937" spans="1:55" s="78" customFormat="1" ht="15" customHeight="1" x14ac:dyDescent="0.25">
      <c r="A937" s="52" t="s">
        <v>4946</v>
      </c>
      <c r="B937" s="34" t="s">
        <v>59</v>
      </c>
      <c r="C937" s="53">
        <v>2026</v>
      </c>
      <c r="D937" s="53">
        <v>2026</v>
      </c>
      <c r="E937" s="54" t="s">
        <v>3573</v>
      </c>
      <c r="F937" s="55" t="s">
        <v>50</v>
      </c>
      <c r="G937" s="55" t="s">
        <v>50</v>
      </c>
      <c r="H937" s="45" t="s">
        <v>2189</v>
      </c>
      <c r="I937" s="45" t="s">
        <v>52</v>
      </c>
      <c r="J937" s="56"/>
      <c r="K937" s="55" t="s">
        <v>210</v>
      </c>
      <c r="L937" s="55" t="s">
        <v>54</v>
      </c>
      <c r="M937" s="55"/>
      <c r="N937" s="55" t="s">
        <v>784</v>
      </c>
      <c r="O937" s="55"/>
      <c r="P937" s="55" t="s">
        <v>89</v>
      </c>
      <c r="Q937" s="55" t="s">
        <v>89</v>
      </c>
      <c r="R937" s="55"/>
      <c r="S937" s="56" t="s">
        <v>81</v>
      </c>
      <c r="T937" s="55" t="s">
        <v>81</v>
      </c>
      <c r="U937" s="57">
        <v>190000</v>
      </c>
      <c r="V937" s="57" t="s">
        <v>101</v>
      </c>
      <c r="W937" s="55" t="s">
        <v>2319</v>
      </c>
      <c r="X937" s="54" t="s">
        <v>4946</v>
      </c>
      <c r="Y937" s="52"/>
      <c r="Z937" s="3" t="s">
        <v>61</v>
      </c>
      <c r="AA937" s="1" t="s">
        <v>2190</v>
      </c>
      <c r="AB937" s="1"/>
      <c r="AC937" s="1"/>
      <c r="AD937" s="3" t="s">
        <v>62</v>
      </c>
      <c r="AE937" s="3" t="s">
        <v>184</v>
      </c>
      <c r="AF937" s="1" t="s">
        <v>2191</v>
      </c>
      <c r="AG937" s="1" t="s">
        <v>2192</v>
      </c>
      <c r="AH937" s="2">
        <v>100</v>
      </c>
      <c r="AI937" s="1"/>
      <c r="AJ937" s="2"/>
      <c r="AK937" s="3"/>
      <c r="AL937" s="3"/>
      <c r="AM937" s="3"/>
      <c r="AN937" s="3"/>
      <c r="AO937" s="3"/>
      <c r="AP937" s="3"/>
      <c r="AQ937" s="3"/>
      <c r="AR937" s="3"/>
      <c r="AS937" s="3"/>
      <c r="AT937" s="3"/>
      <c r="AU937" s="3"/>
      <c r="AV937" s="3"/>
      <c r="AW937" s="3"/>
      <c r="AX937" s="3"/>
      <c r="AY937" s="3"/>
      <c r="AZ937" s="4" t="s">
        <v>3918</v>
      </c>
      <c r="BA937" s="3" t="s">
        <v>3919</v>
      </c>
      <c r="BB937" s="1"/>
      <c r="BC937" s="1"/>
    </row>
    <row r="938" spans="1:55" s="78" customFormat="1" ht="15" customHeight="1" x14ac:dyDescent="0.25">
      <c r="A938" s="52" t="s">
        <v>4947</v>
      </c>
      <c r="B938" s="34" t="s">
        <v>59</v>
      </c>
      <c r="C938" s="53">
        <v>2026</v>
      </c>
      <c r="D938" s="53">
        <v>2026</v>
      </c>
      <c r="E938" s="54" t="s">
        <v>3574</v>
      </c>
      <c r="F938" s="55" t="s">
        <v>50</v>
      </c>
      <c r="G938" s="55" t="s">
        <v>50</v>
      </c>
      <c r="H938" s="45" t="s">
        <v>2193</v>
      </c>
      <c r="I938" s="56" t="s">
        <v>52</v>
      </c>
      <c r="J938" s="56"/>
      <c r="K938" s="56" t="s">
        <v>87</v>
      </c>
      <c r="L938" s="55" t="str">
        <f>IF(K938="Mine or Quarry","Mine","")</f>
        <v/>
      </c>
      <c r="M938" s="55"/>
      <c r="N938" s="56"/>
      <c r="O938" s="56" t="s">
        <v>2893</v>
      </c>
      <c r="P938" s="56" t="s">
        <v>89</v>
      </c>
      <c r="Q938" s="56" t="s">
        <v>89</v>
      </c>
      <c r="R938" s="55"/>
      <c r="S938" s="56" t="s">
        <v>81</v>
      </c>
      <c r="T938" s="55" t="str">
        <f>IF(ISNUMBER(SEARCH(",",N938)),"Y","N")</f>
        <v>N</v>
      </c>
      <c r="U938" s="57">
        <v>-999</v>
      </c>
      <c r="V938" s="57" t="s">
        <v>59</v>
      </c>
      <c r="W938" s="55" t="s">
        <v>2319</v>
      </c>
      <c r="X938" s="54" t="s">
        <v>4947</v>
      </c>
      <c r="Y938" s="52"/>
      <c r="Z938" s="1" t="s">
        <v>61</v>
      </c>
      <c r="AA938" s="1" t="s">
        <v>2194</v>
      </c>
      <c r="AB938" s="1"/>
      <c r="AC938" s="1"/>
      <c r="AD938" s="3" t="s">
        <v>62</v>
      </c>
      <c r="AE938" s="1" t="s">
        <v>306</v>
      </c>
      <c r="AF938" s="1" t="s">
        <v>947</v>
      </c>
      <c r="AG938" s="1" t="s">
        <v>947</v>
      </c>
      <c r="AH938" s="1"/>
      <c r="AI938" s="1"/>
      <c r="AJ938" s="1"/>
      <c r="AK938" s="1"/>
      <c r="AL938" s="1"/>
      <c r="AM938" s="1"/>
      <c r="AN938" s="1"/>
      <c r="AO938" s="1"/>
      <c r="AP938" s="1"/>
      <c r="AQ938" s="1"/>
      <c r="AR938" s="1"/>
      <c r="AS938" s="1"/>
      <c r="AT938" s="1"/>
      <c r="AU938" s="1"/>
      <c r="AV938" s="1"/>
      <c r="AW938" s="1"/>
      <c r="AX938" s="1"/>
      <c r="AY938" s="1"/>
      <c r="AZ938" s="5" t="s">
        <v>1074</v>
      </c>
      <c r="BA938" s="5"/>
      <c r="BB938" s="1"/>
      <c r="BC938" s="1"/>
    </row>
    <row r="939" spans="1:55" s="78" customFormat="1" ht="15" customHeight="1" x14ac:dyDescent="0.25">
      <c r="A939" s="52" t="s">
        <v>4948</v>
      </c>
      <c r="B939" s="34" t="s">
        <v>59</v>
      </c>
      <c r="C939" s="53">
        <v>2026</v>
      </c>
      <c r="D939" s="53">
        <v>2026</v>
      </c>
      <c r="E939" s="54" t="s">
        <v>3575</v>
      </c>
      <c r="F939" s="55" t="s">
        <v>50</v>
      </c>
      <c r="G939" s="55" t="s">
        <v>50</v>
      </c>
      <c r="H939" s="45" t="s">
        <v>2195</v>
      </c>
      <c r="I939" s="45" t="s">
        <v>52</v>
      </c>
      <c r="J939" s="56" t="s">
        <v>165</v>
      </c>
      <c r="K939" s="56" t="s">
        <v>166</v>
      </c>
      <c r="L939" s="55"/>
      <c r="M939" s="55"/>
      <c r="N939" s="56" t="s">
        <v>167</v>
      </c>
      <c r="O939" s="56"/>
      <c r="P939" s="56" t="s">
        <v>89</v>
      </c>
      <c r="Q939" s="56" t="s">
        <v>89</v>
      </c>
      <c r="R939" s="55"/>
      <c r="S939" s="56" t="s">
        <v>81</v>
      </c>
      <c r="T939" s="55" t="s">
        <v>81</v>
      </c>
      <c r="U939" s="57">
        <v>-999</v>
      </c>
      <c r="V939" s="57" t="s">
        <v>59</v>
      </c>
      <c r="W939" s="55" t="s">
        <v>2319</v>
      </c>
      <c r="X939" s="54" t="s">
        <v>4948</v>
      </c>
      <c r="Y939" s="52"/>
      <c r="Z939" s="1" t="s">
        <v>61</v>
      </c>
      <c r="AA939" s="1" t="s">
        <v>2196</v>
      </c>
      <c r="AB939" s="1"/>
      <c r="AC939" s="1"/>
      <c r="AD939" s="3" t="s">
        <v>62</v>
      </c>
      <c r="AE939" s="3" t="s">
        <v>221</v>
      </c>
      <c r="AF939" s="3" t="s">
        <v>169</v>
      </c>
      <c r="AG939" s="3" t="s">
        <v>170</v>
      </c>
      <c r="AH939" s="53">
        <v>50</v>
      </c>
      <c r="AI939" s="1" t="s">
        <v>171</v>
      </c>
      <c r="AJ939" s="59">
        <v>50</v>
      </c>
      <c r="AK939" s="1"/>
      <c r="AL939" s="60"/>
      <c r="AM939" s="1"/>
      <c r="AN939" s="60"/>
      <c r="AO939" s="1"/>
      <c r="AP939" s="60"/>
      <c r="AQ939" s="1"/>
      <c r="AR939" s="60"/>
      <c r="AS939" s="1"/>
      <c r="AT939" s="60"/>
      <c r="AU939" s="1"/>
      <c r="AV939" s="60"/>
      <c r="AW939" s="1"/>
      <c r="AX939" s="60"/>
      <c r="AY939" s="1"/>
      <c r="AZ939" s="4" t="s">
        <v>163</v>
      </c>
      <c r="BA939" s="1"/>
      <c r="BB939" s="1"/>
      <c r="BC939" s="1"/>
    </row>
    <row r="940" spans="1:55" s="78" customFormat="1" ht="15" customHeight="1" x14ac:dyDescent="0.25">
      <c r="A940" s="52" t="s">
        <v>4949</v>
      </c>
      <c r="B940" s="34" t="s">
        <v>59</v>
      </c>
      <c r="C940" s="53">
        <v>2026</v>
      </c>
      <c r="D940" s="53">
        <v>2026</v>
      </c>
      <c r="E940" s="54" t="s">
        <v>3576</v>
      </c>
      <c r="F940" s="55" t="s">
        <v>50</v>
      </c>
      <c r="G940" s="55" t="s">
        <v>50</v>
      </c>
      <c r="H940" s="45" t="s">
        <v>2198</v>
      </c>
      <c r="I940" s="56" t="s">
        <v>52</v>
      </c>
      <c r="J940" s="56"/>
      <c r="K940" s="55" t="s">
        <v>120</v>
      </c>
      <c r="L940" s="55" t="s">
        <v>54</v>
      </c>
      <c r="M940" s="55" t="s">
        <v>113</v>
      </c>
      <c r="N940" s="55" t="s">
        <v>5354</v>
      </c>
      <c r="O940" s="55"/>
      <c r="P940" s="55" t="s">
        <v>121</v>
      </c>
      <c r="Q940" s="55" t="s">
        <v>57</v>
      </c>
      <c r="R940" s="55"/>
      <c r="S940" s="56" t="s">
        <v>58</v>
      </c>
      <c r="T940" s="55" t="s">
        <v>58</v>
      </c>
      <c r="U940" s="57">
        <v>-999</v>
      </c>
      <c r="V940" s="57" t="s">
        <v>59</v>
      </c>
      <c r="W940" s="55" t="s">
        <v>2319</v>
      </c>
      <c r="X940" s="54" t="s">
        <v>4949</v>
      </c>
      <c r="Y940" s="52"/>
      <c r="Z940" s="3" t="s">
        <v>61</v>
      </c>
      <c r="AA940" s="3" t="s">
        <v>2199</v>
      </c>
      <c r="AB940" s="3"/>
      <c r="AC940" s="3"/>
      <c r="AD940" s="3" t="s">
        <v>62</v>
      </c>
      <c r="AE940" s="3" t="s">
        <v>63</v>
      </c>
      <c r="AF940" s="3"/>
      <c r="AG940" s="3" t="s">
        <v>2200</v>
      </c>
      <c r="AH940" s="58">
        <v>100</v>
      </c>
      <c r="AI940" s="3"/>
      <c r="AJ940" s="3"/>
      <c r="AK940" s="3"/>
      <c r="AL940" s="3"/>
      <c r="AM940" s="3"/>
      <c r="AN940" s="3"/>
      <c r="AO940" s="3"/>
      <c r="AP940" s="3"/>
      <c r="AQ940" s="3"/>
      <c r="AR940" s="3"/>
      <c r="AS940" s="3"/>
      <c r="AT940" s="3"/>
      <c r="AU940" s="3"/>
      <c r="AV940" s="3"/>
      <c r="AW940" s="3"/>
      <c r="AX940" s="3"/>
      <c r="AY940" s="3"/>
      <c r="AZ940" s="4" t="s">
        <v>2197</v>
      </c>
      <c r="BA940" s="3"/>
      <c r="BB940" s="1"/>
      <c r="BC940" s="1"/>
    </row>
    <row r="941" spans="1:55" s="78" customFormat="1" ht="15" customHeight="1" x14ac:dyDescent="0.25">
      <c r="A941" s="52" t="s">
        <v>4950</v>
      </c>
      <c r="B941" s="34" t="s">
        <v>59</v>
      </c>
      <c r="C941" s="53">
        <v>2026</v>
      </c>
      <c r="D941" s="53">
        <v>2026</v>
      </c>
      <c r="E941" s="54" t="s">
        <v>3577</v>
      </c>
      <c r="F941" s="55" t="s">
        <v>50</v>
      </c>
      <c r="G941" s="55" t="s">
        <v>50</v>
      </c>
      <c r="H941" s="45" t="s">
        <v>2202</v>
      </c>
      <c r="I941" s="56" t="s">
        <v>52</v>
      </c>
      <c r="J941" s="56"/>
      <c r="K941" s="56" t="s">
        <v>87</v>
      </c>
      <c r="L941" s="55" t="str">
        <f>IF(K941="Mine or Quarry","Mine","")</f>
        <v/>
      </c>
      <c r="M941" s="55"/>
      <c r="N941" s="56"/>
      <c r="O941" s="56" t="s">
        <v>2893</v>
      </c>
      <c r="P941" s="56" t="s">
        <v>89</v>
      </c>
      <c r="Q941" s="56" t="s">
        <v>89</v>
      </c>
      <c r="R941" s="55"/>
      <c r="S941" s="56" t="s">
        <v>81</v>
      </c>
      <c r="T941" s="55" t="str">
        <f>IF(ISNUMBER(SEARCH(",",N941)),"Y","N")</f>
        <v>N</v>
      </c>
      <c r="U941" s="57">
        <v>-999</v>
      </c>
      <c r="V941" s="57" t="s">
        <v>59</v>
      </c>
      <c r="W941" s="55" t="s">
        <v>2319</v>
      </c>
      <c r="X941" s="54" t="s">
        <v>4950</v>
      </c>
      <c r="Y941" s="52"/>
      <c r="Z941" s="1" t="s">
        <v>61</v>
      </c>
      <c r="AA941" s="1" t="s">
        <v>1663</v>
      </c>
      <c r="AB941" s="1"/>
      <c r="AC941" s="1"/>
      <c r="AD941" s="3" t="s">
        <v>62</v>
      </c>
      <c r="AE941" s="1" t="s">
        <v>387</v>
      </c>
      <c r="AF941" s="1"/>
      <c r="AG941" s="1" t="s">
        <v>1185</v>
      </c>
      <c r="AH941" s="1"/>
      <c r="AI941" s="1"/>
      <c r="AJ941" s="1"/>
      <c r="AK941" s="1"/>
      <c r="AL941" s="1"/>
      <c r="AM941" s="1"/>
      <c r="AN941" s="1"/>
      <c r="AO941" s="1"/>
      <c r="AP941" s="1"/>
      <c r="AQ941" s="1"/>
      <c r="AR941" s="1"/>
      <c r="AS941" s="1"/>
      <c r="AT941" s="1"/>
      <c r="AU941" s="1"/>
      <c r="AV941" s="1"/>
      <c r="AW941" s="1"/>
      <c r="AX941" s="1"/>
      <c r="AY941" s="1"/>
      <c r="AZ941" s="5" t="s">
        <v>2201</v>
      </c>
      <c r="BA941" s="5"/>
      <c r="BB941" s="1"/>
      <c r="BC941" s="1"/>
    </row>
    <row r="942" spans="1:55" s="78" customFormat="1" ht="15" customHeight="1" x14ac:dyDescent="0.25">
      <c r="A942" s="52" t="s">
        <v>4951</v>
      </c>
      <c r="B942" s="34" t="s">
        <v>59</v>
      </c>
      <c r="C942" s="53">
        <v>2026</v>
      </c>
      <c r="D942" s="53">
        <v>2026</v>
      </c>
      <c r="E942" s="54" t="s">
        <v>3578</v>
      </c>
      <c r="F942" s="55" t="s">
        <v>50</v>
      </c>
      <c r="G942" s="55" t="s">
        <v>50</v>
      </c>
      <c r="H942" s="45" t="s">
        <v>2204</v>
      </c>
      <c r="I942" s="61" t="s">
        <v>52</v>
      </c>
      <c r="J942" s="56"/>
      <c r="K942" s="55" t="s">
        <v>133</v>
      </c>
      <c r="L942" s="55" t="s">
        <v>54</v>
      </c>
      <c r="M942" s="55"/>
      <c r="N942" s="55" t="s">
        <v>423</v>
      </c>
      <c r="O942" s="55"/>
      <c r="P942" s="55" t="s">
        <v>134</v>
      </c>
      <c r="Q942" s="55" t="s">
        <v>57</v>
      </c>
      <c r="R942" s="55"/>
      <c r="S942" s="56" t="s">
        <v>81</v>
      </c>
      <c r="T942" s="55" t="s">
        <v>81</v>
      </c>
      <c r="U942" s="57">
        <v>3300</v>
      </c>
      <c r="V942" s="57" t="s">
        <v>101</v>
      </c>
      <c r="W942" s="55" t="s">
        <v>2319</v>
      </c>
      <c r="X942" s="54" t="s">
        <v>4951</v>
      </c>
      <c r="Y942" s="52"/>
      <c r="Z942" s="3" t="s">
        <v>154</v>
      </c>
      <c r="AA942" s="3" t="s">
        <v>679</v>
      </c>
      <c r="AB942" s="3"/>
      <c r="AC942" s="3"/>
      <c r="AD942" s="3" t="s">
        <v>62</v>
      </c>
      <c r="AE942" s="3" t="s">
        <v>464</v>
      </c>
      <c r="AF942" s="3"/>
      <c r="AG942" s="3" t="s">
        <v>2205</v>
      </c>
      <c r="AH942" s="58">
        <v>100</v>
      </c>
      <c r="AI942" s="3"/>
      <c r="AJ942" s="3"/>
      <c r="AK942" s="3"/>
      <c r="AL942" s="3"/>
      <c r="AM942" s="3"/>
      <c r="AN942" s="3"/>
      <c r="AO942" s="3"/>
      <c r="AP942" s="3"/>
      <c r="AQ942" s="3"/>
      <c r="AR942" s="3"/>
      <c r="AS942" s="3"/>
      <c r="AT942" s="3"/>
      <c r="AU942" s="3"/>
      <c r="AV942" s="3"/>
      <c r="AW942" s="3"/>
      <c r="AX942" s="3"/>
      <c r="AY942" s="3"/>
      <c r="AZ942" s="4" t="s">
        <v>2203</v>
      </c>
      <c r="BA942" s="3"/>
      <c r="BB942" s="1"/>
      <c r="BC942" s="1"/>
    </row>
    <row r="943" spans="1:55" s="78" customFormat="1" ht="15" customHeight="1" x14ac:dyDescent="0.25">
      <c r="A943" s="52" t="s">
        <v>4952</v>
      </c>
      <c r="B943" s="34" t="s">
        <v>59</v>
      </c>
      <c r="C943" s="53">
        <v>2026</v>
      </c>
      <c r="D943" s="53">
        <v>2026</v>
      </c>
      <c r="E943" s="54" t="s">
        <v>3579</v>
      </c>
      <c r="F943" s="55" t="s">
        <v>50</v>
      </c>
      <c r="G943" s="55" t="s">
        <v>50</v>
      </c>
      <c r="H943" s="45" t="s">
        <v>2207</v>
      </c>
      <c r="I943" s="56" t="s">
        <v>52</v>
      </c>
      <c r="J943" s="55" t="s">
        <v>384</v>
      </c>
      <c r="K943" s="55" t="s">
        <v>384</v>
      </c>
      <c r="L943" s="55" t="s">
        <v>54</v>
      </c>
      <c r="M943" s="55"/>
      <c r="N943" s="55" t="s">
        <v>55</v>
      </c>
      <c r="O943" s="55" t="s">
        <v>2208</v>
      </c>
      <c r="P943" s="55" t="s">
        <v>2209</v>
      </c>
      <c r="Q943" s="55" t="s">
        <v>5353</v>
      </c>
      <c r="R943" s="55"/>
      <c r="S943" s="56" t="s">
        <v>81</v>
      </c>
      <c r="T943" s="55" t="s">
        <v>58</v>
      </c>
      <c r="U943" s="57">
        <v>19</v>
      </c>
      <c r="V943" s="57" t="s">
        <v>101</v>
      </c>
      <c r="W943" s="55" t="s">
        <v>2319</v>
      </c>
      <c r="X943" s="54" t="s">
        <v>4952</v>
      </c>
      <c r="Y943" s="52"/>
      <c r="Z943" s="1" t="s">
        <v>154</v>
      </c>
      <c r="AA943" s="3" t="s">
        <v>2210</v>
      </c>
      <c r="AB943" s="3"/>
      <c r="AC943" s="3"/>
      <c r="AD943" s="3" t="s">
        <v>62</v>
      </c>
      <c r="AE943" s="3" t="s">
        <v>206</v>
      </c>
      <c r="AF943" s="3"/>
      <c r="AG943" s="3" t="s">
        <v>2211</v>
      </c>
      <c r="AH943" s="58">
        <v>100</v>
      </c>
      <c r="AI943" s="3"/>
      <c r="AJ943" s="3"/>
      <c r="AK943" s="3"/>
      <c r="AL943" s="3"/>
      <c r="AM943" s="3"/>
      <c r="AN943" s="3"/>
      <c r="AO943" s="3"/>
      <c r="AP943" s="3"/>
      <c r="AQ943" s="3"/>
      <c r="AR943" s="3"/>
      <c r="AS943" s="3"/>
      <c r="AT943" s="3"/>
      <c r="AU943" s="3"/>
      <c r="AV943" s="3"/>
      <c r="AW943" s="3"/>
      <c r="AX943" s="3"/>
      <c r="AY943" s="3"/>
      <c r="AZ943" s="4" t="s">
        <v>2206</v>
      </c>
      <c r="BA943" s="3"/>
      <c r="BB943" s="1"/>
      <c r="BC943" s="1"/>
    </row>
    <row r="944" spans="1:55" s="78" customFormat="1" ht="15" customHeight="1" x14ac:dyDescent="0.25">
      <c r="A944" s="52" t="s">
        <v>4953</v>
      </c>
      <c r="B944" s="34" t="s">
        <v>59</v>
      </c>
      <c r="C944" s="53">
        <v>2026</v>
      </c>
      <c r="D944" s="53">
        <v>2026</v>
      </c>
      <c r="E944" s="54" t="s">
        <v>3579</v>
      </c>
      <c r="F944" s="55" t="s">
        <v>50</v>
      </c>
      <c r="G944" s="55" t="s">
        <v>50</v>
      </c>
      <c r="H944" s="45" t="s">
        <v>2207</v>
      </c>
      <c r="I944" s="56" t="s">
        <v>52</v>
      </c>
      <c r="J944" s="55" t="s">
        <v>384</v>
      </c>
      <c r="K944" s="55" t="s">
        <v>384</v>
      </c>
      <c r="L944" s="55" t="s">
        <v>54</v>
      </c>
      <c r="M944" s="55"/>
      <c r="N944" s="55" t="s">
        <v>400</v>
      </c>
      <c r="O944" s="55" t="s">
        <v>2208</v>
      </c>
      <c r="P944" s="55" t="s">
        <v>385</v>
      </c>
      <c r="Q944" s="55" t="s">
        <v>5353</v>
      </c>
      <c r="R944" s="55" t="s">
        <v>2212</v>
      </c>
      <c r="S944" s="56" t="s">
        <v>81</v>
      </c>
      <c r="T944" s="55" t="s">
        <v>58</v>
      </c>
      <c r="U944" s="57">
        <v>25</v>
      </c>
      <c r="V944" s="57" t="s">
        <v>101</v>
      </c>
      <c r="W944" s="55" t="s">
        <v>2319</v>
      </c>
      <c r="X944" s="54" t="s">
        <v>4953</v>
      </c>
      <c r="Y944" s="52"/>
      <c r="Z944" s="1" t="s">
        <v>154</v>
      </c>
      <c r="AA944" s="3" t="s">
        <v>2210</v>
      </c>
      <c r="AB944" s="3"/>
      <c r="AC944" s="3"/>
      <c r="AD944" s="3" t="s">
        <v>62</v>
      </c>
      <c r="AE944" s="3" t="s">
        <v>206</v>
      </c>
      <c r="AF944" s="3"/>
      <c r="AG944" s="3" t="s">
        <v>2211</v>
      </c>
      <c r="AH944" s="58">
        <v>100</v>
      </c>
      <c r="AI944" s="3"/>
      <c r="AJ944" s="3"/>
      <c r="AK944" s="3"/>
      <c r="AL944" s="3"/>
      <c r="AM944" s="3"/>
      <c r="AN944" s="3"/>
      <c r="AO944" s="3"/>
      <c r="AP944" s="3"/>
      <c r="AQ944" s="3"/>
      <c r="AR944" s="3"/>
      <c r="AS944" s="3"/>
      <c r="AT944" s="3"/>
      <c r="AU944" s="3"/>
      <c r="AV944" s="3"/>
      <c r="AW944" s="3"/>
      <c r="AX944" s="3"/>
      <c r="AY944" s="3"/>
      <c r="AZ944" s="4" t="s">
        <v>2206</v>
      </c>
      <c r="BA944" s="3"/>
      <c r="BB944" s="1"/>
      <c r="BC944" s="1"/>
    </row>
    <row r="945" spans="1:55" s="78" customFormat="1" ht="15" customHeight="1" x14ac:dyDescent="0.25">
      <c r="A945" s="52" t="s">
        <v>4954</v>
      </c>
      <c r="B945" s="34" t="s">
        <v>59</v>
      </c>
      <c r="C945" s="53">
        <v>2026</v>
      </c>
      <c r="D945" s="53">
        <v>2026</v>
      </c>
      <c r="E945" s="54" t="s">
        <v>3579</v>
      </c>
      <c r="F945" s="55" t="s">
        <v>50</v>
      </c>
      <c r="G945" s="55" t="s">
        <v>50</v>
      </c>
      <c r="H945" s="45" t="s">
        <v>2207</v>
      </c>
      <c r="I945" s="56" t="s">
        <v>52</v>
      </c>
      <c r="J945" s="55" t="s">
        <v>384</v>
      </c>
      <c r="K945" s="55" t="s">
        <v>384</v>
      </c>
      <c r="L945" s="55" t="s">
        <v>54</v>
      </c>
      <c r="M945" s="55"/>
      <c r="N945" s="55" t="s">
        <v>55</v>
      </c>
      <c r="O945" s="55" t="s">
        <v>2213</v>
      </c>
      <c r="P945" s="55" t="s">
        <v>2214</v>
      </c>
      <c r="Q945" s="55" t="s">
        <v>57</v>
      </c>
      <c r="R945" s="55"/>
      <c r="S945" s="56" t="s">
        <v>81</v>
      </c>
      <c r="T945" s="55" t="s">
        <v>58</v>
      </c>
      <c r="U945" s="57">
        <v>123</v>
      </c>
      <c r="V945" s="57" t="s">
        <v>101</v>
      </c>
      <c r="W945" s="55" t="s">
        <v>2319</v>
      </c>
      <c r="X945" s="54" t="s">
        <v>4954</v>
      </c>
      <c r="Y945" s="52"/>
      <c r="Z945" s="1" t="s">
        <v>154</v>
      </c>
      <c r="AA945" s="3" t="s">
        <v>2210</v>
      </c>
      <c r="AB945" s="3"/>
      <c r="AC945" s="3"/>
      <c r="AD945" s="3" t="s">
        <v>62</v>
      </c>
      <c r="AE945" s="3" t="s">
        <v>206</v>
      </c>
      <c r="AF945" s="3"/>
      <c r="AG945" s="3" t="s">
        <v>2211</v>
      </c>
      <c r="AH945" s="58">
        <v>100</v>
      </c>
      <c r="AI945" s="3"/>
      <c r="AJ945" s="3"/>
      <c r="AK945" s="3"/>
      <c r="AL945" s="3"/>
      <c r="AM945" s="3"/>
      <c r="AN945" s="3"/>
      <c r="AO945" s="3"/>
      <c r="AP945" s="3"/>
      <c r="AQ945" s="3"/>
      <c r="AR945" s="3"/>
      <c r="AS945" s="3"/>
      <c r="AT945" s="3"/>
      <c r="AU945" s="3"/>
      <c r="AV945" s="3"/>
      <c r="AW945" s="3"/>
      <c r="AX945" s="3"/>
      <c r="AY945" s="3"/>
      <c r="AZ945" s="4" t="s">
        <v>2206</v>
      </c>
      <c r="BA945" s="3"/>
      <c r="BB945" s="1"/>
      <c r="BC945" s="1"/>
    </row>
    <row r="946" spans="1:55" s="78" customFormat="1" ht="15" customHeight="1" x14ac:dyDescent="0.25">
      <c r="A946" s="52" t="s">
        <v>4955</v>
      </c>
      <c r="B946" s="34" t="s">
        <v>59</v>
      </c>
      <c r="C946" s="53">
        <v>2026</v>
      </c>
      <c r="D946" s="53">
        <v>2026</v>
      </c>
      <c r="E946" s="54" t="s">
        <v>3579</v>
      </c>
      <c r="F946" s="55" t="s">
        <v>50</v>
      </c>
      <c r="G946" s="55" t="s">
        <v>50</v>
      </c>
      <c r="H946" s="45" t="s">
        <v>2207</v>
      </c>
      <c r="I946" s="56" t="s">
        <v>52</v>
      </c>
      <c r="J946" s="55" t="s">
        <v>384</v>
      </c>
      <c r="K946" s="55" t="s">
        <v>384</v>
      </c>
      <c r="L946" s="55" t="s">
        <v>54</v>
      </c>
      <c r="M946" s="55"/>
      <c r="N946" s="55" t="s">
        <v>400</v>
      </c>
      <c r="O946" s="55" t="s">
        <v>2215</v>
      </c>
      <c r="P946" s="55" t="s">
        <v>385</v>
      </c>
      <c r="Q946" s="55" t="s">
        <v>57</v>
      </c>
      <c r="R946" s="55" t="s">
        <v>2216</v>
      </c>
      <c r="S946" s="56" t="s">
        <v>81</v>
      </c>
      <c r="T946" s="55" t="s">
        <v>58</v>
      </c>
      <c r="U946" s="57">
        <v>148</v>
      </c>
      <c r="V946" s="57" t="s">
        <v>101</v>
      </c>
      <c r="W946" s="55" t="s">
        <v>2319</v>
      </c>
      <c r="X946" s="54" t="s">
        <v>4955</v>
      </c>
      <c r="Y946" s="52"/>
      <c r="Z946" s="1" t="s">
        <v>154</v>
      </c>
      <c r="AA946" s="3" t="s">
        <v>2210</v>
      </c>
      <c r="AB946" s="3"/>
      <c r="AC946" s="3"/>
      <c r="AD946" s="3" t="s">
        <v>62</v>
      </c>
      <c r="AE946" s="3" t="s">
        <v>206</v>
      </c>
      <c r="AF946" s="3"/>
      <c r="AG946" s="3" t="s">
        <v>2211</v>
      </c>
      <c r="AH946" s="58">
        <v>100</v>
      </c>
      <c r="AI946" s="3"/>
      <c r="AJ946" s="3"/>
      <c r="AK946" s="3"/>
      <c r="AL946" s="3"/>
      <c r="AM946" s="3"/>
      <c r="AN946" s="3"/>
      <c r="AO946" s="3"/>
      <c r="AP946" s="3"/>
      <c r="AQ946" s="3"/>
      <c r="AR946" s="3"/>
      <c r="AS946" s="3"/>
      <c r="AT946" s="3"/>
      <c r="AU946" s="3"/>
      <c r="AV946" s="3"/>
      <c r="AW946" s="3"/>
      <c r="AX946" s="3"/>
      <c r="AY946" s="3"/>
      <c r="AZ946" s="4" t="s">
        <v>2206</v>
      </c>
      <c r="BA946" s="3"/>
      <c r="BB946" s="1"/>
      <c r="BC946" s="1"/>
    </row>
    <row r="947" spans="1:55" s="78" customFormat="1" ht="15" customHeight="1" x14ac:dyDescent="0.25">
      <c r="A947" s="52" t="s">
        <v>4956</v>
      </c>
      <c r="B947" s="34" t="s">
        <v>59</v>
      </c>
      <c r="C947" s="53">
        <v>2026</v>
      </c>
      <c r="D947" s="53">
        <v>2026</v>
      </c>
      <c r="E947" s="54" t="s">
        <v>3579</v>
      </c>
      <c r="F947" s="55" t="s">
        <v>50</v>
      </c>
      <c r="G947" s="55" t="s">
        <v>50</v>
      </c>
      <c r="H947" s="45" t="s">
        <v>2207</v>
      </c>
      <c r="I947" s="56" t="s">
        <v>52</v>
      </c>
      <c r="J947" s="55" t="s">
        <v>384</v>
      </c>
      <c r="K947" s="55" t="s">
        <v>384</v>
      </c>
      <c r="L947" s="55" t="s">
        <v>54</v>
      </c>
      <c r="M947" s="55"/>
      <c r="N947" s="55" t="s">
        <v>400</v>
      </c>
      <c r="O947" s="55" t="s">
        <v>1873</v>
      </c>
      <c r="P947" s="55" t="s">
        <v>2217</v>
      </c>
      <c r="Q947" s="55" t="s">
        <v>5353</v>
      </c>
      <c r="R947" s="55"/>
      <c r="S947" s="56" t="s">
        <v>81</v>
      </c>
      <c r="T947" s="55" t="s">
        <v>58</v>
      </c>
      <c r="U947" s="57">
        <v>811</v>
      </c>
      <c r="V947" s="57" t="s">
        <v>101</v>
      </c>
      <c r="W947" s="55" t="s">
        <v>2319</v>
      </c>
      <c r="X947" s="54" t="s">
        <v>4956</v>
      </c>
      <c r="Y947" s="52"/>
      <c r="Z947" s="1" t="s">
        <v>154</v>
      </c>
      <c r="AA947" s="3" t="s">
        <v>2210</v>
      </c>
      <c r="AB947" s="3"/>
      <c r="AC947" s="3"/>
      <c r="AD947" s="3" t="s">
        <v>62</v>
      </c>
      <c r="AE947" s="3" t="s">
        <v>206</v>
      </c>
      <c r="AF947" s="3"/>
      <c r="AG947" s="3" t="s">
        <v>2211</v>
      </c>
      <c r="AH947" s="58">
        <v>100</v>
      </c>
      <c r="AI947" s="3"/>
      <c r="AJ947" s="3"/>
      <c r="AK947" s="3"/>
      <c r="AL947" s="3"/>
      <c r="AM947" s="3"/>
      <c r="AN947" s="3"/>
      <c r="AO947" s="3"/>
      <c r="AP947" s="3"/>
      <c r="AQ947" s="3"/>
      <c r="AR947" s="3"/>
      <c r="AS947" s="3"/>
      <c r="AT947" s="3"/>
      <c r="AU947" s="3"/>
      <c r="AV947" s="3"/>
      <c r="AW947" s="3"/>
      <c r="AX947" s="3"/>
      <c r="AY947" s="3"/>
      <c r="AZ947" s="4" t="s">
        <v>2206</v>
      </c>
      <c r="BA947" s="3"/>
      <c r="BB947" s="1"/>
      <c r="BC947" s="1"/>
    </row>
    <row r="948" spans="1:55" s="78" customFormat="1" ht="15" customHeight="1" x14ac:dyDescent="0.25">
      <c r="A948" s="52" t="s">
        <v>4957</v>
      </c>
      <c r="B948" s="34" t="s">
        <v>59</v>
      </c>
      <c r="C948" s="53">
        <v>2026</v>
      </c>
      <c r="D948" s="53">
        <v>2026</v>
      </c>
      <c r="E948" s="54" t="s">
        <v>3579</v>
      </c>
      <c r="F948" s="55" t="s">
        <v>50</v>
      </c>
      <c r="G948" s="55" t="s">
        <v>50</v>
      </c>
      <c r="H948" s="45" t="s">
        <v>2207</v>
      </c>
      <c r="I948" s="56" t="s">
        <v>52</v>
      </c>
      <c r="J948" s="55" t="s">
        <v>384</v>
      </c>
      <c r="K948" s="55" t="s">
        <v>384</v>
      </c>
      <c r="L948" s="55" t="s">
        <v>54</v>
      </c>
      <c r="M948" s="55"/>
      <c r="N948" s="55" t="s">
        <v>400</v>
      </c>
      <c r="O948" s="55" t="s">
        <v>1872</v>
      </c>
      <c r="P948" s="55" t="s">
        <v>385</v>
      </c>
      <c r="Q948" s="55" t="s">
        <v>5353</v>
      </c>
      <c r="R948" s="55" t="s">
        <v>2218</v>
      </c>
      <c r="S948" s="56" t="s">
        <v>81</v>
      </c>
      <c r="T948" s="55" t="s">
        <v>58</v>
      </c>
      <c r="U948" s="57">
        <v>1131</v>
      </c>
      <c r="V948" s="57" t="s">
        <v>101</v>
      </c>
      <c r="W948" s="55" t="s">
        <v>2319</v>
      </c>
      <c r="X948" s="54" t="s">
        <v>4957</v>
      </c>
      <c r="Y948" s="52"/>
      <c r="Z948" s="1" t="s">
        <v>154</v>
      </c>
      <c r="AA948" s="3" t="s">
        <v>2210</v>
      </c>
      <c r="AB948" s="3"/>
      <c r="AC948" s="3"/>
      <c r="AD948" s="3" t="s">
        <v>62</v>
      </c>
      <c r="AE948" s="3" t="s">
        <v>206</v>
      </c>
      <c r="AF948" s="3"/>
      <c r="AG948" s="3" t="s">
        <v>2211</v>
      </c>
      <c r="AH948" s="58">
        <v>100</v>
      </c>
      <c r="AI948" s="3"/>
      <c r="AJ948" s="3"/>
      <c r="AK948" s="3"/>
      <c r="AL948" s="3"/>
      <c r="AM948" s="3"/>
      <c r="AN948" s="3"/>
      <c r="AO948" s="3"/>
      <c r="AP948" s="3"/>
      <c r="AQ948" s="3"/>
      <c r="AR948" s="3"/>
      <c r="AS948" s="3"/>
      <c r="AT948" s="3"/>
      <c r="AU948" s="3"/>
      <c r="AV948" s="3"/>
      <c r="AW948" s="3"/>
      <c r="AX948" s="3"/>
      <c r="AY948" s="3"/>
      <c r="AZ948" s="4" t="s">
        <v>2206</v>
      </c>
      <c r="BA948" s="3"/>
      <c r="BB948" s="1"/>
      <c r="BC948" s="1"/>
    </row>
    <row r="949" spans="1:55" s="78" customFormat="1" ht="15" customHeight="1" x14ac:dyDescent="0.25">
      <c r="A949" s="52" t="s">
        <v>4958</v>
      </c>
      <c r="B949" s="34" t="s">
        <v>59</v>
      </c>
      <c r="C949" s="53">
        <v>2026</v>
      </c>
      <c r="D949" s="53">
        <v>2026</v>
      </c>
      <c r="E949" s="54" t="s">
        <v>3580</v>
      </c>
      <c r="F949" s="55" t="s">
        <v>50</v>
      </c>
      <c r="G949" s="55" t="s">
        <v>50</v>
      </c>
      <c r="H949" s="45" t="s">
        <v>2220</v>
      </c>
      <c r="I949" s="56" t="s">
        <v>78</v>
      </c>
      <c r="J949" s="56"/>
      <c r="K949" s="56" t="s">
        <v>53</v>
      </c>
      <c r="L949" s="55" t="s">
        <v>88</v>
      </c>
      <c r="M949" s="55"/>
      <c r="N949" s="56" t="s">
        <v>110</v>
      </c>
      <c r="O949" s="56"/>
      <c r="P949" s="55" t="s">
        <v>56</v>
      </c>
      <c r="Q949" s="55" t="s">
        <v>57</v>
      </c>
      <c r="R949" s="55"/>
      <c r="S949" s="56" t="s">
        <v>58</v>
      </c>
      <c r="T949" s="55" t="str">
        <f>IF(ISNUMBER(SEARCH(",",N949)),"Y","N")</f>
        <v>N</v>
      </c>
      <c r="U949" s="57">
        <v>30000</v>
      </c>
      <c r="V949" s="57" t="s">
        <v>101</v>
      </c>
      <c r="W949" s="55" t="s">
        <v>2319</v>
      </c>
      <c r="X949" s="54" t="s">
        <v>4958</v>
      </c>
      <c r="Y949" s="52"/>
      <c r="Z949" s="1" t="s">
        <v>61</v>
      </c>
      <c r="AA949" s="1" t="s">
        <v>2221</v>
      </c>
      <c r="AB949" s="1"/>
      <c r="AC949" s="1"/>
      <c r="AD949" s="3" t="s">
        <v>62</v>
      </c>
      <c r="AE949" s="1" t="s">
        <v>83</v>
      </c>
      <c r="AF949" s="3" t="s">
        <v>2222</v>
      </c>
      <c r="AG949" s="3" t="s">
        <v>2222</v>
      </c>
      <c r="AH949" s="58"/>
      <c r="AI949" s="1"/>
      <c r="AJ949" s="1"/>
      <c r="AK949" s="1"/>
      <c r="AL949" s="1"/>
      <c r="AM949" s="1"/>
      <c r="AN949" s="1"/>
      <c r="AO949" s="1"/>
      <c r="AP949" s="1"/>
      <c r="AQ949" s="1"/>
      <c r="AR949" s="1"/>
      <c r="AS949" s="1"/>
      <c r="AT949" s="1"/>
      <c r="AU949" s="1"/>
      <c r="AV949" s="1"/>
      <c r="AW949" s="1"/>
      <c r="AX949" s="1"/>
      <c r="AY949" s="1"/>
      <c r="AZ949" s="4" t="s">
        <v>2219</v>
      </c>
      <c r="BA949" s="5"/>
      <c r="BB949" s="1"/>
      <c r="BC949" s="1"/>
    </row>
    <row r="950" spans="1:55" s="78" customFormat="1" ht="15" customHeight="1" x14ac:dyDescent="0.25">
      <c r="A950" s="52" t="s">
        <v>4959</v>
      </c>
      <c r="B950" s="34" t="s">
        <v>59</v>
      </c>
      <c r="C950" s="53">
        <v>2026</v>
      </c>
      <c r="D950" s="53">
        <v>2026</v>
      </c>
      <c r="E950" s="54" t="s">
        <v>3580</v>
      </c>
      <c r="F950" s="55" t="s">
        <v>50</v>
      </c>
      <c r="G950" s="55" t="s">
        <v>50</v>
      </c>
      <c r="H950" s="45" t="s">
        <v>2220</v>
      </c>
      <c r="I950" s="56" t="s">
        <v>78</v>
      </c>
      <c r="J950" s="56"/>
      <c r="K950" s="56" t="s">
        <v>71</v>
      </c>
      <c r="L950" s="55" t="s">
        <v>88</v>
      </c>
      <c r="M950" s="55"/>
      <c r="N950" s="56" t="s">
        <v>110</v>
      </c>
      <c r="O950" s="56"/>
      <c r="P950" s="55" t="s">
        <v>73</v>
      </c>
      <c r="Q950" s="55" t="s">
        <v>57</v>
      </c>
      <c r="R950" s="55"/>
      <c r="S950" s="56" t="s">
        <v>58</v>
      </c>
      <c r="T950" s="55" t="s">
        <v>81</v>
      </c>
      <c r="U950" s="57">
        <v>0.63800000000000001</v>
      </c>
      <c r="V950" s="57" t="s">
        <v>101</v>
      </c>
      <c r="W950" s="55" t="s">
        <v>2319</v>
      </c>
      <c r="X950" s="54" t="s">
        <v>4959</v>
      </c>
      <c r="Y950" s="52"/>
      <c r="Z950" s="56" t="s">
        <v>61</v>
      </c>
      <c r="AA950" s="1" t="s">
        <v>2221</v>
      </c>
      <c r="AB950" s="1"/>
      <c r="AC950" s="1"/>
      <c r="AD950" s="3" t="s">
        <v>62</v>
      </c>
      <c r="AE950" s="45" t="s">
        <v>83</v>
      </c>
      <c r="AF950" s="3" t="s">
        <v>2222</v>
      </c>
      <c r="AG950" s="3" t="s">
        <v>2222</v>
      </c>
      <c r="AH950" s="58"/>
      <c r="AI950" s="56"/>
      <c r="AJ950" s="56"/>
      <c r="AK950" s="56"/>
      <c r="AL950" s="56"/>
      <c r="AM950" s="56"/>
      <c r="AN950" s="56"/>
      <c r="AO950" s="56"/>
      <c r="AP950" s="56"/>
      <c r="AQ950" s="56"/>
      <c r="AR950" s="56"/>
      <c r="AS950" s="56"/>
      <c r="AT950" s="56"/>
      <c r="AU950" s="56"/>
      <c r="AV950" s="56"/>
      <c r="AW950" s="56"/>
      <c r="AX950" s="56"/>
      <c r="AY950" s="56"/>
      <c r="AZ950" s="4" t="s">
        <v>2219</v>
      </c>
      <c r="BA950" s="5"/>
      <c r="BB950" s="1"/>
      <c r="BC950" s="1"/>
    </row>
    <row r="951" spans="1:55" s="78" customFormat="1" ht="15" customHeight="1" x14ac:dyDescent="0.25">
      <c r="A951" s="52" t="s">
        <v>4960</v>
      </c>
      <c r="B951" s="34" t="s">
        <v>59</v>
      </c>
      <c r="C951" s="53">
        <v>2026</v>
      </c>
      <c r="D951" s="53">
        <v>2026</v>
      </c>
      <c r="E951" s="54" t="s">
        <v>3580</v>
      </c>
      <c r="F951" s="55" t="s">
        <v>50</v>
      </c>
      <c r="G951" s="55" t="s">
        <v>50</v>
      </c>
      <c r="H951" s="45" t="s">
        <v>2220</v>
      </c>
      <c r="I951" s="56" t="s">
        <v>78</v>
      </c>
      <c r="J951" s="56"/>
      <c r="K951" s="56" t="s">
        <v>74</v>
      </c>
      <c r="L951" s="55" t="s">
        <v>88</v>
      </c>
      <c r="M951" s="55"/>
      <c r="N951" s="56" t="s">
        <v>110</v>
      </c>
      <c r="O951" s="56"/>
      <c r="P951" s="55" t="s">
        <v>75</v>
      </c>
      <c r="Q951" s="56" t="s">
        <v>57</v>
      </c>
      <c r="R951" s="55"/>
      <c r="S951" s="56" t="s">
        <v>58</v>
      </c>
      <c r="T951" s="55" t="s">
        <v>81</v>
      </c>
      <c r="U951" s="57">
        <v>19.815999999999999</v>
      </c>
      <c r="V951" s="57" t="s">
        <v>101</v>
      </c>
      <c r="W951" s="55" t="s">
        <v>2319</v>
      </c>
      <c r="X951" s="54" t="s">
        <v>4960</v>
      </c>
      <c r="Y951" s="52"/>
      <c r="Z951" s="56" t="s">
        <v>61</v>
      </c>
      <c r="AA951" s="1" t="s">
        <v>2221</v>
      </c>
      <c r="AB951" s="1"/>
      <c r="AC951" s="1"/>
      <c r="AD951" s="3" t="s">
        <v>62</v>
      </c>
      <c r="AE951" s="45" t="s">
        <v>83</v>
      </c>
      <c r="AF951" s="3" t="s">
        <v>2222</v>
      </c>
      <c r="AG951" s="3" t="s">
        <v>2222</v>
      </c>
      <c r="AH951" s="58"/>
      <c r="AI951" s="1"/>
      <c r="AJ951" s="56"/>
      <c r="AK951" s="56"/>
      <c r="AL951" s="56"/>
      <c r="AM951" s="56"/>
      <c r="AN951" s="56"/>
      <c r="AO951" s="56"/>
      <c r="AP951" s="56"/>
      <c r="AQ951" s="56"/>
      <c r="AR951" s="56"/>
      <c r="AS951" s="56"/>
      <c r="AT951" s="56"/>
      <c r="AU951" s="56"/>
      <c r="AV951" s="56"/>
      <c r="AW951" s="56"/>
      <c r="AX951" s="56"/>
      <c r="AY951" s="56"/>
      <c r="AZ951" s="4" t="s">
        <v>2219</v>
      </c>
      <c r="BA951" s="5"/>
      <c r="BB951" s="1"/>
      <c r="BC951" s="1"/>
    </row>
    <row r="952" spans="1:55" s="78" customFormat="1" ht="15" customHeight="1" x14ac:dyDescent="0.25">
      <c r="A952" s="52" t="s">
        <v>4961</v>
      </c>
      <c r="B952" s="34" t="s">
        <v>59</v>
      </c>
      <c r="C952" s="53">
        <v>2026</v>
      </c>
      <c r="D952" s="53">
        <v>2026</v>
      </c>
      <c r="E952" s="54" t="s">
        <v>3581</v>
      </c>
      <c r="F952" s="55" t="s">
        <v>50</v>
      </c>
      <c r="G952" s="55" t="s">
        <v>50</v>
      </c>
      <c r="H952" s="45" t="s">
        <v>2224</v>
      </c>
      <c r="I952" s="56" t="s">
        <v>52</v>
      </c>
      <c r="J952" s="56"/>
      <c r="K952" s="55" t="s">
        <v>313</v>
      </c>
      <c r="L952" s="55"/>
      <c r="M952" s="55" t="s">
        <v>113</v>
      </c>
      <c r="N952" s="56" t="s">
        <v>149</v>
      </c>
      <c r="O952" s="56" t="s">
        <v>1269</v>
      </c>
      <c r="P952" s="56" t="s">
        <v>314</v>
      </c>
      <c r="Q952" s="61" t="s">
        <v>57</v>
      </c>
      <c r="R952" s="55"/>
      <c r="S952" s="56" t="s">
        <v>81</v>
      </c>
      <c r="T952" s="55" t="s">
        <v>81</v>
      </c>
      <c r="U952" s="57">
        <v>-999</v>
      </c>
      <c r="V952" s="57" t="s">
        <v>59</v>
      </c>
      <c r="W952" s="55" t="s">
        <v>2319</v>
      </c>
      <c r="X952" s="54" t="s">
        <v>4961</v>
      </c>
      <c r="Y952" s="52"/>
      <c r="Z952" s="2" t="s">
        <v>61</v>
      </c>
      <c r="AA952" s="1" t="s">
        <v>825</v>
      </c>
      <c r="AB952" s="1"/>
      <c r="AC952" s="1"/>
      <c r="AD952" s="3" t="s">
        <v>62</v>
      </c>
      <c r="AE952" s="2" t="s">
        <v>695</v>
      </c>
      <c r="AF952" s="1" t="s">
        <v>2225</v>
      </c>
      <c r="AG952" s="1" t="s">
        <v>2226</v>
      </c>
      <c r="AH952" s="2">
        <v>100</v>
      </c>
      <c r="AI952" s="1"/>
      <c r="AJ952" s="1"/>
      <c r="AK952" s="1"/>
      <c r="AL952" s="1"/>
      <c r="AM952" s="1"/>
      <c r="AN952" s="1"/>
      <c r="AO952" s="1"/>
      <c r="AP952" s="1"/>
      <c r="AQ952" s="1"/>
      <c r="AR952" s="1"/>
      <c r="AS952" s="1"/>
      <c r="AT952" s="1"/>
      <c r="AU952" s="1"/>
      <c r="AV952" s="1"/>
      <c r="AW952" s="1"/>
      <c r="AX952" s="1"/>
      <c r="AY952" s="1"/>
      <c r="AZ952" s="4" t="s">
        <v>2223</v>
      </c>
      <c r="BA952" s="1"/>
      <c r="BB952" s="1"/>
      <c r="BC952" s="1"/>
    </row>
    <row r="953" spans="1:55" s="78" customFormat="1" ht="15" customHeight="1" x14ac:dyDescent="0.25">
      <c r="A953" s="52" t="s">
        <v>4962</v>
      </c>
      <c r="B953" s="34" t="s">
        <v>59</v>
      </c>
      <c r="C953" s="53">
        <v>2026</v>
      </c>
      <c r="D953" s="53">
        <v>2026</v>
      </c>
      <c r="E953" s="54" t="s">
        <v>3582</v>
      </c>
      <c r="F953" s="55" t="s">
        <v>50</v>
      </c>
      <c r="G953" s="55" t="s">
        <v>50</v>
      </c>
      <c r="H953" s="45" t="s">
        <v>2232</v>
      </c>
      <c r="I953" s="45" t="s">
        <v>52</v>
      </c>
      <c r="J953" s="56"/>
      <c r="K953" s="55" t="s">
        <v>490</v>
      </c>
      <c r="L953" s="55" t="s">
        <v>54</v>
      </c>
      <c r="M953" s="55" t="s">
        <v>127</v>
      </c>
      <c r="N953" s="55" t="s">
        <v>2233</v>
      </c>
      <c r="O953" s="55"/>
      <c r="P953" s="55" t="s">
        <v>492</v>
      </c>
      <c r="Q953" s="55" t="s">
        <v>57</v>
      </c>
      <c r="R953" s="55"/>
      <c r="S953" s="56" t="s">
        <v>81</v>
      </c>
      <c r="T953" s="55" t="s">
        <v>81</v>
      </c>
      <c r="U953" s="57">
        <v>-999</v>
      </c>
      <c r="V953" s="57" t="s">
        <v>59</v>
      </c>
      <c r="W953" s="55" t="s">
        <v>2319</v>
      </c>
      <c r="X953" s="54" t="s">
        <v>4962</v>
      </c>
      <c r="Y953" s="52"/>
      <c r="Z953" s="3" t="s">
        <v>61</v>
      </c>
      <c r="AA953" s="3" t="s">
        <v>2229</v>
      </c>
      <c r="AB953" s="3"/>
      <c r="AC953" s="3"/>
      <c r="AD953" s="3" t="s">
        <v>62</v>
      </c>
      <c r="AE953" s="3" t="s">
        <v>192</v>
      </c>
      <c r="AF953" s="3"/>
      <c r="AG953" s="3" t="s">
        <v>494</v>
      </c>
      <c r="AH953" s="58"/>
      <c r="AI953" s="3"/>
      <c r="AJ953" s="3"/>
      <c r="AK953" s="3"/>
      <c r="AL953" s="3"/>
      <c r="AM953" s="3"/>
      <c r="AN953" s="3"/>
      <c r="AO953" s="3"/>
      <c r="AP953" s="3"/>
      <c r="AQ953" s="3"/>
      <c r="AR953" s="3"/>
      <c r="AS953" s="3"/>
      <c r="AT953" s="3"/>
      <c r="AU953" s="3"/>
      <c r="AV953" s="3"/>
      <c r="AW953" s="3"/>
      <c r="AX953" s="3"/>
      <c r="AY953" s="3"/>
      <c r="AZ953" s="4" t="s">
        <v>488</v>
      </c>
      <c r="BA953" s="3"/>
      <c r="BB953" s="1"/>
      <c r="BC953" s="1"/>
    </row>
    <row r="954" spans="1:55" s="78" customFormat="1" ht="15" customHeight="1" x14ac:dyDescent="0.25">
      <c r="A954" s="52" t="s">
        <v>4963</v>
      </c>
      <c r="B954" s="34" t="s">
        <v>59</v>
      </c>
      <c r="C954" s="53">
        <v>2026</v>
      </c>
      <c r="D954" s="53">
        <v>2026</v>
      </c>
      <c r="E954" s="54" t="s">
        <v>3583</v>
      </c>
      <c r="F954" s="55" t="s">
        <v>50</v>
      </c>
      <c r="G954" s="55" t="s">
        <v>50</v>
      </c>
      <c r="H954" s="45" t="s">
        <v>2227</v>
      </c>
      <c r="I954" s="45" t="s">
        <v>52</v>
      </c>
      <c r="J954" s="56"/>
      <c r="K954" s="55" t="s">
        <v>831</v>
      </c>
      <c r="L954" s="55" t="s">
        <v>54</v>
      </c>
      <c r="M954" s="55"/>
      <c r="N954" s="55" t="s">
        <v>833</v>
      </c>
      <c r="O954" s="55" t="s">
        <v>2228</v>
      </c>
      <c r="P954" s="55" t="s">
        <v>832</v>
      </c>
      <c r="Q954" s="55" t="s">
        <v>57</v>
      </c>
      <c r="R954" s="55"/>
      <c r="S954" s="56" t="s">
        <v>81</v>
      </c>
      <c r="T954" s="55" t="s">
        <v>81</v>
      </c>
      <c r="U954" s="57">
        <v>-999</v>
      </c>
      <c r="V954" s="57" t="s">
        <v>59</v>
      </c>
      <c r="W954" s="55" t="s">
        <v>2319</v>
      </c>
      <c r="X954" s="54" t="s">
        <v>4963</v>
      </c>
      <c r="Y954" s="52"/>
      <c r="Z954" s="3" t="s">
        <v>61</v>
      </c>
      <c r="AA954" s="3" t="s">
        <v>2229</v>
      </c>
      <c r="AB954" s="3"/>
      <c r="AC954" s="3"/>
      <c r="AD954" s="3" t="s">
        <v>62</v>
      </c>
      <c r="AE954" s="3" t="s">
        <v>192</v>
      </c>
      <c r="AF954" s="3" t="s">
        <v>2230</v>
      </c>
      <c r="AG954" s="3" t="s">
        <v>2231</v>
      </c>
      <c r="AH954" s="58">
        <v>100</v>
      </c>
      <c r="AI954" s="3"/>
      <c r="AJ954" s="3"/>
      <c r="AK954" s="3"/>
      <c r="AL954" s="3"/>
      <c r="AM954" s="3"/>
      <c r="AN954" s="3"/>
      <c r="AO954" s="3"/>
      <c r="AP954" s="3"/>
      <c r="AQ954" s="3"/>
      <c r="AR954" s="3"/>
      <c r="AS954" s="3"/>
      <c r="AT954" s="3"/>
      <c r="AU954" s="3"/>
      <c r="AV954" s="3"/>
      <c r="AW954" s="3"/>
      <c r="AX954" s="3"/>
      <c r="AY954" s="3"/>
      <c r="AZ954" s="4" t="s">
        <v>1767</v>
      </c>
      <c r="BA954" s="3"/>
      <c r="BB954" s="1"/>
      <c r="BC954" s="1"/>
    </row>
    <row r="955" spans="1:55" s="78" customFormat="1" ht="15" customHeight="1" x14ac:dyDescent="0.25">
      <c r="A955" s="52" t="s">
        <v>4964</v>
      </c>
      <c r="B955" s="34" t="s">
        <v>59</v>
      </c>
      <c r="C955" s="53">
        <v>2026</v>
      </c>
      <c r="D955" s="53">
        <v>2026</v>
      </c>
      <c r="E955" s="54" t="s">
        <v>3584</v>
      </c>
      <c r="F955" s="55" t="s">
        <v>50</v>
      </c>
      <c r="G955" s="55" t="s">
        <v>50</v>
      </c>
      <c r="H955" s="45" t="s">
        <v>2234</v>
      </c>
      <c r="I955" s="45" t="s">
        <v>52</v>
      </c>
      <c r="J955" s="56" t="s">
        <v>165</v>
      </c>
      <c r="K955" s="56" t="s">
        <v>166</v>
      </c>
      <c r="L955" s="55"/>
      <c r="M955" s="55"/>
      <c r="N955" s="56" t="s">
        <v>280</v>
      </c>
      <c r="O955" s="56"/>
      <c r="P955" s="56" t="s">
        <v>89</v>
      </c>
      <c r="Q955" s="56" t="s">
        <v>89</v>
      </c>
      <c r="R955" s="55"/>
      <c r="S955" s="56" t="s">
        <v>81</v>
      </c>
      <c r="T955" s="55" t="s">
        <v>81</v>
      </c>
      <c r="U955" s="57">
        <v>-999</v>
      </c>
      <c r="V955" s="57" t="s">
        <v>59</v>
      </c>
      <c r="W955" s="55" t="s">
        <v>2319</v>
      </c>
      <c r="X955" s="54" t="s">
        <v>4964</v>
      </c>
      <c r="Y955" s="52"/>
      <c r="Z955" s="1" t="s">
        <v>61</v>
      </c>
      <c r="AA955" s="1" t="s">
        <v>2235</v>
      </c>
      <c r="AB955" s="1"/>
      <c r="AC955" s="1"/>
      <c r="AD955" s="3" t="s">
        <v>62</v>
      </c>
      <c r="AE955" s="3" t="s">
        <v>780</v>
      </c>
      <c r="AF955" s="3" t="s">
        <v>1511</v>
      </c>
      <c r="AG955" s="3" t="s">
        <v>343</v>
      </c>
      <c r="AH955" s="58">
        <v>100</v>
      </c>
      <c r="AI955" s="1"/>
      <c r="AJ955" s="1"/>
      <c r="AK955" s="1"/>
      <c r="AL955" s="1"/>
      <c r="AM955" s="1"/>
      <c r="AN955" s="1"/>
      <c r="AO955" s="1"/>
      <c r="AP955" s="1"/>
      <c r="AQ955" s="1"/>
      <c r="AR955" s="1"/>
      <c r="AS955" s="1"/>
      <c r="AT955" s="1"/>
      <c r="AU955" s="1"/>
      <c r="AV955" s="1"/>
      <c r="AW955" s="1"/>
      <c r="AX955" s="1"/>
      <c r="AY955" s="1"/>
      <c r="AZ955" s="4" t="s">
        <v>163</v>
      </c>
      <c r="BA955" s="1"/>
      <c r="BB955" s="1"/>
      <c r="BC955" s="1"/>
    </row>
    <row r="956" spans="1:55" s="78" customFormat="1" ht="15" customHeight="1" x14ac:dyDescent="0.25">
      <c r="A956" s="52" t="s">
        <v>4965</v>
      </c>
      <c r="B956" s="34" t="s">
        <v>59</v>
      </c>
      <c r="C956" s="53">
        <v>2026</v>
      </c>
      <c r="D956" s="53">
        <v>2026</v>
      </c>
      <c r="E956" s="54" t="s">
        <v>3585</v>
      </c>
      <c r="F956" s="55" t="s">
        <v>50</v>
      </c>
      <c r="G956" s="55" t="s">
        <v>50</v>
      </c>
      <c r="H956" s="45" t="s">
        <v>3004</v>
      </c>
      <c r="I956" s="56" t="s">
        <v>78</v>
      </c>
      <c r="J956" s="56"/>
      <c r="K956" s="55" t="s">
        <v>74</v>
      </c>
      <c r="L956" s="55"/>
      <c r="M956" s="55"/>
      <c r="N956" s="56" t="s">
        <v>181</v>
      </c>
      <c r="O956" s="56"/>
      <c r="P956" s="55" t="s">
        <v>75</v>
      </c>
      <c r="Q956" s="56" t="s">
        <v>57</v>
      </c>
      <c r="R956" s="55"/>
      <c r="S956" s="56" t="s">
        <v>58</v>
      </c>
      <c r="T956" s="55" t="str">
        <f>IF(ISNUMBER(SEARCH(",",N956)),"Y","N")</f>
        <v>N</v>
      </c>
      <c r="U956" s="57">
        <v>2.1549999999999998</v>
      </c>
      <c r="V956" s="57" t="s">
        <v>101</v>
      </c>
      <c r="W956" s="55"/>
      <c r="X956" s="66" t="s">
        <v>4965</v>
      </c>
      <c r="Y956" s="60"/>
      <c r="Z956" s="3" t="s">
        <v>154</v>
      </c>
      <c r="AA956" s="1" t="s">
        <v>452</v>
      </c>
      <c r="AB956" s="1"/>
      <c r="AC956" s="1"/>
      <c r="AD956" s="3" t="s">
        <v>62</v>
      </c>
      <c r="AE956" s="3" t="s">
        <v>83</v>
      </c>
      <c r="AF956" s="3" t="s">
        <v>2237</v>
      </c>
      <c r="AG956" s="3" t="s">
        <v>2238</v>
      </c>
      <c r="AH956" s="58">
        <v>100</v>
      </c>
      <c r="AI956" s="1"/>
      <c r="AJ956" s="1"/>
      <c r="AK956" s="1"/>
      <c r="AL956" s="1"/>
      <c r="AM956" s="1"/>
      <c r="AN956" s="1"/>
      <c r="AO956" s="1"/>
      <c r="AP956" s="1"/>
      <c r="AQ956" s="1"/>
      <c r="AR956" s="1"/>
      <c r="AS956" s="1"/>
      <c r="AT956" s="1"/>
      <c r="AU956" s="1"/>
      <c r="AV956" s="1"/>
      <c r="AW956" s="1"/>
      <c r="AX956" s="1"/>
      <c r="AY956" s="1"/>
      <c r="AZ956" s="4" t="s">
        <v>2236</v>
      </c>
      <c r="BA956" s="1"/>
      <c r="BB956" s="1"/>
      <c r="BC956" s="1"/>
    </row>
    <row r="957" spans="1:55" s="78" customFormat="1" ht="15" customHeight="1" x14ac:dyDescent="0.25">
      <c r="A957" s="52" t="s">
        <v>4966</v>
      </c>
      <c r="B957" s="34" t="s">
        <v>59</v>
      </c>
      <c r="C957" s="53">
        <v>2026</v>
      </c>
      <c r="D957" s="53">
        <v>2026</v>
      </c>
      <c r="E957" s="54" t="s">
        <v>3585</v>
      </c>
      <c r="F957" s="55" t="s">
        <v>50</v>
      </c>
      <c r="G957" s="55" t="s">
        <v>50</v>
      </c>
      <c r="H957" s="45" t="s">
        <v>3004</v>
      </c>
      <c r="I957" s="56" t="s">
        <v>78</v>
      </c>
      <c r="J957" s="56"/>
      <c r="K957" s="55" t="s">
        <v>71</v>
      </c>
      <c r="L957" s="55"/>
      <c r="M957" s="55"/>
      <c r="N957" s="56" t="s">
        <v>181</v>
      </c>
      <c r="O957" s="56"/>
      <c r="P957" s="55" t="s">
        <v>73</v>
      </c>
      <c r="Q957" s="55" t="s">
        <v>57</v>
      </c>
      <c r="R957" s="55"/>
      <c r="S957" s="56" t="s">
        <v>58</v>
      </c>
      <c r="T957" s="55" t="str">
        <f>IF(ISNUMBER(SEARCH(",",N957)),"Y","N")</f>
        <v>N</v>
      </c>
      <c r="U957" s="57">
        <v>3.6850000000000001</v>
      </c>
      <c r="V957" s="57" t="s">
        <v>101</v>
      </c>
      <c r="W957" s="55"/>
      <c r="X957" s="66" t="s">
        <v>4966</v>
      </c>
      <c r="Y957" s="60"/>
      <c r="Z957" s="3" t="s">
        <v>154</v>
      </c>
      <c r="AA957" s="1" t="s">
        <v>452</v>
      </c>
      <c r="AB957" s="1"/>
      <c r="AC957" s="1"/>
      <c r="AD957" s="3" t="s">
        <v>62</v>
      </c>
      <c r="AE957" s="3" t="s">
        <v>83</v>
      </c>
      <c r="AF957" s="3" t="s">
        <v>2237</v>
      </c>
      <c r="AG957" s="3" t="s">
        <v>2238</v>
      </c>
      <c r="AH957" s="58">
        <v>100</v>
      </c>
      <c r="AI957" s="1"/>
      <c r="AJ957" s="1"/>
      <c r="AK957" s="1"/>
      <c r="AL957" s="1"/>
      <c r="AM957" s="1"/>
      <c r="AN957" s="1"/>
      <c r="AO957" s="1"/>
      <c r="AP957" s="1"/>
      <c r="AQ957" s="1"/>
      <c r="AR957" s="1"/>
      <c r="AS957" s="1"/>
      <c r="AT957" s="1"/>
      <c r="AU957" s="1"/>
      <c r="AV957" s="1"/>
      <c r="AW957" s="1"/>
      <c r="AX957" s="1"/>
      <c r="AY957" s="1"/>
      <c r="AZ957" s="4" t="s">
        <v>2236</v>
      </c>
      <c r="BA957" s="4" t="s">
        <v>5311</v>
      </c>
      <c r="BB957" s="1"/>
      <c r="BC957" s="1"/>
    </row>
    <row r="958" spans="1:55" s="78" customFormat="1" ht="15" customHeight="1" x14ac:dyDescent="0.25">
      <c r="A958" s="52" t="s">
        <v>4967</v>
      </c>
      <c r="B958" s="34" t="s">
        <v>59</v>
      </c>
      <c r="C958" s="53">
        <v>2026</v>
      </c>
      <c r="D958" s="53">
        <v>2026</v>
      </c>
      <c r="E958" s="54" t="s">
        <v>3586</v>
      </c>
      <c r="F958" s="55" t="s">
        <v>50</v>
      </c>
      <c r="G958" s="55" t="s">
        <v>50</v>
      </c>
      <c r="H958" s="45" t="s">
        <v>3003</v>
      </c>
      <c r="I958" s="56" t="s">
        <v>52</v>
      </c>
      <c r="J958" s="56"/>
      <c r="K958" s="55" t="s">
        <v>74</v>
      </c>
      <c r="L958" s="55" t="str">
        <f>IF(K958="Mines and Quarries","Mine","")</f>
        <v/>
      </c>
      <c r="M958" s="55"/>
      <c r="N958" s="55" t="s">
        <v>110</v>
      </c>
      <c r="O958" s="56" t="s">
        <v>296</v>
      </c>
      <c r="P958" s="55" t="s">
        <v>75</v>
      </c>
      <c r="Q958" s="56" t="s">
        <v>57</v>
      </c>
      <c r="R958" s="55"/>
      <c r="S958" s="56" t="s">
        <v>58</v>
      </c>
      <c r="T958" s="55" t="str">
        <f>IF(ISNUMBER(SEARCH(",",N958)),"Y","N")</f>
        <v>N</v>
      </c>
      <c r="U958" s="57">
        <v>2.1549999999999998</v>
      </c>
      <c r="V958" s="57" t="s">
        <v>101</v>
      </c>
      <c r="W958" s="55"/>
      <c r="X958" s="66" t="s">
        <v>4967</v>
      </c>
      <c r="Y958" s="60"/>
      <c r="Z958" s="3" t="s">
        <v>154</v>
      </c>
      <c r="AA958" s="1" t="s">
        <v>452</v>
      </c>
      <c r="AB958" s="1"/>
      <c r="AC958" s="1"/>
      <c r="AD958" s="3" t="s">
        <v>62</v>
      </c>
      <c r="AE958" s="3" t="s">
        <v>83</v>
      </c>
      <c r="AF958" s="3" t="s">
        <v>2237</v>
      </c>
      <c r="AG958" s="3" t="s">
        <v>2238</v>
      </c>
      <c r="AH958" s="58">
        <v>100</v>
      </c>
      <c r="AI958" s="3"/>
      <c r="AJ958" s="3"/>
      <c r="AK958" s="3"/>
      <c r="AL958" s="3"/>
      <c r="AM958" s="3"/>
      <c r="AN958" s="3"/>
      <c r="AO958" s="3"/>
      <c r="AP958" s="3"/>
      <c r="AQ958" s="3"/>
      <c r="AR958" s="3"/>
      <c r="AS958" s="3"/>
      <c r="AT958" s="3"/>
      <c r="AU958" s="3"/>
      <c r="AV958" s="3"/>
      <c r="AW958" s="3"/>
      <c r="AX958" s="3"/>
      <c r="AY958" s="3"/>
      <c r="AZ958" s="4" t="s">
        <v>2236</v>
      </c>
      <c r="BA958" s="32"/>
      <c r="BB958" s="1"/>
      <c r="BC958" s="1"/>
    </row>
    <row r="959" spans="1:55" s="78" customFormat="1" ht="15" customHeight="1" x14ac:dyDescent="0.25">
      <c r="A959" s="52" t="s">
        <v>4968</v>
      </c>
      <c r="B959" s="34" t="s">
        <v>59</v>
      </c>
      <c r="C959" s="53">
        <v>2026</v>
      </c>
      <c r="D959" s="53">
        <v>2026</v>
      </c>
      <c r="E959" s="54" t="s">
        <v>3586</v>
      </c>
      <c r="F959" s="55" t="s">
        <v>50</v>
      </c>
      <c r="G959" s="55" t="s">
        <v>50</v>
      </c>
      <c r="H959" s="45" t="s">
        <v>3003</v>
      </c>
      <c r="I959" s="45" t="s">
        <v>52</v>
      </c>
      <c r="J959" s="56"/>
      <c r="K959" s="55" t="s">
        <v>71</v>
      </c>
      <c r="L959" s="55" t="str">
        <f>IF(K959="Mine or Quarry","Mine","")</f>
        <v/>
      </c>
      <c r="M959" s="55"/>
      <c r="N959" s="55" t="s">
        <v>110</v>
      </c>
      <c r="O959" s="45" t="s">
        <v>296</v>
      </c>
      <c r="P959" s="55" t="s">
        <v>73</v>
      </c>
      <c r="Q959" s="55" t="s">
        <v>57</v>
      </c>
      <c r="R959" s="55"/>
      <c r="S959" s="56" t="s">
        <v>58</v>
      </c>
      <c r="T959" s="55" t="str">
        <f>IF(ISNUMBER(SEARCH(",",N959)),"Y","N")</f>
        <v>N</v>
      </c>
      <c r="U959" s="57">
        <v>3.6850000000000001</v>
      </c>
      <c r="V959" s="57" t="s">
        <v>59</v>
      </c>
      <c r="W959" s="55" t="s">
        <v>2797</v>
      </c>
      <c r="X959" s="66" t="s">
        <v>4968</v>
      </c>
      <c r="Y959" s="60"/>
      <c r="Z959" s="3" t="s">
        <v>154</v>
      </c>
      <c r="AA959" s="1" t="s">
        <v>452</v>
      </c>
      <c r="AB959" s="1"/>
      <c r="AC959" s="1"/>
      <c r="AD959" s="3" t="s">
        <v>62</v>
      </c>
      <c r="AE959" s="3" t="s">
        <v>83</v>
      </c>
      <c r="AF959" s="3" t="s">
        <v>2237</v>
      </c>
      <c r="AG959" s="3" t="s">
        <v>2238</v>
      </c>
      <c r="AH959" s="58">
        <v>100</v>
      </c>
      <c r="AI959" s="3"/>
      <c r="AJ959" s="3"/>
      <c r="AK959" s="3"/>
      <c r="AL959" s="3"/>
      <c r="AM959" s="3"/>
      <c r="AN959" s="3"/>
      <c r="AO959" s="3"/>
      <c r="AP959" s="3"/>
      <c r="AQ959" s="3"/>
      <c r="AR959" s="3"/>
      <c r="AS959" s="3"/>
      <c r="AT959" s="3"/>
      <c r="AU959" s="3"/>
      <c r="AV959" s="3"/>
      <c r="AW959" s="3"/>
      <c r="AX959" s="3"/>
      <c r="AY959" s="3"/>
      <c r="AZ959" s="4" t="s">
        <v>2236</v>
      </c>
      <c r="BA959" s="4" t="s">
        <v>5311</v>
      </c>
      <c r="BB959" s="1"/>
      <c r="BC959" s="1"/>
    </row>
    <row r="960" spans="1:55" s="78" customFormat="1" ht="15" customHeight="1" x14ac:dyDescent="0.25">
      <c r="A960" s="52" t="s">
        <v>4969</v>
      </c>
      <c r="B960" s="34" t="s">
        <v>59</v>
      </c>
      <c r="C960" s="53">
        <v>2026</v>
      </c>
      <c r="D960" s="53">
        <v>2026</v>
      </c>
      <c r="E960" s="54" t="s">
        <v>3587</v>
      </c>
      <c r="F960" s="55" t="s">
        <v>50</v>
      </c>
      <c r="G960" s="55" t="s">
        <v>50</v>
      </c>
      <c r="H960" s="45" t="s">
        <v>2240</v>
      </c>
      <c r="I960" s="56" t="s">
        <v>78</v>
      </c>
      <c r="J960" s="56"/>
      <c r="K960" s="55" t="s">
        <v>71</v>
      </c>
      <c r="L960" s="55" t="str">
        <f>IF(K960="Mine or Quarry","Mine","")</f>
        <v/>
      </c>
      <c r="M960" s="55"/>
      <c r="N960" s="55"/>
      <c r="O960" s="55"/>
      <c r="P960" s="55" t="s">
        <v>73</v>
      </c>
      <c r="Q960" s="55" t="s">
        <v>57</v>
      </c>
      <c r="R960" s="55"/>
      <c r="S960" s="56" t="s">
        <v>81</v>
      </c>
      <c r="T960" s="55" t="str">
        <f>IF(ISNUMBER(SEARCH(",",N960)),"Y","N")</f>
        <v>N</v>
      </c>
      <c r="U960" s="57">
        <v>-999</v>
      </c>
      <c r="V960" s="57" t="s">
        <v>59</v>
      </c>
      <c r="W960" s="55" t="s">
        <v>2319</v>
      </c>
      <c r="X960" s="54" t="s">
        <v>4969</v>
      </c>
      <c r="Y960" s="52"/>
      <c r="Z960" s="3" t="s">
        <v>154</v>
      </c>
      <c r="AA960" s="3" t="s">
        <v>430</v>
      </c>
      <c r="AB960" s="3"/>
      <c r="AC960" s="3"/>
      <c r="AD960" s="3" t="s">
        <v>62</v>
      </c>
      <c r="AE960" s="3" t="s">
        <v>83</v>
      </c>
      <c r="AF960" s="3" t="s">
        <v>2241</v>
      </c>
      <c r="AG960" s="3" t="s">
        <v>2241</v>
      </c>
      <c r="AH960" s="58"/>
      <c r="AI960" s="3"/>
      <c r="AJ960" s="3"/>
      <c r="AK960" s="3"/>
      <c r="AL960" s="3"/>
      <c r="AM960" s="3"/>
      <c r="AN960" s="3"/>
      <c r="AO960" s="3"/>
      <c r="AP960" s="3"/>
      <c r="AQ960" s="3"/>
      <c r="AR960" s="3"/>
      <c r="AS960" s="3"/>
      <c r="AT960" s="3"/>
      <c r="AU960" s="3"/>
      <c r="AV960" s="3"/>
      <c r="AW960" s="3"/>
      <c r="AX960" s="3"/>
      <c r="AY960" s="3"/>
      <c r="AZ960" s="5" t="s">
        <v>2239</v>
      </c>
      <c r="BA960" s="32"/>
      <c r="BB960" s="1"/>
      <c r="BC960" s="1"/>
    </row>
    <row r="961" spans="1:55" s="78" customFormat="1" ht="15" customHeight="1" x14ac:dyDescent="0.25">
      <c r="A961" s="52" t="s">
        <v>4970</v>
      </c>
      <c r="B961" s="34" t="s">
        <v>59</v>
      </c>
      <c r="C961" s="53">
        <v>2026</v>
      </c>
      <c r="D961" s="53">
        <v>2026</v>
      </c>
      <c r="E961" s="54" t="s">
        <v>3588</v>
      </c>
      <c r="F961" s="55" t="s">
        <v>50</v>
      </c>
      <c r="G961" s="55" t="s">
        <v>50</v>
      </c>
      <c r="H961" s="45" t="s">
        <v>2243</v>
      </c>
      <c r="I961" s="56" t="s">
        <v>52</v>
      </c>
      <c r="J961" s="56"/>
      <c r="K961" s="56" t="s">
        <v>87</v>
      </c>
      <c r="L961" s="55" t="str">
        <f>IF(K961="Mine or Quarry","Mine","")</f>
        <v/>
      </c>
      <c r="M961" s="55"/>
      <c r="N961" s="56"/>
      <c r="O961" s="56" t="s">
        <v>2892</v>
      </c>
      <c r="P961" s="56" t="s">
        <v>89</v>
      </c>
      <c r="Q961" s="56" t="s">
        <v>89</v>
      </c>
      <c r="R961" s="55"/>
      <c r="S961" s="56" t="s">
        <v>81</v>
      </c>
      <c r="T961" s="55" t="s">
        <v>58</v>
      </c>
      <c r="U961" s="57">
        <v>-999</v>
      </c>
      <c r="V961" s="57" t="s">
        <v>59</v>
      </c>
      <c r="W961" s="55" t="s">
        <v>2319</v>
      </c>
      <c r="X961" s="54" t="s">
        <v>4970</v>
      </c>
      <c r="Y961" s="52"/>
      <c r="Z961" s="1" t="s">
        <v>61</v>
      </c>
      <c r="AA961" s="1" t="s">
        <v>473</v>
      </c>
      <c r="AB961" s="1"/>
      <c r="AC961" s="1"/>
      <c r="AD961" s="3" t="s">
        <v>62</v>
      </c>
      <c r="AE961" s="1" t="s">
        <v>474</v>
      </c>
      <c r="AF961" s="1" t="s">
        <v>2244</v>
      </c>
      <c r="AG961" s="1" t="s">
        <v>2244</v>
      </c>
      <c r="AH961" s="1"/>
      <c r="AI961" s="1"/>
      <c r="AJ961" s="1"/>
      <c r="AK961" s="1"/>
      <c r="AL961" s="1"/>
      <c r="AM961" s="1"/>
      <c r="AN961" s="1"/>
      <c r="AO961" s="1"/>
      <c r="AP961" s="1"/>
      <c r="AQ961" s="1"/>
      <c r="AR961" s="1"/>
      <c r="AS961" s="1"/>
      <c r="AT961" s="1"/>
      <c r="AU961" s="1"/>
      <c r="AV961" s="1"/>
      <c r="AW961" s="1"/>
      <c r="AX961" s="1"/>
      <c r="AY961" s="1"/>
      <c r="AZ961" s="5" t="s">
        <v>2242</v>
      </c>
      <c r="BA961" s="5"/>
      <c r="BB961" s="1"/>
      <c r="BC961" s="1"/>
    </row>
    <row r="962" spans="1:55" s="78" customFormat="1" ht="15" customHeight="1" x14ac:dyDescent="0.25">
      <c r="A962" s="52" t="s">
        <v>4971</v>
      </c>
      <c r="B962" s="34" t="s">
        <v>59</v>
      </c>
      <c r="C962" s="53">
        <v>2026</v>
      </c>
      <c r="D962" s="53">
        <v>2026</v>
      </c>
      <c r="E962" s="54" t="s">
        <v>3589</v>
      </c>
      <c r="F962" s="55" t="s">
        <v>50</v>
      </c>
      <c r="G962" s="55" t="s">
        <v>50</v>
      </c>
      <c r="H962" s="45" t="s">
        <v>2246</v>
      </c>
      <c r="I962" s="56" t="s">
        <v>78</v>
      </c>
      <c r="J962" s="56" t="s">
        <v>291</v>
      </c>
      <c r="K962" s="55" t="s">
        <v>292</v>
      </c>
      <c r="L962" s="55" t="str">
        <f>IF(K962="Mine or Quarry","Mine","")</f>
        <v/>
      </c>
      <c r="M962" s="55"/>
      <c r="N962" s="55" t="s">
        <v>181</v>
      </c>
      <c r="O962" s="55"/>
      <c r="P962" s="56" t="s">
        <v>89</v>
      </c>
      <c r="Q962" s="55" t="s">
        <v>89</v>
      </c>
      <c r="R962" s="55"/>
      <c r="S962" s="56" t="s">
        <v>81</v>
      </c>
      <c r="T962" s="55" t="s">
        <v>81</v>
      </c>
      <c r="U962" s="57">
        <v>577000</v>
      </c>
      <c r="V962" s="57" t="s">
        <v>101</v>
      </c>
      <c r="W962" s="55" t="s">
        <v>2797</v>
      </c>
      <c r="X962" s="54" t="s">
        <v>5338</v>
      </c>
      <c r="Y962" s="53"/>
      <c r="Z962" s="3" t="s">
        <v>61</v>
      </c>
      <c r="AA962" s="3" t="s">
        <v>335</v>
      </c>
      <c r="AB962" s="3"/>
      <c r="AC962" s="3"/>
      <c r="AD962" s="3" t="s">
        <v>62</v>
      </c>
      <c r="AE962" s="3" t="s">
        <v>336</v>
      </c>
      <c r="AF962" s="3"/>
      <c r="AG962" s="3" t="s">
        <v>906</v>
      </c>
      <c r="AH962" s="58">
        <v>100</v>
      </c>
      <c r="AI962" s="3"/>
      <c r="AJ962" s="3"/>
      <c r="AK962" s="3"/>
      <c r="AL962" s="3"/>
      <c r="AM962" s="3"/>
      <c r="AN962" s="3"/>
      <c r="AO962" s="3"/>
      <c r="AP962" s="3"/>
      <c r="AQ962" s="3"/>
      <c r="AR962" s="3"/>
      <c r="AS962" s="3"/>
      <c r="AT962" s="3"/>
      <c r="AU962" s="3"/>
      <c r="AV962" s="3"/>
      <c r="AW962" s="3"/>
      <c r="AX962" s="3"/>
      <c r="AY962" s="3"/>
      <c r="AZ962" s="4" t="s">
        <v>2245</v>
      </c>
      <c r="BA962" s="3"/>
      <c r="BB962" s="1"/>
      <c r="BC962" s="1"/>
    </row>
    <row r="963" spans="1:55" s="78" customFormat="1" ht="15" customHeight="1" x14ac:dyDescent="0.25">
      <c r="A963" s="52" t="s">
        <v>4972</v>
      </c>
      <c r="B963" s="34" t="s">
        <v>59</v>
      </c>
      <c r="C963" s="53">
        <v>2026</v>
      </c>
      <c r="D963" s="53">
        <v>2026</v>
      </c>
      <c r="E963" s="54" t="s">
        <v>3590</v>
      </c>
      <c r="F963" s="55" t="s">
        <v>50</v>
      </c>
      <c r="G963" s="55" t="s">
        <v>50</v>
      </c>
      <c r="H963" s="45" t="s">
        <v>2248</v>
      </c>
      <c r="I963" s="56" t="s">
        <v>78</v>
      </c>
      <c r="J963" s="56"/>
      <c r="K963" s="56" t="s">
        <v>74</v>
      </c>
      <c r="L963" s="55" t="s">
        <v>88</v>
      </c>
      <c r="M963" s="55"/>
      <c r="N963" s="56" t="s">
        <v>110</v>
      </c>
      <c r="O963" s="56"/>
      <c r="P963" s="55" t="s">
        <v>75</v>
      </c>
      <c r="Q963" s="56" t="s">
        <v>57</v>
      </c>
      <c r="R963" s="55"/>
      <c r="S963" s="56" t="s">
        <v>58</v>
      </c>
      <c r="T963" s="55" t="str">
        <f>IF(ISNUMBER(SEARCH(",",N963)),"Y","N")</f>
        <v>N</v>
      </c>
      <c r="U963" s="57">
        <v>-999</v>
      </c>
      <c r="V963" s="57" t="s">
        <v>59</v>
      </c>
      <c r="W963" s="55" t="s">
        <v>2319</v>
      </c>
      <c r="X963" s="54" t="s">
        <v>4972</v>
      </c>
      <c r="Y963" s="52"/>
      <c r="Z963" s="45" t="s">
        <v>61</v>
      </c>
      <c r="AA963" s="56" t="s">
        <v>2249</v>
      </c>
      <c r="AB963" s="56"/>
      <c r="AC963" s="56"/>
      <c r="AD963" s="3" t="s">
        <v>62</v>
      </c>
      <c r="AE963" s="45" t="s">
        <v>108</v>
      </c>
      <c r="AF963" s="56"/>
      <c r="AG963" s="56" t="s">
        <v>197</v>
      </c>
      <c r="AH963" s="45">
        <v>100</v>
      </c>
      <c r="AI963" s="1"/>
      <c r="AJ963" s="56"/>
      <c r="AK963" s="56"/>
      <c r="AL963" s="56"/>
      <c r="AM963" s="56"/>
      <c r="AN963" s="56"/>
      <c r="AO963" s="56"/>
      <c r="AP963" s="56"/>
      <c r="AQ963" s="56"/>
      <c r="AR963" s="56"/>
      <c r="AS963" s="56"/>
      <c r="AT963" s="56"/>
      <c r="AU963" s="56"/>
      <c r="AV963" s="56"/>
      <c r="AW963" s="56"/>
      <c r="AX963" s="56"/>
      <c r="AY963" s="56"/>
      <c r="AZ963" s="4" t="s">
        <v>2247</v>
      </c>
      <c r="BA963" s="5"/>
      <c r="BB963" s="1"/>
      <c r="BC963" s="1"/>
    </row>
    <row r="964" spans="1:55" s="78" customFormat="1" ht="15" customHeight="1" x14ac:dyDescent="0.25">
      <c r="A964" s="52" t="s">
        <v>4973</v>
      </c>
      <c r="B964" s="34" t="s">
        <v>59</v>
      </c>
      <c r="C964" s="53">
        <v>2026</v>
      </c>
      <c r="D964" s="53">
        <v>2026</v>
      </c>
      <c r="E964" s="54" t="s">
        <v>3590</v>
      </c>
      <c r="F964" s="55" t="s">
        <v>50</v>
      </c>
      <c r="G964" s="55" t="s">
        <v>50</v>
      </c>
      <c r="H964" s="45" t="s">
        <v>2248</v>
      </c>
      <c r="I964" s="56" t="s">
        <v>78</v>
      </c>
      <c r="J964" s="56"/>
      <c r="K964" s="56" t="s">
        <v>53</v>
      </c>
      <c r="L964" s="55" t="s">
        <v>88</v>
      </c>
      <c r="M964" s="55"/>
      <c r="N964" s="56" t="s">
        <v>5386</v>
      </c>
      <c r="O964" s="56"/>
      <c r="P964" s="55" t="s">
        <v>56</v>
      </c>
      <c r="Q964" s="55" t="s">
        <v>57</v>
      </c>
      <c r="R964" s="55"/>
      <c r="S964" s="56" t="s">
        <v>58</v>
      </c>
      <c r="T964" s="55" t="str">
        <f>IF(ISNUMBER(SEARCH(",",N964)),"Y","N")</f>
        <v>N</v>
      </c>
      <c r="U964" s="57">
        <v>135000</v>
      </c>
      <c r="V964" s="57" t="s">
        <v>101</v>
      </c>
      <c r="W964" s="55"/>
      <c r="X964" s="54" t="s">
        <v>4973</v>
      </c>
      <c r="Y964" s="52"/>
      <c r="Z964" s="56" t="s">
        <v>61</v>
      </c>
      <c r="AA964" s="56" t="s">
        <v>2249</v>
      </c>
      <c r="AB964" s="56"/>
      <c r="AC964" s="56"/>
      <c r="AD964" s="3" t="s">
        <v>62</v>
      </c>
      <c r="AE964" s="45" t="s">
        <v>108</v>
      </c>
      <c r="AF964" s="56"/>
      <c r="AG964" s="56" t="s">
        <v>197</v>
      </c>
      <c r="AH964" s="45">
        <v>100</v>
      </c>
      <c r="AI964" s="56"/>
      <c r="AJ964" s="56"/>
      <c r="AK964" s="56"/>
      <c r="AL964" s="56"/>
      <c r="AM964" s="56"/>
      <c r="AN964" s="56"/>
      <c r="AO964" s="56"/>
      <c r="AP964" s="56"/>
      <c r="AQ964" s="56"/>
      <c r="AR964" s="56"/>
      <c r="AS964" s="56"/>
      <c r="AT964" s="56"/>
      <c r="AU964" s="56"/>
      <c r="AV964" s="56"/>
      <c r="AW964" s="56"/>
      <c r="AX964" s="56"/>
      <c r="AY964" s="56"/>
      <c r="AZ964" s="4" t="s">
        <v>320</v>
      </c>
      <c r="BA964" s="56"/>
      <c r="BB964" s="1"/>
      <c r="BC964" s="1"/>
    </row>
    <row r="965" spans="1:55" s="78" customFormat="1" ht="15" customHeight="1" x14ac:dyDescent="0.25">
      <c r="A965" s="52" t="s">
        <v>4974</v>
      </c>
      <c r="B965" s="34" t="s">
        <v>59</v>
      </c>
      <c r="C965" s="53">
        <v>2026</v>
      </c>
      <c r="D965" s="53">
        <v>2026</v>
      </c>
      <c r="E965" s="54" t="s">
        <v>3590</v>
      </c>
      <c r="F965" s="55" t="s">
        <v>50</v>
      </c>
      <c r="G965" s="55" t="s">
        <v>50</v>
      </c>
      <c r="H965" s="45" t="s">
        <v>2248</v>
      </c>
      <c r="I965" s="56" t="s">
        <v>78</v>
      </c>
      <c r="J965" s="56"/>
      <c r="K965" s="56" t="s">
        <v>264</v>
      </c>
      <c r="L965" s="55" t="s">
        <v>88</v>
      </c>
      <c r="M965" s="55"/>
      <c r="N965" s="55" t="s">
        <v>110</v>
      </c>
      <c r="O965" s="55"/>
      <c r="P965" s="55" t="s">
        <v>265</v>
      </c>
      <c r="Q965" s="55" t="s">
        <v>57</v>
      </c>
      <c r="R965" s="55"/>
      <c r="S965" s="56" t="s">
        <v>58</v>
      </c>
      <c r="T965" s="55" t="s">
        <v>81</v>
      </c>
      <c r="U965" s="57">
        <v>-999</v>
      </c>
      <c r="V965" s="57" t="s">
        <v>59</v>
      </c>
      <c r="W965" s="55" t="s">
        <v>2319</v>
      </c>
      <c r="X965" s="54" t="s">
        <v>4974</v>
      </c>
      <c r="Y965" s="52"/>
      <c r="Z965" s="3" t="s">
        <v>61</v>
      </c>
      <c r="AA965" s="56" t="s">
        <v>2249</v>
      </c>
      <c r="AB965" s="56"/>
      <c r="AC965" s="56"/>
      <c r="AD965" s="3" t="s">
        <v>62</v>
      </c>
      <c r="AE965" s="3" t="s">
        <v>108</v>
      </c>
      <c r="AF965" s="56"/>
      <c r="AG965" s="56" t="s">
        <v>197</v>
      </c>
      <c r="AH965" s="45">
        <v>100</v>
      </c>
      <c r="AI965" s="3"/>
      <c r="AJ965" s="3"/>
      <c r="AK965" s="3"/>
      <c r="AL965" s="3"/>
      <c r="AM965" s="3"/>
      <c r="AN965" s="3"/>
      <c r="AO965" s="3"/>
      <c r="AP965" s="3"/>
      <c r="AQ965" s="3"/>
      <c r="AR965" s="3"/>
      <c r="AS965" s="3"/>
      <c r="AT965" s="3"/>
      <c r="AU965" s="3"/>
      <c r="AV965" s="3"/>
      <c r="AW965" s="3"/>
      <c r="AX965" s="3"/>
      <c r="AY965" s="3"/>
      <c r="AZ965" s="4" t="s">
        <v>2250</v>
      </c>
      <c r="BA965" s="3"/>
      <c r="BB965" s="1"/>
      <c r="BC965" s="1"/>
    </row>
    <row r="966" spans="1:55" s="78" customFormat="1" ht="15" customHeight="1" x14ac:dyDescent="0.25">
      <c r="A966" s="52" t="s">
        <v>4975</v>
      </c>
      <c r="B966" s="34" t="s">
        <v>59</v>
      </c>
      <c r="C966" s="53">
        <v>2026</v>
      </c>
      <c r="D966" s="53">
        <v>2026</v>
      </c>
      <c r="E966" s="54" t="s">
        <v>3590</v>
      </c>
      <c r="F966" s="55" t="s">
        <v>50</v>
      </c>
      <c r="G966" s="55" t="s">
        <v>50</v>
      </c>
      <c r="H966" s="45" t="s">
        <v>2248</v>
      </c>
      <c r="I966" s="56" t="s">
        <v>78</v>
      </c>
      <c r="J966" s="56"/>
      <c r="K966" s="56" t="s">
        <v>71</v>
      </c>
      <c r="L966" s="55" t="s">
        <v>88</v>
      </c>
      <c r="M966" s="55"/>
      <c r="N966" s="56" t="s">
        <v>110</v>
      </c>
      <c r="O966" s="56"/>
      <c r="P966" s="55" t="s">
        <v>73</v>
      </c>
      <c r="Q966" s="55" t="s">
        <v>57</v>
      </c>
      <c r="R966" s="55"/>
      <c r="S966" s="56" t="s">
        <v>58</v>
      </c>
      <c r="T966" s="55" t="str">
        <f>IF(ISNUMBER(SEARCH(",",N966)),"Y","N")</f>
        <v>N</v>
      </c>
      <c r="U966" s="57">
        <v>-999</v>
      </c>
      <c r="V966" s="57" t="s">
        <v>59</v>
      </c>
      <c r="W966" s="55" t="s">
        <v>2319</v>
      </c>
      <c r="X966" s="54" t="s">
        <v>4975</v>
      </c>
      <c r="Y966" s="52"/>
      <c r="Z966" s="1" t="s">
        <v>61</v>
      </c>
      <c r="AA966" s="1" t="s">
        <v>2249</v>
      </c>
      <c r="AB966" s="1"/>
      <c r="AC966" s="1"/>
      <c r="AD966" s="3" t="s">
        <v>62</v>
      </c>
      <c r="AE966" s="45" t="s">
        <v>108</v>
      </c>
      <c r="AF966" s="56"/>
      <c r="AG966" s="56" t="s">
        <v>197</v>
      </c>
      <c r="AH966" s="45">
        <v>100</v>
      </c>
      <c r="AI966" s="1"/>
      <c r="AJ966" s="1"/>
      <c r="AK966" s="1"/>
      <c r="AL966" s="1"/>
      <c r="AM966" s="1"/>
      <c r="AN966" s="1"/>
      <c r="AO966" s="1"/>
      <c r="AP966" s="1"/>
      <c r="AQ966" s="1"/>
      <c r="AR966" s="1"/>
      <c r="AS966" s="1"/>
      <c r="AT966" s="1"/>
      <c r="AU966" s="1"/>
      <c r="AV966" s="1"/>
      <c r="AW966" s="1"/>
      <c r="AX966" s="1"/>
      <c r="AY966" s="1"/>
      <c r="AZ966" s="4" t="s">
        <v>2250</v>
      </c>
      <c r="BA966" s="1"/>
      <c r="BB966" s="1"/>
      <c r="BC966" s="1"/>
    </row>
    <row r="967" spans="1:55" s="78" customFormat="1" ht="15" customHeight="1" x14ac:dyDescent="0.25">
      <c r="A967" s="52" t="s">
        <v>4976</v>
      </c>
      <c r="B967" s="34" t="s">
        <v>59</v>
      </c>
      <c r="C967" s="53">
        <v>2026</v>
      </c>
      <c r="D967" s="53">
        <v>2026</v>
      </c>
      <c r="E967" s="54" t="s">
        <v>3591</v>
      </c>
      <c r="F967" s="55" t="s">
        <v>50</v>
      </c>
      <c r="G967" s="55" t="s">
        <v>50</v>
      </c>
      <c r="H967" s="45" t="s">
        <v>2252</v>
      </c>
      <c r="I967" s="56" t="s">
        <v>52</v>
      </c>
      <c r="J967" s="56"/>
      <c r="K967" s="56" t="s">
        <v>53</v>
      </c>
      <c r="L967" s="55" t="s">
        <v>54</v>
      </c>
      <c r="M967" s="55"/>
      <c r="N967" s="56" t="s">
        <v>327</v>
      </c>
      <c r="O967" s="56"/>
      <c r="P967" s="55" t="s">
        <v>56</v>
      </c>
      <c r="Q967" s="55" t="s">
        <v>57</v>
      </c>
      <c r="R967" s="55"/>
      <c r="S967" s="56" t="s">
        <v>58</v>
      </c>
      <c r="T967" s="55" t="str">
        <f>IF(ISNUMBER(SEARCH(",",N967)),"Y","N")</f>
        <v>N</v>
      </c>
      <c r="U967" s="57">
        <v>20000</v>
      </c>
      <c r="V967" s="57" t="s">
        <v>101</v>
      </c>
      <c r="W967" s="55"/>
      <c r="X967" s="54" t="s">
        <v>4976</v>
      </c>
      <c r="Y967" s="52"/>
      <c r="Z967" s="56" t="s">
        <v>61</v>
      </c>
      <c r="AA967" s="56" t="s">
        <v>2249</v>
      </c>
      <c r="AB967" s="56"/>
      <c r="AC967" s="56"/>
      <c r="AD967" s="3" t="s">
        <v>62</v>
      </c>
      <c r="AE967" s="45" t="s">
        <v>108</v>
      </c>
      <c r="AF967" s="56"/>
      <c r="AG967" s="56" t="s">
        <v>197</v>
      </c>
      <c r="AH967" s="45">
        <v>100</v>
      </c>
      <c r="AI967" s="56"/>
      <c r="AJ967" s="56"/>
      <c r="AK967" s="56"/>
      <c r="AL967" s="56"/>
      <c r="AM967" s="56"/>
      <c r="AN967" s="56"/>
      <c r="AO967" s="56"/>
      <c r="AP967" s="56"/>
      <c r="AQ967" s="56"/>
      <c r="AR967" s="56"/>
      <c r="AS967" s="56"/>
      <c r="AT967" s="56"/>
      <c r="AU967" s="56"/>
      <c r="AV967" s="56"/>
      <c r="AW967" s="56"/>
      <c r="AX967" s="56"/>
      <c r="AY967" s="56"/>
      <c r="AZ967" s="4" t="s">
        <v>2251</v>
      </c>
      <c r="BA967" s="56"/>
      <c r="BB967" s="1"/>
      <c r="BC967" s="1"/>
    </row>
    <row r="968" spans="1:55" s="78" customFormat="1" ht="15" customHeight="1" x14ac:dyDescent="0.25">
      <c r="A968" s="52" t="s">
        <v>4977</v>
      </c>
      <c r="B968" s="34" t="s">
        <v>59</v>
      </c>
      <c r="C968" s="53">
        <v>2026</v>
      </c>
      <c r="D968" s="53">
        <v>2026</v>
      </c>
      <c r="E968" s="54" t="s">
        <v>3592</v>
      </c>
      <c r="F968" s="55" t="s">
        <v>50</v>
      </c>
      <c r="G968" s="55" t="s">
        <v>50</v>
      </c>
      <c r="H968" s="45" t="s">
        <v>2253</v>
      </c>
      <c r="I968" s="45" t="s">
        <v>78</v>
      </c>
      <c r="J968" s="56"/>
      <c r="K968" s="55" t="s">
        <v>831</v>
      </c>
      <c r="L968" s="55" t="s">
        <v>88</v>
      </c>
      <c r="M968" s="55"/>
      <c r="N968" s="55" t="s">
        <v>110</v>
      </c>
      <c r="O968" s="55"/>
      <c r="P968" s="55" t="s">
        <v>832</v>
      </c>
      <c r="Q968" s="55" t="s">
        <v>57</v>
      </c>
      <c r="R968" s="55"/>
      <c r="S968" s="56" t="s">
        <v>58</v>
      </c>
      <c r="T968" s="55" t="s">
        <v>81</v>
      </c>
      <c r="U968" s="57">
        <v>-999</v>
      </c>
      <c r="V968" s="57" t="s">
        <v>59</v>
      </c>
      <c r="W968" s="55" t="s">
        <v>2319</v>
      </c>
      <c r="X968" s="54" t="s">
        <v>4977</v>
      </c>
      <c r="Y968" s="52"/>
      <c r="Z968" s="3" t="s">
        <v>61</v>
      </c>
      <c r="AA968" s="3" t="s">
        <v>2254</v>
      </c>
      <c r="AB968" s="3"/>
      <c r="AC968" s="3"/>
      <c r="AD968" s="3" t="s">
        <v>62</v>
      </c>
      <c r="AE968" s="3" t="s">
        <v>519</v>
      </c>
      <c r="AF968" s="1" t="s">
        <v>1970</v>
      </c>
      <c r="AG968" s="3" t="s">
        <v>1970</v>
      </c>
      <c r="AH968" s="58">
        <v>100</v>
      </c>
      <c r="AI968" s="3"/>
      <c r="AJ968" s="3"/>
      <c r="AK968" s="3"/>
      <c r="AL968" s="3"/>
      <c r="AM968" s="3"/>
      <c r="AN968" s="3"/>
      <c r="AO968" s="3"/>
      <c r="AP968" s="3"/>
      <c r="AQ968" s="3"/>
      <c r="AR968" s="3"/>
      <c r="AS968" s="3"/>
      <c r="AT968" s="3"/>
      <c r="AU968" s="3"/>
      <c r="AV968" s="3"/>
      <c r="AW968" s="3"/>
      <c r="AX968" s="3"/>
      <c r="AY968" s="3"/>
      <c r="AZ968" s="4" t="s">
        <v>1767</v>
      </c>
      <c r="BA968" s="3"/>
      <c r="BB968" s="1"/>
      <c r="BC968" s="1"/>
    </row>
    <row r="969" spans="1:55" s="78" customFormat="1" ht="15" customHeight="1" x14ac:dyDescent="0.25">
      <c r="A969" s="52" t="s">
        <v>4978</v>
      </c>
      <c r="B969" s="34" t="s">
        <v>59</v>
      </c>
      <c r="C969" s="53">
        <v>2026</v>
      </c>
      <c r="D969" s="53">
        <v>2026</v>
      </c>
      <c r="E969" s="54" t="s">
        <v>3592</v>
      </c>
      <c r="F969" s="55" t="s">
        <v>50</v>
      </c>
      <c r="G969" s="55" t="s">
        <v>50</v>
      </c>
      <c r="H969" s="45" t="s">
        <v>2253</v>
      </c>
      <c r="I969" s="56" t="s">
        <v>78</v>
      </c>
      <c r="J969" s="56"/>
      <c r="K969" s="56" t="s">
        <v>582</v>
      </c>
      <c r="L969" s="55" t="s">
        <v>88</v>
      </c>
      <c r="M969" s="55"/>
      <c r="N969" s="56" t="s">
        <v>110</v>
      </c>
      <c r="O969" s="55"/>
      <c r="P969" s="61" t="s">
        <v>583</v>
      </c>
      <c r="Q969" s="61" t="s">
        <v>57</v>
      </c>
      <c r="R969" s="55"/>
      <c r="S969" s="56" t="s">
        <v>58</v>
      </c>
      <c r="T969" s="55" t="s">
        <v>81</v>
      </c>
      <c r="U969" s="57">
        <v>120000</v>
      </c>
      <c r="V969" s="57" t="s">
        <v>101</v>
      </c>
      <c r="W969" s="55" t="s">
        <v>2319</v>
      </c>
      <c r="X969" s="54" t="s">
        <v>4978</v>
      </c>
      <c r="Y969" s="52"/>
      <c r="Z969" s="1" t="s">
        <v>61</v>
      </c>
      <c r="AA969" s="3" t="s">
        <v>2254</v>
      </c>
      <c r="AB969" s="3"/>
      <c r="AC969" s="3"/>
      <c r="AD969" s="3" t="s">
        <v>62</v>
      </c>
      <c r="AE969" s="3" t="s">
        <v>519</v>
      </c>
      <c r="AF969" s="1" t="s">
        <v>1970</v>
      </c>
      <c r="AG969" s="3" t="s">
        <v>1970</v>
      </c>
      <c r="AH969" s="58">
        <v>100</v>
      </c>
      <c r="AI969" s="3"/>
      <c r="AJ969" s="3"/>
      <c r="AK969" s="3"/>
      <c r="AL969" s="3"/>
      <c r="AM969" s="3"/>
      <c r="AN969" s="3"/>
      <c r="AO969" s="3"/>
      <c r="AP969" s="3"/>
      <c r="AQ969" s="3"/>
      <c r="AR969" s="3"/>
      <c r="AS969" s="3"/>
      <c r="AT969" s="3"/>
      <c r="AU969" s="3"/>
      <c r="AV969" s="3"/>
      <c r="AW969" s="3"/>
      <c r="AX969" s="3"/>
      <c r="AY969" s="3"/>
      <c r="AZ969" s="4" t="s">
        <v>2255</v>
      </c>
      <c r="BA969" s="3"/>
      <c r="BB969" s="1"/>
      <c r="BC969" s="1"/>
    </row>
    <row r="970" spans="1:55" s="78" customFormat="1" ht="15" customHeight="1" x14ac:dyDescent="0.25">
      <c r="A970" s="52" t="s">
        <v>4979</v>
      </c>
      <c r="B970" s="34" t="s">
        <v>59</v>
      </c>
      <c r="C970" s="53">
        <v>2026</v>
      </c>
      <c r="D970" s="53">
        <v>2026</v>
      </c>
      <c r="E970" s="54" t="s">
        <v>3592</v>
      </c>
      <c r="F970" s="55" t="s">
        <v>50</v>
      </c>
      <c r="G970" s="55" t="s">
        <v>50</v>
      </c>
      <c r="H970" s="45" t="s">
        <v>2253</v>
      </c>
      <c r="I970" s="56" t="s">
        <v>78</v>
      </c>
      <c r="J970" s="56"/>
      <c r="K970" s="55" t="s">
        <v>313</v>
      </c>
      <c r="L970" s="55" t="s">
        <v>88</v>
      </c>
      <c r="M970" s="55"/>
      <c r="N970" s="55" t="s">
        <v>110</v>
      </c>
      <c r="O970" s="55"/>
      <c r="P970" s="61" t="s">
        <v>314</v>
      </c>
      <c r="Q970" s="61" t="s">
        <v>57</v>
      </c>
      <c r="R970" s="55"/>
      <c r="S970" s="56" t="s">
        <v>58</v>
      </c>
      <c r="T970" s="55" t="str">
        <f>IF(ISNUMBER(SEARCH(",",N970)),"Y","N")</f>
        <v>N</v>
      </c>
      <c r="U970" s="57">
        <v>500000</v>
      </c>
      <c r="V970" s="57" t="s">
        <v>101</v>
      </c>
      <c r="W970" s="55" t="s">
        <v>2319</v>
      </c>
      <c r="X970" s="54" t="s">
        <v>4979</v>
      </c>
      <c r="Y970" s="52"/>
      <c r="Z970" s="1" t="s">
        <v>61</v>
      </c>
      <c r="AA970" s="3" t="s">
        <v>2254</v>
      </c>
      <c r="AB970" s="3"/>
      <c r="AC970" s="3"/>
      <c r="AD970" s="3" t="s">
        <v>62</v>
      </c>
      <c r="AE970" s="3" t="s">
        <v>519</v>
      </c>
      <c r="AF970" s="1" t="s">
        <v>1970</v>
      </c>
      <c r="AG970" s="3" t="s">
        <v>1970</v>
      </c>
      <c r="AH970" s="58">
        <v>100</v>
      </c>
      <c r="AI970" s="3"/>
      <c r="AJ970" s="3"/>
      <c r="AK970" s="3"/>
      <c r="AL970" s="3"/>
      <c r="AM970" s="3"/>
      <c r="AN970" s="3"/>
      <c r="AO970" s="3"/>
      <c r="AP970" s="3"/>
      <c r="AQ970" s="3"/>
      <c r="AR970" s="3"/>
      <c r="AS970" s="3"/>
      <c r="AT970" s="3"/>
      <c r="AU970" s="3"/>
      <c r="AV970" s="3"/>
      <c r="AW970" s="3"/>
      <c r="AX970" s="3"/>
      <c r="AY970" s="3"/>
      <c r="AZ970" s="5" t="s">
        <v>2256</v>
      </c>
      <c r="BA970" s="4"/>
      <c r="BB970" s="1"/>
      <c r="BC970" s="1"/>
    </row>
    <row r="971" spans="1:55" s="78" customFormat="1" ht="15" customHeight="1" x14ac:dyDescent="0.25">
      <c r="A971" s="52" t="s">
        <v>4980</v>
      </c>
      <c r="B971" s="34" t="s">
        <v>59</v>
      </c>
      <c r="C971" s="53">
        <v>2026</v>
      </c>
      <c r="D971" s="53">
        <v>2026</v>
      </c>
      <c r="E971" s="54" t="s">
        <v>3592</v>
      </c>
      <c r="F971" s="55" t="s">
        <v>50</v>
      </c>
      <c r="G971" s="55" t="s">
        <v>50</v>
      </c>
      <c r="H971" s="45" t="s">
        <v>2253</v>
      </c>
      <c r="I971" s="56" t="s">
        <v>78</v>
      </c>
      <c r="J971" s="56"/>
      <c r="K971" s="56" t="s">
        <v>74</v>
      </c>
      <c r="L971" s="55" t="str">
        <f>IF(K971="Mines and Quarries","Mine","")</f>
        <v/>
      </c>
      <c r="M971" s="55"/>
      <c r="N971" s="56" t="s">
        <v>110</v>
      </c>
      <c r="O971" s="56"/>
      <c r="P971" s="55" t="s">
        <v>75</v>
      </c>
      <c r="Q971" s="56" t="s">
        <v>57</v>
      </c>
      <c r="R971" s="55"/>
      <c r="S971" s="56" t="s">
        <v>58</v>
      </c>
      <c r="T971" s="55" t="str">
        <f>IF(ISNUMBER(SEARCH(",",N971)),"Y","N")</f>
        <v>N</v>
      </c>
      <c r="U971" s="57">
        <v>6500000</v>
      </c>
      <c r="V971" s="57" t="s">
        <v>101</v>
      </c>
      <c r="W971" s="55" t="s">
        <v>2319</v>
      </c>
      <c r="X971" s="54" t="s">
        <v>4980</v>
      </c>
      <c r="Y971" s="52"/>
      <c r="Z971" s="1" t="s">
        <v>61</v>
      </c>
      <c r="AA971" s="3" t="s">
        <v>2254</v>
      </c>
      <c r="AB971" s="3"/>
      <c r="AC971" s="3"/>
      <c r="AD971" s="3" t="s">
        <v>62</v>
      </c>
      <c r="AE971" s="1" t="s">
        <v>519</v>
      </c>
      <c r="AF971" s="1" t="s">
        <v>1970</v>
      </c>
      <c r="AG971" s="3" t="s">
        <v>1970</v>
      </c>
      <c r="AH971" s="58">
        <v>100</v>
      </c>
      <c r="AI971" s="1"/>
      <c r="AJ971" s="1"/>
      <c r="AK971" s="1"/>
      <c r="AL971" s="1"/>
      <c r="AM971" s="1"/>
      <c r="AN971" s="1"/>
      <c r="AO971" s="1"/>
      <c r="AP971" s="1"/>
      <c r="AQ971" s="1"/>
      <c r="AR971" s="1"/>
      <c r="AS971" s="1"/>
      <c r="AT971" s="1"/>
      <c r="AU971" s="1"/>
      <c r="AV971" s="1"/>
      <c r="AW971" s="1"/>
      <c r="AX971" s="1"/>
      <c r="AY971" s="1"/>
      <c r="AZ971" s="4" t="s">
        <v>2257</v>
      </c>
      <c r="BA971" s="5"/>
      <c r="BB971" s="1"/>
      <c r="BC971" s="1"/>
    </row>
    <row r="972" spans="1:55" s="78" customFormat="1" ht="15" customHeight="1" x14ac:dyDescent="0.25">
      <c r="A972" s="52" t="s">
        <v>4981</v>
      </c>
      <c r="B972" s="34" t="s">
        <v>59</v>
      </c>
      <c r="C972" s="53">
        <v>2026</v>
      </c>
      <c r="D972" s="53">
        <v>2026</v>
      </c>
      <c r="E972" s="54" t="s">
        <v>3593</v>
      </c>
      <c r="F972" s="55" t="s">
        <v>50</v>
      </c>
      <c r="G972" s="55" t="s">
        <v>50</v>
      </c>
      <c r="H972" s="45" t="s">
        <v>2259</v>
      </c>
      <c r="I972" s="45" t="s">
        <v>52</v>
      </c>
      <c r="J972" s="56"/>
      <c r="K972" s="55" t="s">
        <v>210</v>
      </c>
      <c r="L972" s="55" t="s">
        <v>54</v>
      </c>
      <c r="M972" s="55" t="s">
        <v>211</v>
      </c>
      <c r="N972" s="55" t="s">
        <v>212</v>
      </c>
      <c r="O972" s="55"/>
      <c r="P972" s="55" t="s">
        <v>89</v>
      </c>
      <c r="Q972" s="55" t="s">
        <v>89</v>
      </c>
      <c r="R972" s="55"/>
      <c r="S972" s="56" t="s">
        <v>81</v>
      </c>
      <c r="T972" s="55" t="s">
        <v>81</v>
      </c>
      <c r="U972" s="57">
        <v>182500</v>
      </c>
      <c r="V972" s="57" t="s">
        <v>101</v>
      </c>
      <c r="W972" s="55" t="s">
        <v>2319</v>
      </c>
      <c r="X972" s="54" t="s">
        <v>4981</v>
      </c>
      <c r="Y972" s="52"/>
      <c r="Z972" s="3" t="s">
        <v>61</v>
      </c>
      <c r="AA972" s="1" t="s">
        <v>2260</v>
      </c>
      <c r="AB972" s="1"/>
      <c r="AC972" s="1"/>
      <c r="AD972" s="3" t="s">
        <v>62</v>
      </c>
      <c r="AE972" s="1" t="s">
        <v>396</v>
      </c>
      <c r="AF972" s="3"/>
      <c r="AG972" s="1" t="s">
        <v>531</v>
      </c>
      <c r="AH972" s="2">
        <v>100</v>
      </c>
      <c r="AI972" s="1"/>
      <c r="AJ972" s="2"/>
      <c r="AK972" s="3"/>
      <c r="AL972" s="3"/>
      <c r="AM972" s="3"/>
      <c r="AN972" s="3"/>
      <c r="AO972" s="3"/>
      <c r="AP972" s="3"/>
      <c r="AQ972" s="3"/>
      <c r="AR972" s="3"/>
      <c r="AS972" s="3"/>
      <c r="AT972" s="3"/>
      <c r="AU972" s="3"/>
      <c r="AV972" s="3"/>
      <c r="AW972" s="3"/>
      <c r="AX972" s="3"/>
      <c r="AY972" s="3"/>
      <c r="AZ972" s="4" t="s">
        <v>2258</v>
      </c>
      <c r="BA972" s="3"/>
      <c r="BB972" s="1"/>
      <c r="BC972" s="1"/>
    </row>
    <row r="973" spans="1:55" s="78" customFormat="1" ht="15" customHeight="1" x14ac:dyDescent="0.25">
      <c r="A973" s="52" t="s">
        <v>4982</v>
      </c>
      <c r="B973" s="34" t="s">
        <v>59</v>
      </c>
      <c r="C973" s="53">
        <v>2026</v>
      </c>
      <c r="D973" s="53">
        <v>2026</v>
      </c>
      <c r="E973" s="54" t="s">
        <v>3594</v>
      </c>
      <c r="F973" s="55" t="s">
        <v>50</v>
      </c>
      <c r="G973" s="55" t="s">
        <v>50</v>
      </c>
      <c r="H973" s="45" t="s">
        <v>2261</v>
      </c>
      <c r="I973" s="56" t="s">
        <v>52</v>
      </c>
      <c r="J973" s="56"/>
      <c r="K973" s="56" t="s">
        <v>1019</v>
      </c>
      <c r="L973" s="55" t="str">
        <f>IF(K973="Mine or Quarry","Mine","")</f>
        <v/>
      </c>
      <c r="M973" s="55"/>
      <c r="N973" s="56"/>
      <c r="O973" s="56" t="s">
        <v>1020</v>
      </c>
      <c r="P973" s="56" t="s">
        <v>89</v>
      </c>
      <c r="Q973" s="56" t="s">
        <v>89</v>
      </c>
      <c r="R973" s="55"/>
      <c r="S973" s="56" t="s">
        <v>81</v>
      </c>
      <c r="T973" s="55" t="s">
        <v>81</v>
      </c>
      <c r="U973" s="57">
        <v>-999</v>
      </c>
      <c r="V973" s="57" t="s">
        <v>59</v>
      </c>
      <c r="W973" s="55" t="s">
        <v>2319</v>
      </c>
      <c r="X973" s="54" t="s">
        <v>4982</v>
      </c>
      <c r="Y973" s="52"/>
      <c r="Z973" s="1" t="s">
        <v>61</v>
      </c>
      <c r="AA973" s="1" t="s">
        <v>2262</v>
      </c>
      <c r="AB973" s="1"/>
      <c r="AC973" s="1"/>
      <c r="AD973" s="3" t="s">
        <v>62</v>
      </c>
      <c r="AE973" s="1" t="s">
        <v>574</v>
      </c>
      <c r="AF973" s="1"/>
      <c r="AG973" s="1" t="s">
        <v>2263</v>
      </c>
      <c r="AH973" s="2">
        <v>100</v>
      </c>
      <c r="AI973" s="1"/>
      <c r="AJ973" s="1"/>
      <c r="AK973" s="1"/>
      <c r="AL973" s="1"/>
      <c r="AM973" s="1"/>
      <c r="AN973" s="1"/>
      <c r="AO973" s="1"/>
      <c r="AP973" s="1"/>
      <c r="AQ973" s="1"/>
      <c r="AR973" s="1"/>
      <c r="AS973" s="1"/>
      <c r="AT973" s="1"/>
      <c r="AU973" s="1"/>
      <c r="AV973" s="1"/>
      <c r="AW973" s="1"/>
      <c r="AX973" s="1"/>
      <c r="AY973" s="1"/>
      <c r="AZ973" s="4" t="s">
        <v>1017</v>
      </c>
      <c r="BA973" s="1"/>
      <c r="BB973" s="1"/>
      <c r="BC973" s="1"/>
    </row>
    <row r="974" spans="1:55" s="78" customFormat="1" ht="15" customHeight="1" x14ac:dyDescent="0.25">
      <c r="A974" s="52" t="s">
        <v>4983</v>
      </c>
      <c r="B974" s="34" t="s">
        <v>59</v>
      </c>
      <c r="C974" s="53">
        <v>2026</v>
      </c>
      <c r="D974" s="53">
        <v>2026</v>
      </c>
      <c r="E974" s="54" t="s">
        <v>3595</v>
      </c>
      <c r="F974" s="55" t="s">
        <v>50</v>
      </c>
      <c r="G974" s="55" t="s">
        <v>50</v>
      </c>
      <c r="H974" s="45" t="s">
        <v>2265</v>
      </c>
      <c r="I974" s="56" t="s">
        <v>52</v>
      </c>
      <c r="J974" s="56"/>
      <c r="K974" s="55" t="s">
        <v>74</v>
      </c>
      <c r="L974" s="55" t="str">
        <f>IF(K974="Mines and Quarries","Mine","")</f>
        <v/>
      </c>
      <c r="M974" s="55"/>
      <c r="N974" s="55" t="s">
        <v>110</v>
      </c>
      <c r="O974" s="56" t="s">
        <v>296</v>
      </c>
      <c r="P974" s="55" t="s">
        <v>75</v>
      </c>
      <c r="Q974" s="56" t="s">
        <v>57</v>
      </c>
      <c r="R974" s="55"/>
      <c r="S974" s="56" t="s">
        <v>58</v>
      </c>
      <c r="T974" s="55" t="str">
        <f>IF(ISNUMBER(SEARCH(",",N974)),"Y","N")</f>
        <v>N</v>
      </c>
      <c r="U974" s="57">
        <v>1.746</v>
      </c>
      <c r="V974" s="57" t="s">
        <v>101</v>
      </c>
      <c r="W974" s="55"/>
      <c r="X974" s="54" t="s">
        <v>4983</v>
      </c>
      <c r="Y974" s="52"/>
      <c r="Z974" s="3" t="s">
        <v>61</v>
      </c>
      <c r="AA974" s="1" t="s">
        <v>1157</v>
      </c>
      <c r="AB974" s="1"/>
      <c r="AC974" s="1"/>
      <c r="AD974" s="3" t="s">
        <v>62</v>
      </c>
      <c r="AE974" s="3" t="s">
        <v>83</v>
      </c>
      <c r="AF974" s="3"/>
      <c r="AG974" s="3" t="s">
        <v>943</v>
      </c>
      <c r="AH974" s="58">
        <v>100</v>
      </c>
      <c r="AI974" s="1"/>
      <c r="AJ974" s="3"/>
      <c r="AK974" s="3"/>
      <c r="AL974" s="3"/>
      <c r="AM974" s="3"/>
      <c r="AN974" s="3"/>
      <c r="AO974" s="3"/>
      <c r="AP974" s="3"/>
      <c r="AQ974" s="3"/>
      <c r="AR974" s="3"/>
      <c r="AS974" s="3"/>
      <c r="AT974" s="3"/>
      <c r="AU974" s="3"/>
      <c r="AV974" s="3"/>
      <c r="AW974" s="3"/>
      <c r="AX974" s="3"/>
      <c r="AY974" s="3"/>
      <c r="AZ974" s="4" t="s">
        <v>2264</v>
      </c>
      <c r="BA974" s="3"/>
      <c r="BB974" s="1"/>
      <c r="BC974" s="1"/>
    </row>
    <row r="975" spans="1:55" s="78" customFormat="1" ht="15" customHeight="1" x14ac:dyDescent="0.25">
      <c r="A975" s="52" t="s">
        <v>4984</v>
      </c>
      <c r="B975" s="34" t="s">
        <v>59</v>
      </c>
      <c r="C975" s="53">
        <v>2026</v>
      </c>
      <c r="D975" s="53">
        <v>2026</v>
      </c>
      <c r="E975" s="54" t="s">
        <v>3595</v>
      </c>
      <c r="F975" s="55" t="s">
        <v>50</v>
      </c>
      <c r="G975" s="55" t="s">
        <v>50</v>
      </c>
      <c r="H975" s="45" t="s">
        <v>2265</v>
      </c>
      <c r="I975" s="56" t="s">
        <v>52</v>
      </c>
      <c r="J975" s="56"/>
      <c r="K975" s="55" t="s">
        <v>71</v>
      </c>
      <c r="L975" s="55" t="str">
        <f>IF(K975="Mine or Quarry","Mine","")</f>
        <v/>
      </c>
      <c r="M975" s="55"/>
      <c r="N975" s="55" t="s">
        <v>110</v>
      </c>
      <c r="O975" s="45" t="s">
        <v>296</v>
      </c>
      <c r="P975" s="55" t="s">
        <v>73</v>
      </c>
      <c r="Q975" s="55" t="s">
        <v>57</v>
      </c>
      <c r="R975" s="55"/>
      <c r="S975" s="56" t="s">
        <v>58</v>
      </c>
      <c r="T975" s="55" t="str">
        <f>IF(ISNUMBER(SEARCH(",",N975)),"Y","N")</f>
        <v>N</v>
      </c>
      <c r="U975" s="57">
        <v>2.58</v>
      </c>
      <c r="V975" s="57" t="s">
        <v>101</v>
      </c>
      <c r="W975" s="55"/>
      <c r="X975" s="54" t="s">
        <v>4984</v>
      </c>
      <c r="Y975" s="52"/>
      <c r="Z975" s="3" t="s">
        <v>61</v>
      </c>
      <c r="AA975" s="1" t="s">
        <v>1157</v>
      </c>
      <c r="AB975" s="1"/>
      <c r="AC975" s="1"/>
      <c r="AD975" s="3" t="s">
        <v>62</v>
      </c>
      <c r="AE975" s="3" t="s">
        <v>83</v>
      </c>
      <c r="AF975" s="1"/>
      <c r="AG975" s="3" t="s">
        <v>943</v>
      </c>
      <c r="AH975" s="58">
        <v>100</v>
      </c>
      <c r="AI975" s="3"/>
      <c r="AJ975" s="3"/>
      <c r="AK975" s="3"/>
      <c r="AL975" s="3"/>
      <c r="AM975" s="3"/>
      <c r="AN975" s="3"/>
      <c r="AO975" s="3"/>
      <c r="AP975" s="3"/>
      <c r="AQ975" s="3"/>
      <c r="AR975" s="3"/>
      <c r="AS975" s="3"/>
      <c r="AT975" s="3"/>
      <c r="AU975" s="3"/>
      <c r="AV975" s="3"/>
      <c r="AW975" s="3"/>
      <c r="AX975" s="3"/>
      <c r="AY975" s="3"/>
      <c r="AZ975" s="4" t="s">
        <v>2264</v>
      </c>
      <c r="BA975" s="3"/>
      <c r="BB975" s="1"/>
      <c r="BC975" s="1"/>
    </row>
    <row r="976" spans="1:55" s="78" customFormat="1" ht="15" customHeight="1" x14ac:dyDescent="0.25">
      <c r="A976" s="52" t="s">
        <v>4985</v>
      </c>
      <c r="B976" s="34" t="s">
        <v>59</v>
      </c>
      <c r="C976" s="53">
        <v>2026</v>
      </c>
      <c r="D976" s="53">
        <v>2026</v>
      </c>
      <c r="E976" s="54" t="s">
        <v>3596</v>
      </c>
      <c r="F976" s="55" t="s">
        <v>50</v>
      </c>
      <c r="G976" s="55" t="s">
        <v>50</v>
      </c>
      <c r="H976" s="45" t="s">
        <v>2266</v>
      </c>
      <c r="I976" s="56" t="s">
        <v>78</v>
      </c>
      <c r="J976" s="56"/>
      <c r="K976" s="56" t="s">
        <v>71</v>
      </c>
      <c r="L976" s="55" t="str">
        <f>IF(K976="Mine or Quarry","Mine","")</f>
        <v/>
      </c>
      <c r="M976" s="55"/>
      <c r="N976" s="56" t="s">
        <v>181</v>
      </c>
      <c r="O976" s="56"/>
      <c r="P976" s="55" t="s">
        <v>73</v>
      </c>
      <c r="Q976" s="55" t="s">
        <v>57</v>
      </c>
      <c r="R976" s="55"/>
      <c r="S976" s="56" t="s">
        <v>58</v>
      </c>
      <c r="T976" s="55" t="str">
        <f>IF(ISNUMBER(SEARCH(",",N976)),"Y","N")</f>
        <v>N</v>
      </c>
      <c r="U976" s="57">
        <v>2.58</v>
      </c>
      <c r="V976" s="57" t="s">
        <v>101</v>
      </c>
      <c r="W976" s="55"/>
      <c r="X976" s="54" t="s">
        <v>4985</v>
      </c>
      <c r="Y976" s="52"/>
      <c r="Z976" s="1" t="s">
        <v>61</v>
      </c>
      <c r="AA976" s="1" t="s">
        <v>1157</v>
      </c>
      <c r="AB976" s="1"/>
      <c r="AC976" s="1"/>
      <c r="AD976" s="3" t="s">
        <v>62</v>
      </c>
      <c r="AE976" s="1" t="s">
        <v>83</v>
      </c>
      <c r="AF976" s="1"/>
      <c r="AG976" s="3" t="s">
        <v>943</v>
      </c>
      <c r="AH976" s="58">
        <v>100</v>
      </c>
      <c r="AI976" s="1"/>
      <c r="AJ976" s="1"/>
      <c r="AK976" s="1"/>
      <c r="AL976" s="1"/>
      <c r="AM976" s="1"/>
      <c r="AN976" s="1"/>
      <c r="AO976" s="1"/>
      <c r="AP976" s="1"/>
      <c r="AQ976" s="1"/>
      <c r="AR976" s="1"/>
      <c r="AS976" s="1"/>
      <c r="AT976" s="1"/>
      <c r="AU976" s="1"/>
      <c r="AV976" s="1"/>
      <c r="AW976" s="1"/>
      <c r="AX976" s="1"/>
      <c r="AY976" s="1"/>
      <c r="AZ976" s="4" t="s">
        <v>2264</v>
      </c>
      <c r="BA976" s="1"/>
      <c r="BB976" s="1"/>
      <c r="BC976" s="1"/>
    </row>
    <row r="977" spans="1:55" s="78" customFormat="1" ht="15" customHeight="1" x14ac:dyDescent="0.25">
      <c r="A977" s="52" t="s">
        <v>4986</v>
      </c>
      <c r="B977" s="34" t="s">
        <v>59</v>
      </c>
      <c r="C977" s="53">
        <v>2026</v>
      </c>
      <c r="D977" s="53">
        <v>2026</v>
      </c>
      <c r="E977" s="54" t="s">
        <v>3596</v>
      </c>
      <c r="F977" s="55" t="s">
        <v>50</v>
      </c>
      <c r="G977" s="55" t="s">
        <v>50</v>
      </c>
      <c r="H977" s="45" t="s">
        <v>2266</v>
      </c>
      <c r="I977" s="56" t="s">
        <v>78</v>
      </c>
      <c r="J977" s="56"/>
      <c r="K977" s="55" t="s">
        <v>74</v>
      </c>
      <c r="L977" s="55"/>
      <c r="M977" s="55"/>
      <c r="N977" s="55" t="s">
        <v>181</v>
      </c>
      <c r="O977" s="55"/>
      <c r="P977" s="55" t="s">
        <v>75</v>
      </c>
      <c r="Q977" s="56" t="s">
        <v>57</v>
      </c>
      <c r="R977" s="55"/>
      <c r="S977" s="56" t="s">
        <v>58</v>
      </c>
      <c r="T977" s="55" t="s">
        <v>81</v>
      </c>
      <c r="U977" s="57">
        <v>1.746</v>
      </c>
      <c r="V977" s="57" t="s">
        <v>101</v>
      </c>
      <c r="W977" s="55"/>
      <c r="X977" s="54" t="s">
        <v>4986</v>
      </c>
      <c r="Y977" s="52"/>
      <c r="Z977" s="3" t="s">
        <v>61</v>
      </c>
      <c r="AA977" s="1" t="s">
        <v>1157</v>
      </c>
      <c r="AB977" s="1"/>
      <c r="AC977" s="1"/>
      <c r="AD977" s="3" t="s">
        <v>62</v>
      </c>
      <c r="AE977" s="3" t="s">
        <v>83</v>
      </c>
      <c r="AF977" s="3"/>
      <c r="AG977" s="3" t="s">
        <v>943</v>
      </c>
      <c r="AH977" s="58">
        <v>100</v>
      </c>
      <c r="AI977" s="1"/>
      <c r="AJ977" s="3"/>
      <c r="AK977" s="3"/>
      <c r="AL977" s="3"/>
      <c r="AM977" s="3"/>
      <c r="AN977" s="3"/>
      <c r="AO977" s="3"/>
      <c r="AP977" s="3"/>
      <c r="AQ977" s="3"/>
      <c r="AR977" s="3"/>
      <c r="AS977" s="3"/>
      <c r="AT977" s="3"/>
      <c r="AU977" s="3"/>
      <c r="AV977" s="3"/>
      <c r="AW977" s="3"/>
      <c r="AX977" s="3"/>
      <c r="AY977" s="3"/>
      <c r="AZ977" s="4" t="s">
        <v>2264</v>
      </c>
      <c r="BA977" s="3"/>
      <c r="BB977" s="1"/>
      <c r="BC977" s="1"/>
    </row>
    <row r="978" spans="1:55" s="78" customFormat="1" ht="15" customHeight="1" x14ac:dyDescent="0.25">
      <c r="A978" s="52" t="s">
        <v>4987</v>
      </c>
      <c r="B978" s="34" t="s">
        <v>59</v>
      </c>
      <c r="C978" s="53">
        <v>2026</v>
      </c>
      <c r="D978" s="53">
        <v>2026</v>
      </c>
      <c r="E978" s="54" t="s">
        <v>3597</v>
      </c>
      <c r="F978" s="55" t="s">
        <v>50</v>
      </c>
      <c r="G978" s="55" t="s">
        <v>50</v>
      </c>
      <c r="H978" s="45" t="s">
        <v>2268</v>
      </c>
      <c r="I978" s="56" t="s">
        <v>52</v>
      </c>
      <c r="J978" s="56"/>
      <c r="K978" s="56" t="s">
        <v>87</v>
      </c>
      <c r="L978" s="55" t="str">
        <f>IF(K978="Mine or Quarry","Mine","")</f>
        <v/>
      </c>
      <c r="M978" s="55"/>
      <c r="N978" s="56"/>
      <c r="O978" s="56" t="s">
        <v>2893</v>
      </c>
      <c r="P978" s="56" t="s">
        <v>89</v>
      </c>
      <c r="Q978" s="56" t="s">
        <v>89</v>
      </c>
      <c r="R978" s="55"/>
      <c r="S978" s="56" t="s">
        <v>81</v>
      </c>
      <c r="T978" s="55" t="str">
        <f t="shared" ref="T978:T986" si="17">IF(ISNUMBER(SEARCH(",",N978)),"Y","N")</f>
        <v>N</v>
      </c>
      <c r="U978" s="57">
        <v>-999</v>
      </c>
      <c r="V978" s="57" t="s">
        <v>59</v>
      </c>
      <c r="W978" s="55" t="s">
        <v>2319</v>
      </c>
      <c r="X978" s="54" t="s">
        <v>4987</v>
      </c>
      <c r="Y978" s="52"/>
      <c r="Z978" s="1" t="s">
        <v>61</v>
      </c>
      <c r="AA978" s="1" t="s">
        <v>2269</v>
      </c>
      <c r="AB978" s="1"/>
      <c r="AC978" s="1"/>
      <c r="AD978" s="3" t="s">
        <v>62</v>
      </c>
      <c r="AE978" s="1" t="s">
        <v>1054</v>
      </c>
      <c r="AF978" s="1" t="s">
        <v>2270</v>
      </c>
      <c r="AG978" s="1" t="s">
        <v>2271</v>
      </c>
      <c r="AH978" s="1"/>
      <c r="AI978" s="1"/>
      <c r="AJ978" s="1"/>
      <c r="AK978" s="1"/>
      <c r="AL978" s="1"/>
      <c r="AM978" s="1"/>
      <c r="AN978" s="1"/>
      <c r="AO978" s="1"/>
      <c r="AP978" s="1"/>
      <c r="AQ978" s="1"/>
      <c r="AR978" s="1"/>
      <c r="AS978" s="1"/>
      <c r="AT978" s="1"/>
      <c r="AU978" s="1"/>
      <c r="AV978" s="1"/>
      <c r="AW978" s="1"/>
      <c r="AX978" s="1"/>
      <c r="AY978" s="1"/>
      <c r="AZ978" s="5" t="s">
        <v>2267</v>
      </c>
      <c r="BA978" s="5"/>
      <c r="BB978" s="1"/>
      <c r="BC978" s="1"/>
    </row>
    <row r="979" spans="1:55" s="78" customFormat="1" ht="15" customHeight="1" x14ac:dyDescent="0.25">
      <c r="A979" s="52" t="s">
        <v>4988</v>
      </c>
      <c r="B979" s="34" t="s">
        <v>59</v>
      </c>
      <c r="C979" s="53">
        <v>2026</v>
      </c>
      <c r="D979" s="53">
        <v>2026</v>
      </c>
      <c r="E979" s="54" t="s">
        <v>3598</v>
      </c>
      <c r="F979" s="55" t="s">
        <v>50</v>
      </c>
      <c r="G979" s="55" t="s">
        <v>50</v>
      </c>
      <c r="H979" s="45" t="s">
        <v>2273</v>
      </c>
      <c r="I979" s="56" t="s">
        <v>78</v>
      </c>
      <c r="J979" s="56"/>
      <c r="K979" s="56" t="s">
        <v>79</v>
      </c>
      <c r="L979" s="55" t="str">
        <f>IF(K979="Mine or Quarry","Mine","")</f>
        <v/>
      </c>
      <c r="M979" s="55"/>
      <c r="N979" s="56" t="s">
        <v>80</v>
      </c>
      <c r="O979" s="56"/>
      <c r="P979" s="56" t="s">
        <v>89</v>
      </c>
      <c r="Q979" s="56" t="s">
        <v>89</v>
      </c>
      <c r="R979" s="55"/>
      <c r="S979" s="56" t="s">
        <v>81</v>
      </c>
      <c r="T979" s="55" t="str">
        <f t="shared" si="17"/>
        <v>N</v>
      </c>
      <c r="U979" s="57">
        <v>-999</v>
      </c>
      <c r="V979" s="57" t="s">
        <v>59</v>
      </c>
      <c r="W979" s="55" t="s">
        <v>2319</v>
      </c>
      <c r="X979" s="54" t="s">
        <v>4988</v>
      </c>
      <c r="Y979" s="52"/>
      <c r="Z979" s="1" t="s">
        <v>61</v>
      </c>
      <c r="AA979" s="1" t="s">
        <v>2274</v>
      </c>
      <c r="AB979" s="1"/>
      <c r="AC979" s="1"/>
      <c r="AD979" s="3" t="s">
        <v>62</v>
      </c>
      <c r="AE979" s="1" t="s">
        <v>192</v>
      </c>
      <c r="AF979" s="1" t="s">
        <v>1060</v>
      </c>
      <c r="AG979" s="1" t="s">
        <v>1061</v>
      </c>
      <c r="AH979" s="2">
        <v>100</v>
      </c>
      <c r="AI979" s="1"/>
      <c r="AJ979" s="1"/>
      <c r="AK979" s="1"/>
      <c r="AL979" s="1"/>
      <c r="AM979" s="1"/>
      <c r="AN979" s="1"/>
      <c r="AO979" s="1"/>
      <c r="AP979" s="1"/>
      <c r="AQ979" s="1"/>
      <c r="AR979" s="1"/>
      <c r="AS979" s="1"/>
      <c r="AT979" s="1"/>
      <c r="AU979" s="1"/>
      <c r="AV979" s="1"/>
      <c r="AW979" s="1"/>
      <c r="AX979" s="1"/>
      <c r="AY979" s="1"/>
      <c r="AZ979" s="5" t="s">
        <v>2272</v>
      </c>
      <c r="BA979" s="5"/>
      <c r="BB979" s="1"/>
      <c r="BC979" s="1"/>
    </row>
    <row r="980" spans="1:55" s="78" customFormat="1" ht="15" customHeight="1" x14ac:dyDescent="0.25">
      <c r="A980" s="52" t="s">
        <v>4989</v>
      </c>
      <c r="B980" s="34" t="s">
        <v>59</v>
      </c>
      <c r="C980" s="53">
        <v>2026</v>
      </c>
      <c r="D980" s="53">
        <v>2026</v>
      </c>
      <c r="E980" s="54" t="s">
        <v>3599</v>
      </c>
      <c r="F980" s="55" t="s">
        <v>50</v>
      </c>
      <c r="G980" s="55" t="s">
        <v>50</v>
      </c>
      <c r="H980" s="45" t="s">
        <v>2276</v>
      </c>
      <c r="I980" s="56" t="s">
        <v>78</v>
      </c>
      <c r="J980" s="56"/>
      <c r="K980" s="55" t="s">
        <v>53</v>
      </c>
      <c r="L980" s="55" t="str">
        <f>IF(K980="Mine or Quarry","Mine","")</f>
        <v/>
      </c>
      <c r="M980" s="55"/>
      <c r="N980" s="55" t="s">
        <v>110</v>
      </c>
      <c r="O980" s="55"/>
      <c r="P980" s="55" t="s">
        <v>56</v>
      </c>
      <c r="Q980" s="55" t="s">
        <v>57</v>
      </c>
      <c r="R980" s="55"/>
      <c r="S980" s="56" t="s">
        <v>81</v>
      </c>
      <c r="T980" s="55" t="str">
        <f t="shared" si="17"/>
        <v>N</v>
      </c>
      <c r="U980" s="57">
        <v>450000</v>
      </c>
      <c r="V980" s="57" t="s">
        <v>101</v>
      </c>
      <c r="W980" s="55" t="s">
        <v>2319</v>
      </c>
      <c r="X980" s="54" t="s">
        <v>4989</v>
      </c>
      <c r="Y980" s="52"/>
      <c r="Z980" s="3" t="s">
        <v>154</v>
      </c>
      <c r="AA980" s="3" t="s">
        <v>2277</v>
      </c>
      <c r="AB980" s="3"/>
      <c r="AC980" s="3"/>
      <c r="AD980" s="3" t="s">
        <v>62</v>
      </c>
      <c r="AE980" s="3" t="s">
        <v>108</v>
      </c>
      <c r="AF980" s="3"/>
      <c r="AG980" s="3" t="s">
        <v>425</v>
      </c>
      <c r="AH980" s="58">
        <v>55</v>
      </c>
      <c r="AI980" s="3" t="s">
        <v>2278</v>
      </c>
      <c r="AJ980" s="3">
        <v>45</v>
      </c>
      <c r="AK980" s="3"/>
      <c r="AL980" s="3"/>
      <c r="AM980" s="3"/>
      <c r="AN980" s="3"/>
      <c r="AO980" s="3"/>
      <c r="AP980" s="3"/>
      <c r="AQ980" s="3"/>
      <c r="AR980" s="3"/>
      <c r="AS980" s="3"/>
      <c r="AT980" s="3"/>
      <c r="AU980" s="3"/>
      <c r="AV980" s="3"/>
      <c r="AW980" s="3"/>
      <c r="AX980" s="3"/>
      <c r="AY980" s="3"/>
      <c r="AZ980" s="4" t="s">
        <v>2275</v>
      </c>
      <c r="BA980" s="3"/>
      <c r="BB980" s="1"/>
      <c r="BC980" s="1"/>
    </row>
    <row r="981" spans="1:55" s="78" customFormat="1" ht="15" customHeight="1" x14ac:dyDescent="0.25">
      <c r="A981" s="52" t="s">
        <v>4990</v>
      </c>
      <c r="B981" s="34" t="s">
        <v>59</v>
      </c>
      <c r="C981" s="53">
        <v>2026</v>
      </c>
      <c r="D981" s="53">
        <v>2026</v>
      </c>
      <c r="E981" s="54" t="s">
        <v>3600</v>
      </c>
      <c r="F981" s="55" t="s">
        <v>50</v>
      </c>
      <c r="G981" s="55" t="s">
        <v>50</v>
      </c>
      <c r="H981" s="45" t="s">
        <v>2279</v>
      </c>
      <c r="I981" s="56" t="s">
        <v>78</v>
      </c>
      <c r="J981" s="56"/>
      <c r="K981" s="55" t="s">
        <v>582</v>
      </c>
      <c r="L981" s="55" t="s">
        <v>88</v>
      </c>
      <c r="M981" s="55"/>
      <c r="N981" s="55" t="s">
        <v>110</v>
      </c>
      <c r="O981" s="55"/>
      <c r="P981" s="61" t="s">
        <v>583</v>
      </c>
      <c r="Q981" s="61" t="s">
        <v>57</v>
      </c>
      <c r="R981" s="55"/>
      <c r="S981" s="56" t="s">
        <v>58</v>
      </c>
      <c r="T981" s="55" t="str">
        <f t="shared" si="17"/>
        <v>N</v>
      </c>
      <c r="U981" s="57">
        <v>139</v>
      </c>
      <c r="V981" s="57" t="s">
        <v>101</v>
      </c>
      <c r="W981" s="55" t="s">
        <v>2319</v>
      </c>
      <c r="X981" s="54" t="s">
        <v>4990</v>
      </c>
      <c r="Y981" s="52"/>
      <c r="Z981" s="3" t="s">
        <v>154</v>
      </c>
      <c r="AA981" s="3" t="s">
        <v>2280</v>
      </c>
      <c r="AB981" s="3"/>
      <c r="AC981" s="3"/>
      <c r="AD981" s="3" t="s">
        <v>62</v>
      </c>
      <c r="AE981" s="3" t="s">
        <v>574</v>
      </c>
      <c r="AF981" s="3"/>
      <c r="AG981" s="3" t="s">
        <v>2282</v>
      </c>
      <c r="AH981" s="58">
        <v>100</v>
      </c>
      <c r="AI981" s="3"/>
      <c r="AJ981" s="3"/>
      <c r="AK981" s="3"/>
      <c r="AL981" s="3"/>
      <c r="AM981" s="3"/>
      <c r="AN981" s="3"/>
      <c r="AO981" s="3"/>
      <c r="AP981" s="3"/>
      <c r="AQ981" s="3"/>
      <c r="AR981" s="3"/>
      <c r="AS981" s="3"/>
      <c r="AT981" s="3"/>
      <c r="AU981" s="3"/>
      <c r="AV981" s="3"/>
      <c r="AW981" s="3"/>
      <c r="AX981" s="3"/>
      <c r="AY981" s="3"/>
      <c r="AZ981" s="4" t="s">
        <v>3920</v>
      </c>
      <c r="BA981" s="3" t="s">
        <v>3921</v>
      </c>
      <c r="BB981" s="1"/>
      <c r="BC981" s="1"/>
    </row>
    <row r="982" spans="1:55" s="78" customFormat="1" ht="15" customHeight="1" x14ac:dyDescent="0.25">
      <c r="A982" s="52" t="s">
        <v>4991</v>
      </c>
      <c r="B982" s="34" t="s">
        <v>59</v>
      </c>
      <c r="C982" s="53">
        <v>2026</v>
      </c>
      <c r="D982" s="53">
        <v>2026</v>
      </c>
      <c r="E982" s="54" t="s">
        <v>3600</v>
      </c>
      <c r="F982" s="55" t="s">
        <v>50</v>
      </c>
      <c r="G982" s="55" t="s">
        <v>50</v>
      </c>
      <c r="H982" s="45" t="s">
        <v>2279</v>
      </c>
      <c r="I982" s="56" t="s">
        <v>78</v>
      </c>
      <c r="J982" s="56"/>
      <c r="K982" s="55" t="s">
        <v>313</v>
      </c>
      <c r="L982" s="56" t="s">
        <v>88</v>
      </c>
      <c r="M982" s="55"/>
      <c r="N982" s="55" t="s">
        <v>110</v>
      </c>
      <c r="O982" s="55"/>
      <c r="P982" s="61" t="s">
        <v>314</v>
      </c>
      <c r="Q982" s="61" t="s">
        <v>57</v>
      </c>
      <c r="R982" s="55"/>
      <c r="S982" s="56" t="s">
        <v>58</v>
      </c>
      <c r="T982" s="55" t="str">
        <f t="shared" si="17"/>
        <v>N</v>
      </c>
      <c r="U982" s="57">
        <v>2602</v>
      </c>
      <c r="V982" s="57" t="s">
        <v>101</v>
      </c>
      <c r="W982" s="55" t="s">
        <v>2319</v>
      </c>
      <c r="X982" s="54" t="s">
        <v>4991</v>
      </c>
      <c r="Y982" s="52"/>
      <c r="Z982" s="3" t="s">
        <v>154</v>
      </c>
      <c r="AA982" s="3" t="s">
        <v>2280</v>
      </c>
      <c r="AB982" s="3"/>
      <c r="AC982" s="3"/>
      <c r="AD982" s="3" t="s">
        <v>62</v>
      </c>
      <c r="AE982" s="3" t="s">
        <v>574</v>
      </c>
      <c r="AF982" s="3"/>
      <c r="AG982" s="3" t="s">
        <v>2282</v>
      </c>
      <c r="AH982" s="58">
        <v>100</v>
      </c>
      <c r="AI982" s="3"/>
      <c r="AJ982" s="3"/>
      <c r="AK982" s="3"/>
      <c r="AL982" s="3"/>
      <c r="AM982" s="3"/>
      <c r="AN982" s="3"/>
      <c r="AO982" s="3"/>
      <c r="AP982" s="3"/>
      <c r="AQ982" s="3"/>
      <c r="AR982" s="3"/>
      <c r="AS982" s="3"/>
      <c r="AT982" s="3"/>
      <c r="AU982" s="3"/>
      <c r="AV982" s="3"/>
      <c r="AW982" s="3"/>
      <c r="AX982" s="3"/>
      <c r="AY982" s="3"/>
      <c r="AZ982" s="4" t="s">
        <v>3920</v>
      </c>
      <c r="BA982" s="3" t="s">
        <v>3922</v>
      </c>
      <c r="BB982" s="1"/>
      <c r="BC982" s="1"/>
    </row>
    <row r="983" spans="1:55" s="78" customFormat="1" ht="15" customHeight="1" x14ac:dyDescent="0.25">
      <c r="A983" s="52" t="s">
        <v>4992</v>
      </c>
      <c r="B983" s="34" t="s">
        <v>59</v>
      </c>
      <c r="C983" s="53">
        <v>2026</v>
      </c>
      <c r="D983" s="53">
        <v>2026</v>
      </c>
      <c r="E983" s="54" t="s">
        <v>3600</v>
      </c>
      <c r="F983" s="55" t="s">
        <v>50</v>
      </c>
      <c r="G983" s="55" t="s">
        <v>50</v>
      </c>
      <c r="H983" s="45" t="s">
        <v>2279</v>
      </c>
      <c r="I983" s="56" t="s">
        <v>78</v>
      </c>
      <c r="J983" s="56"/>
      <c r="K983" s="55" t="s">
        <v>71</v>
      </c>
      <c r="L983" s="55" t="str">
        <f>IF(K983="Mine or Quarry","Mine","")</f>
        <v/>
      </c>
      <c r="M983" s="55"/>
      <c r="N983" s="55" t="s">
        <v>110</v>
      </c>
      <c r="O983" s="55"/>
      <c r="P983" s="55" t="s">
        <v>73</v>
      </c>
      <c r="Q983" s="55" t="s">
        <v>57</v>
      </c>
      <c r="R983" s="55"/>
      <c r="S983" s="56" t="s">
        <v>58</v>
      </c>
      <c r="T983" s="55" t="str">
        <f t="shared" si="17"/>
        <v>N</v>
      </c>
      <c r="U983" s="57">
        <v>8.7999999999999995E-2</v>
      </c>
      <c r="V983" s="57" t="s">
        <v>101</v>
      </c>
      <c r="W983" s="55" t="s">
        <v>2319</v>
      </c>
      <c r="X983" s="54" t="s">
        <v>4992</v>
      </c>
      <c r="Y983" s="52"/>
      <c r="Z983" s="3" t="s">
        <v>154</v>
      </c>
      <c r="AA983" s="3" t="s">
        <v>2280</v>
      </c>
      <c r="AB983" s="3"/>
      <c r="AC983" s="3"/>
      <c r="AD983" s="3" t="s">
        <v>62</v>
      </c>
      <c r="AE983" s="3" t="s">
        <v>574</v>
      </c>
      <c r="AF983" s="3"/>
      <c r="AG983" s="3" t="s">
        <v>2282</v>
      </c>
      <c r="AH983" s="58">
        <v>100</v>
      </c>
      <c r="AI983" s="3"/>
      <c r="AJ983" s="3"/>
      <c r="AK983" s="3"/>
      <c r="AL983" s="3"/>
      <c r="AM983" s="3"/>
      <c r="AN983" s="3"/>
      <c r="AO983" s="3"/>
      <c r="AP983" s="3"/>
      <c r="AQ983" s="3"/>
      <c r="AR983" s="3"/>
      <c r="AS983" s="3"/>
      <c r="AT983" s="3"/>
      <c r="AU983" s="3"/>
      <c r="AV983" s="3"/>
      <c r="AW983" s="3"/>
      <c r="AX983" s="3"/>
      <c r="AY983" s="3"/>
      <c r="AZ983" s="4" t="s">
        <v>3920</v>
      </c>
      <c r="BA983" s="3" t="s">
        <v>3922</v>
      </c>
      <c r="BB983" s="1"/>
      <c r="BC983" s="1"/>
    </row>
    <row r="984" spans="1:55" s="78" customFormat="1" ht="15" customHeight="1" x14ac:dyDescent="0.25">
      <c r="A984" s="52" t="s">
        <v>4993</v>
      </c>
      <c r="B984" s="34" t="s">
        <v>59</v>
      </c>
      <c r="C984" s="53">
        <v>2026</v>
      </c>
      <c r="D984" s="53">
        <v>2026</v>
      </c>
      <c r="E984" s="54" t="s">
        <v>3600</v>
      </c>
      <c r="F984" s="55" t="s">
        <v>50</v>
      </c>
      <c r="G984" s="55" t="s">
        <v>50</v>
      </c>
      <c r="H984" s="45" t="s">
        <v>2279</v>
      </c>
      <c r="I984" s="56" t="s">
        <v>78</v>
      </c>
      <c r="J984" s="56"/>
      <c r="K984" s="55" t="s">
        <v>74</v>
      </c>
      <c r="L984" s="55" t="str">
        <f>IF(K984="Mines and Quarries","Mine","")</f>
        <v/>
      </c>
      <c r="M984" s="55"/>
      <c r="N984" s="55" t="s">
        <v>110</v>
      </c>
      <c r="O984" s="55"/>
      <c r="P984" s="55" t="s">
        <v>75</v>
      </c>
      <c r="Q984" s="56" t="s">
        <v>57</v>
      </c>
      <c r="R984" s="55"/>
      <c r="S984" s="56" t="s">
        <v>58</v>
      </c>
      <c r="T984" s="55" t="str">
        <f t="shared" si="17"/>
        <v>N</v>
      </c>
      <c r="U984" s="57">
        <v>52.642000000000003</v>
      </c>
      <c r="V984" s="57" t="s">
        <v>101</v>
      </c>
      <c r="W984" s="55" t="s">
        <v>2319</v>
      </c>
      <c r="X984" s="54" t="s">
        <v>4993</v>
      </c>
      <c r="Y984" s="52"/>
      <c r="Z984" s="3" t="s">
        <v>154</v>
      </c>
      <c r="AA984" s="3" t="s">
        <v>2280</v>
      </c>
      <c r="AB984" s="3"/>
      <c r="AC984" s="3"/>
      <c r="AD984" s="3" t="s">
        <v>62</v>
      </c>
      <c r="AE984" s="3" t="s">
        <v>574</v>
      </c>
      <c r="AF984" s="3"/>
      <c r="AG984" s="3" t="s">
        <v>2282</v>
      </c>
      <c r="AH984" s="58">
        <v>100</v>
      </c>
      <c r="AI984" s="1"/>
      <c r="AJ984" s="3"/>
      <c r="AK984" s="3"/>
      <c r="AL984" s="3"/>
      <c r="AM984" s="3"/>
      <c r="AN984" s="3"/>
      <c r="AO984" s="3"/>
      <c r="AP984" s="3"/>
      <c r="AQ984" s="3"/>
      <c r="AR984" s="3"/>
      <c r="AS984" s="3"/>
      <c r="AT984" s="3"/>
      <c r="AU984" s="3"/>
      <c r="AV984" s="3"/>
      <c r="AW984" s="3"/>
      <c r="AX984" s="3"/>
      <c r="AY984" s="3"/>
      <c r="AZ984" s="4" t="s">
        <v>3920</v>
      </c>
      <c r="BA984" s="3" t="s">
        <v>3922</v>
      </c>
      <c r="BB984" s="1"/>
      <c r="BC984" s="1"/>
    </row>
    <row r="985" spans="1:55" s="78" customFormat="1" ht="15" customHeight="1" x14ac:dyDescent="0.25">
      <c r="A985" s="52" t="s">
        <v>4994</v>
      </c>
      <c r="B985" s="34" t="s">
        <v>59</v>
      </c>
      <c r="C985" s="53">
        <v>2026</v>
      </c>
      <c r="D985" s="53">
        <v>2026</v>
      </c>
      <c r="E985" s="54" t="s">
        <v>3601</v>
      </c>
      <c r="F985" s="55" t="s">
        <v>50</v>
      </c>
      <c r="G985" s="55" t="s">
        <v>50</v>
      </c>
      <c r="H985" s="45" t="s">
        <v>2284</v>
      </c>
      <c r="I985" s="56" t="s">
        <v>78</v>
      </c>
      <c r="J985" s="56"/>
      <c r="K985" s="55" t="s">
        <v>71</v>
      </c>
      <c r="L985" s="55" t="str">
        <f>IF(K985="Mine or Quarry","Mine","")</f>
        <v/>
      </c>
      <c r="M985" s="55"/>
      <c r="N985" s="55" t="s">
        <v>181</v>
      </c>
      <c r="O985" s="55"/>
      <c r="P985" s="55" t="s">
        <v>73</v>
      </c>
      <c r="Q985" s="55" t="s">
        <v>57</v>
      </c>
      <c r="R985" s="55"/>
      <c r="S985" s="56" t="s">
        <v>81</v>
      </c>
      <c r="T985" s="55" t="str">
        <f t="shared" si="17"/>
        <v>N</v>
      </c>
      <c r="U985" s="57">
        <v>1.0960000000000001</v>
      </c>
      <c r="V985" s="57" t="s">
        <v>101</v>
      </c>
      <c r="W985" s="55"/>
      <c r="X985" s="54" t="s">
        <v>4994</v>
      </c>
      <c r="Y985" s="52"/>
      <c r="Z985" s="3" t="s">
        <v>154</v>
      </c>
      <c r="AA985" s="3" t="s">
        <v>2285</v>
      </c>
      <c r="AB985" s="3"/>
      <c r="AC985" s="3"/>
      <c r="AD985" s="3" t="s">
        <v>62</v>
      </c>
      <c r="AE985" s="3" t="s">
        <v>83</v>
      </c>
      <c r="AF985" s="3" t="s">
        <v>2286</v>
      </c>
      <c r="AG985" s="3" t="s">
        <v>2287</v>
      </c>
      <c r="AH985" s="58">
        <v>100</v>
      </c>
      <c r="AI985" s="3"/>
      <c r="AJ985" s="3"/>
      <c r="AK985" s="3"/>
      <c r="AL985" s="3"/>
      <c r="AM985" s="3"/>
      <c r="AN985" s="3"/>
      <c r="AO985" s="3"/>
      <c r="AP985" s="3"/>
      <c r="AQ985" s="3"/>
      <c r="AR985" s="3"/>
      <c r="AS985" s="3"/>
      <c r="AT985" s="3"/>
      <c r="AU985" s="3"/>
      <c r="AV985" s="3"/>
      <c r="AW985" s="3"/>
      <c r="AX985" s="3"/>
      <c r="AY985" s="3"/>
      <c r="AZ985" s="4" t="s">
        <v>2283</v>
      </c>
      <c r="BA985" s="3"/>
      <c r="BB985" s="1"/>
      <c r="BC985" s="1"/>
    </row>
    <row r="986" spans="1:55" s="78" customFormat="1" ht="15" customHeight="1" x14ac:dyDescent="0.25">
      <c r="A986" s="52" t="s">
        <v>4995</v>
      </c>
      <c r="B986" s="34" t="s">
        <v>59</v>
      </c>
      <c r="C986" s="53">
        <v>2026</v>
      </c>
      <c r="D986" s="53">
        <v>2026</v>
      </c>
      <c r="E986" s="54" t="s">
        <v>3602</v>
      </c>
      <c r="F986" s="55" t="s">
        <v>50</v>
      </c>
      <c r="G986" s="55" t="s">
        <v>50</v>
      </c>
      <c r="H986" s="45" t="s">
        <v>2288</v>
      </c>
      <c r="I986" s="61" t="s">
        <v>52</v>
      </c>
      <c r="J986" s="56"/>
      <c r="K986" s="55" t="s">
        <v>71</v>
      </c>
      <c r="L986" s="55" t="str">
        <f>IF(K986="Mine or Quarry","Mine","")</f>
        <v/>
      </c>
      <c r="M986" s="55"/>
      <c r="N986" s="55" t="s">
        <v>110</v>
      </c>
      <c r="O986" s="45" t="s">
        <v>296</v>
      </c>
      <c r="P986" s="55" t="s">
        <v>73</v>
      </c>
      <c r="Q986" s="55" t="s">
        <v>57</v>
      </c>
      <c r="R986" s="55"/>
      <c r="S986" s="56" t="s">
        <v>81</v>
      </c>
      <c r="T986" s="55" t="str">
        <f t="shared" si="17"/>
        <v>N</v>
      </c>
      <c r="U986" s="57">
        <v>1.0960000000000001</v>
      </c>
      <c r="V986" s="57" t="s">
        <v>101</v>
      </c>
      <c r="W986" s="55"/>
      <c r="X986" s="54" t="s">
        <v>4995</v>
      </c>
      <c r="Y986" s="52"/>
      <c r="Z986" s="3" t="s">
        <v>154</v>
      </c>
      <c r="AA986" s="3" t="s">
        <v>2285</v>
      </c>
      <c r="AB986" s="3"/>
      <c r="AC986" s="3"/>
      <c r="AD986" s="3" t="s">
        <v>62</v>
      </c>
      <c r="AE986" s="3" t="s">
        <v>83</v>
      </c>
      <c r="AF986" s="3" t="s">
        <v>2286</v>
      </c>
      <c r="AG986" s="3" t="s">
        <v>2287</v>
      </c>
      <c r="AH986" s="58">
        <v>100</v>
      </c>
      <c r="AI986" s="3"/>
      <c r="AJ986" s="3"/>
      <c r="AK986" s="3"/>
      <c r="AL986" s="3"/>
      <c r="AM986" s="3"/>
      <c r="AN986" s="3"/>
      <c r="AO986" s="3"/>
      <c r="AP986" s="3"/>
      <c r="AQ986" s="3"/>
      <c r="AR986" s="3"/>
      <c r="AS986" s="3"/>
      <c r="AT986" s="3"/>
      <c r="AU986" s="3"/>
      <c r="AV986" s="3"/>
      <c r="AW986" s="3"/>
      <c r="AX986" s="3"/>
      <c r="AY986" s="3"/>
      <c r="AZ986" s="4" t="s">
        <v>2283</v>
      </c>
      <c r="BA986" s="3"/>
      <c r="BB986" s="1"/>
      <c r="BC986" s="1"/>
    </row>
    <row r="987" spans="1:55" s="78" customFormat="1" ht="15" customHeight="1" x14ac:dyDescent="0.25">
      <c r="A987" s="52" t="s">
        <v>4996</v>
      </c>
      <c r="B987" s="34" t="s">
        <v>59</v>
      </c>
      <c r="C987" s="53">
        <v>2026</v>
      </c>
      <c r="D987" s="53">
        <v>2026</v>
      </c>
      <c r="E987" s="54" t="s">
        <v>3603</v>
      </c>
      <c r="F987" s="55" t="s">
        <v>50</v>
      </c>
      <c r="G987" s="55" t="s">
        <v>50</v>
      </c>
      <c r="H987" s="45" t="s">
        <v>2290</v>
      </c>
      <c r="I987" s="56" t="s">
        <v>78</v>
      </c>
      <c r="J987" s="56"/>
      <c r="K987" s="56" t="s">
        <v>540</v>
      </c>
      <c r="L987" s="55"/>
      <c r="M987" s="55"/>
      <c r="N987" s="56" t="s">
        <v>181</v>
      </c>
      <c r="O987" s="56"/>
      <c r="P987" s="56" t="s">
        <v>543</v>
      </c>
      <c r="Q987" s="56" t="s">
        <v>57</v>
      </c>
      <c r="R987" s="55"/>
      <c r="S987" s="56" t="s">
        <v>58</v>
      </c>
      <c r="T987" s="55" t="s">
        <v>81</v>
      </c>
      <c r="U987" s="57">
        <v>66000</v>
      </c>
      <c r="V987" s="57" t="s">
        <v>101</v>
      </c>
      <c r="W987" s="55"/>
      <c r="X987" s="54" t="s">
        <v>4996</v>
      </c>
      <c r="Y987" s="52"/>
      <c r="Z987" s="3" t="s">
        <v>154</v>
      </c>
      <c r="AA987" s="1" t="s">
        <v>2291</v>
      </c>
      <c r="AB987" s="1"/>
      <c r="AC987" s="1"/>
      <c r="AD987" s="3" t="s">
        <v>62</v>
      </c>
      <c r="AE987" s="2" t="s">
        <v>83</v>
      </c>
      <c r="AF987" s="2"/>
      <c r="AG987" s="3" t="s">
        <v>2292</v>
      </c>
      <c r="AH987" s="58">
        <v>100</v>
      </c>
      <c r="AI987" s="1"/>
      <c r="AJ987" s="1"/>
      <c r="AK987" s="1"/>
      <c r="AL987" s="1"/>
      <c r="AM987" s="1"/>
      <c r="AN987" s="1"/>
      <c r="AO987" s="1"/>
      <c r="AP987" s="1"/>
      <c r="AQ987" s="1"/>
      <c r="AR987" s="1"/>
      <c r="AS987" s="1"/>
      <c r="AT987" s="1"/>
      <c r="AU987" s="1"/>
      <c r="AV987" s="1"/>
      <c r="AW987" s="1"/>
      <c r="AX987" s="1"/>
      <c r="AY987" s="1"/>
      <c r="AZ987" s="4" t="s">
        <v>2289</v>
      </c>
      <c r="BA987" s="1"/>
      <c r="BB987" s="1"/>
      <c r="BC987" s="1"/>
    </row>
    <row r="988" spans="1:55" s="78" customFormat="1" ht="15" customHeight="1" x14ac:dyDescent="0.25">
      <c r="A988" s="52" t="s">
        <v>4997</v>
      </c>
      <c r="B988" s="34" t="s">
        <v>59</v>
      </c>
      <c r="C988" s="53">
        <v>2026</v>
      </c>
      <c r="D988" s="53">
        <v>2026</v>
      </c>
      <c r="E988" s="54" t="s">
        <v>3603</v>
      </c>
      <c r="F988" s="55" t="s">
        <v>50</v>
      </c>
      <c r="G988" s="55" t="s">
        <v>50</v>
      </c>
      <c r="H988" s="45" t="s">
        <v>2290</v>
      </c>
      <c r="I988" s="56" t="s">
        <v>78</v>
      </c>
      <c r="J988" s="56"/>
      <c r="K988" s="55" t="s">
        <v>133</v>
      </c>
      <c r="L988" s="55" t="s">
        <v>88</v>
      </c>
      <c r="M988" s="55"/>
      <c r="N988" s="55" t="s">
        <v>181</v>
      </c>
      <c r="O988" s="55"/>
      <c r="P988" s="55" t="s">
        <v>134</v>
      </c>
      <c r="Q988" s="55" t="s">
        <v>57</v>
      </c>
      <c r="R988" s="55"/>
      <c r="S988" s="56" t="s">
        <v>58</v>
      </c>
      <c r="T988" s="55" t="s">
        <v>81</v>
      </c>
      <c r="U988" s="57">
        <v>19200</v>
      </c>
      <c r="V988" s="57" t="s">
        <v>101</v>
      </c>
      <c r="W988" s="55"/>
      <c r="X988" s="54" t="s">
        <v>4997</v>
      </c>
      <c r="Y988" s="52"/>
      <c r="Z988" s="3" t="s">
        <v>154</v>
      </c>
      <c r="AA988" s="1" t="s">
        <v>2291</v>
      </c>
      <c r="AB988" s="1"/>
      <c r="AC988" s="1"/>
      <c r="AD988" s="3" t="s">
        <v>62</v>
      </c>
      <c r="AE988" s="3" t="s">
        <v>83</v>
      </c>
      <c r="AF988" s="3"/>
      <c r="AG988" s="3" t="s">
        <v>2292</v>
      </c>
      <c r="AH988" s="58">
        <v>100</v>
      </c>
      <c r="AI988" s="3"/>
      <c r="AJ988" s="3"/>
      <c r="AK988" s="3"/>
      <c r="AL988" s="3"/>
      <c r="AM988" s="3"/>
      <c r="AN988" s="3"/>
      <c r="AO988" s="3"/>
      <c r="AP988" s="3"/>
      <c r="AQ988" s="3"/>
      <c r="AR988" s="3"/>
      <c r="AS988" s="3"/>
      <c r="AT988" s="3"/>
      <c r="AU988" s="3"/>
      <c r="AV988" s="3"/>
      <c r="AW988" s="3"/>
      <c r="AX988" s="3"/>
      <c r="AY988" s="3"/>
      <c r="AZ988" s="4" t="s">
        <v>2289</v>
      </c>
      <c r="BA988" s="3"/>
      <c r="BB988" s="1"/>
      <c r="BC988" s="1"/>
    </row>
    <row r="989" spans="1:55" s="78" customFormat="1" ht="15" customHeight="1" x14ac:dyDescent="0.25">
      <c r="A989" s="52" t="s">
        <v>4998</v>
      </c>
      <c r="B989" s="34" t="s">
        <v>59</v>
      </c>
      <c r="C989" s="53">
        <v>2026</v>
      </c>
      <c r="D989" s="53">
        <v>2026</v>
      </c>
      <c r="E989" s="54" t="s">
        <v>3604</v>
      </c>
      <c r="F989" s="55" t="s">
        <v>50</v>
      </c>
      <c r="G989" s="55" t="s">
        <v>50</v>
      </c>
      <c r="H989" s="45" t="s">
        <v>2293</v>
      </c>
      <c r="I989" s="61" t="s">
        <v>52</v>
      </c>
      <c r="J989" s="56"/>
      <c r="K989" s="55" t="s">
        <v>540</v>
      </c>
      <c r="L989" s="55" t="str">
        <f>IF(K989="Mine or Quarry","Mine","")</f>
        <v/>
      </c>
      <c r="M989" s="55"/>
      <c r="N989" s="55"/>
      <c r="O989" s="55" t="s">
        <v>1168</v>
      </c>
      <c r="P989" s="56" t="s">
        <v>543</v>
      </c>
      <c r="Q989" s="56" t="s">
        <v>57</v>
      </c>
      <c r="R989" s="55"/>
      <c r="S989" s="56" t="s">
        <v>58</v>
      </c>
      <c r="T989" s="55" t="str">
        <f>IF(ISNUMBER(SEARCH(",",N989)),"Y","N")</f>
        <v>N</v>
      </c>
      <c r="U989" s="57">
        <v>66000</v>
      </c>
      <c r="V989" s="57" t="s">
        <v>101</v>
      </c>
      <c r="W989" s="55"/>
      <c r="X989" s="54" t="s">
        <v>4998</v>
      </c>
      <c r="Y989" s="52"/>
      <c r="Z989" s="3" t="s">
        <v>154</v>
      </c>
      <c r="AA989" s="1" t="s">
        <v>2291</v>
      </c>
      <c r="AB989" s="1"/>
      <c r="AC989" s="1"/>
      <c r="AD989" s="3" t="s">
        <v>62</v>
      </c>
      <c r="AE989" s="3" t="s">
        <v>83</v>
      </c>
      <c r="AF989" s="3"/>
      <c r="AG989" s="3" t="s">
        <v>2292</v>
      </c>
      <c r="AH989" s="58">
        <v>100</v>
      </c>
      <c r="AI989" s="3"/>
      <c r="AJ989" s="3"/>
      <c r="AK989" s="3"/>
      <c r="AL989" s="3"/>
      <c r="AM989" s="3"/>
      <c r="AN989" s="3"/>
      <c r="AO989" s="3"/>
      <c r="AP989" s="3"/>
      <c r="AQ989" s="3"/>
      <c r="AR989" s="3"/>
      <c r="AS989" s="3"/>
      <c r="AT989" s="3"/>
      <c r="AU989" s="3"/>
      <c r="AV989" s="3"/>
      <c r="AW989" s="3"/>
      <c r="AX989" s="3"/>
      <c r="AY989" s="3"/>
      <c r="AZ989" s="4" t="s">
        <v>2289</v>
      </c>
      <c r="BA989" s="3"/>
      <c r="BB989" s="1"/>
      <c r="BC989" s="1"/>
    </row>
    <row r="990" spans="1:55" s="78" customFormat="1" ht="15" customHeight="1" x14ac:dyDescent="0.25">
      <c r="A990" s="52" t="s">
        <v>4999</v>
      </c>
      <c r="B990" s="34" t="s">
        <v>59</v>
      </c>
      <c r="C990" s="53">
        <v>2026</v>
      </c>
      <c r="D990" s="53">
        <v>2026</v>
      </c>
      <c r="E990" s="54" t="s">
        <v>3604</v>
      </c>
      <c r="F990" s="55" t="s">
        <v>50</v>
      </c>
      <c r="G990" s="55" t="s">
        <v>50</v>
      </c>
      <c r="H990" s="45" t="s">
        <v>2293</v>
      </c>
      <c r="I990" s="61" t="s">
        <v>52</v>
      </c>
      <c r="J990" s="56"/>
      <c r="K990" s="55" t="s">
        <v>133</v>
      </c>
      <c r="L990" s="55" t="s">
        <v>54</v>
      </c>
      <c r="M990" s="55"/>
      <c r="N990" s="55" t="s">
        <v>2294</v>
      </c>
      <c r="O990" s="55"/>
      <c r="P990" s="55" t="s">
        <v>134</v>
      </c>
      <c r="Q990" s="55" t="s">
        <v>57</v>
      </c>
      <c r="R990" s="55"/>
      <c r="S990" s="56" t="s">
        <v>58</v>
      </c>
      <c r="T990" s="55" t="str">
        <f>IF(ISNUMBER(SEARCH(",",N990)),"Y","N")</f>
        <v>Y</v>
      </c>
      <c r="U990" s="57">
        <v>19200</v>
      </c>
      <c r="V990" s="57" t="s">
        <v>101</v>
      </c>
      <c r="W990" s="55"/>
      <c r="X990" s="54" t="s">
        <v>4999</v>
      </c>
      <c r="Y990" s="52"/>
      <c r="Z990" s="3" t="s">
        <v>154</v>
      </c>
      <c r="AA990" s="1" t="s">
        <v>2291</v>
      </c>
      <c r="AB990" s="1"/>
      <c r="AC990" s="1"/>
      <c r="AD990" s="3" t="s">
        <v>62</v>
      </c>
      <c r="AE990" s="3" t="s">
        <v>83</v>
      </c>
      <c r="AF990" s="3"/>
      <c r="AG990" s="3" t="s">
        <v>2292</v>
      </c>
      <c r="AH990" s="58">
        <v>100</v>
      </c>
      <c r="AI990" s="3"/>
      <c r="AJ990" s="3"/>
      <c r="AK990" s="3"/>
      <c r="AL990" s="3"/>
      <c r="AM990" s="3"/>
      <c r="AN990" s="3"/>
      <c r="AO990" s="3"/>
      <c r="AP990" s="3"/>
      <c r="AQ990" s="3"/>
      <c r="AR990" s="3"/>
      <c r="AS990" s="3"/>
      <c r="AT990" s="3"/>
      <c r="AU990" s="3"/>
      <c r="AV990" s="3"/>
      <c r="AW990" s="3"/>
      <c r="AX990" s="3"/>
      <c r="AY990" s="3"/>
      <c r="AZ990" s="4" t="s">
        <v>2289</v>
      </c>
      <c r="BA990" s="3"/>
      <c r="BB990" s="1"/>
      <c r="BC990" s="1"/>
    </row>
    <row r="991" spans="1:55" s="78" customFormat="1" ht="15" customHeight="1" x14ac:dyDescent="0.25">
      <c r="A991" s="52" t="s">
        <v>5000</v>
      </c>
      <c r="B991" s="34" t="s">
        <v>59</v>
      </c>
      <c r="C991" s="53">
        <v>2026</v>
      </c>
      <c r="D991" s="53">
        <v>2026</v>
      </c>
      <c r="E991" s="54" t="s">
        <v>3605</v>
      </c>
      <c r="F991" s="55" t="s">
        <v>50</v>
      </c>
      <c r="G991" s="55" t="s">
        <v>50</v>
      </c>
      <c r="H991" s="45" t="s">
        <v>2295</v>
      </c>
      <c r="I991" s="56" t="s">
        <v>52</v>
      </c>
      <c r="J991" s="56"/>
      <c r="K991" s="56" t="s">
        <v>140</v>
      </c>
      <c r="L991" s="55" t="s">
        <v>54</v>
      </c>
      <c r="M991" s="55"/>
      <c r="N991" s="55" t="s">
        <v>141</v>
      </c>
      <c r="O991" s="55"/>
      <c r="P991" s="55" t="s">
        <v>142</v>
      </c>
      <c r="Q991" s="55" t="s">
        <v>57</v>
      </c>
      <c r="R991" s="55"/>
      <c r="S991" s="56" t="s">
        <v>81</v>
      </c>
      <c r="T991" s="55" t="s">
        <v>81</v>
      </c>
      <c r="U991" s="57">
        <v>10000</v>
      </c>
      <c r="V991" s="57" t="s">
        <v>101</v>
      </c>
      <c r="W991" s="55" t="s">
        <v>2319</v>
      </c>
      <c r="X991" s="54" t="s">
        <v>5000</v>
      </c>
      <c r="Y991" s="52"/>
      <c r="Z991" s="1" t="s">
        <v>61</v>
      </c>
      <c r="AA991" s="3" t="s">
        <v>2296</v>
      </c>
      <c r="AB991" s="3"/>
      <c r="AC991" s="3"/>
      <c r="AD991" s="3" t="s">
        <v>62</v>
      </c>
      <c r="AE991" s="1" t="s">
        <v>214</v>
      </c>
      <c r="AF991" s="1"/>
      <c r="AG991" s="1" t="s">
        <v>145</v>
      </c>
      <c r="AH991" s="2">
        <v>100</v>
      </c>
      <c r="AI991" s="3"/>
      <c r="AJ991" s="3"/>
      <c r="AK991" s="3"/>
      <c r="AL991" s="3"/>
      <c r="AM991" s="3"/>
      <c r="AN991" s="3"/>
      <c r="AO991" s="3"/>
      <c r="AP991" s="3"/>
      <c r="AQ991" s="3"/>
      <c r="AR991" s="3"/>
      <c r="AS991" s="3"/>
      <c r="AT991" s="3"/>
      <c r="AU991" s="3"/>
      <c r="AV991" s="3"/>
      <c r="AW991" s="3"/>
      <c r="AX991" s="3"/>
      <c r="AY991" s="3"/>
      <c r="AZ991" s="4" t="s">
        <v>139</v>
      </c>
      <c r="BA991" s="3"/>
      <c r="BB991" s="1"/>
      <c r="BC991" s="1"/>
    </row>
    <row r="992" spans="1:55" s="78" customFormat="1" ht="15" customHeight="1" x14ac:dyDescent="0.25">
      <c r="A992" s="52" t="s">
        <v>5001</v>
      </c>
      <c r="B992" s="34" t="s">
        <v>59</v>
      </c>
      <c r="C992" s="53">
        <v>2026</v>
      </c>
      <c r="D992" s="53">
        <v>2026</v>
      </c>
      <c r="E992" s="54" t="s">
        <v>3606</v>
      </c>
      <c r="F992" s="55" t="s">
        <v>50</v>
      </c>
      <c r="G992" s="55" t="s">
        <v>50</v>
      </c>
      <c r="H992" s="45" t="s">
        <v>2298</v>
      </c>
      <c r="I992" s="45" t="s">
        <v>52</v>
      </c>
      <c r="J992" s="56"/>
      <c r="K992" s="55" t="s">
        <v>210</v>
      </c>
      <c r="L992" s="55" t="s">
        <v>54</v>
      </c>
      <c r="M992" s="55"/>
      <c r="N992" s="55" t="s">
        <v>212</v>
      </c>
      <c r="O992" s="55" t="s">
        <v>603</v>
      </c>
      <c r="P992" s="55" t="s">
        <v>89</v>
      </c>
      <c r="Q992" s="55" t="s">
        <v>89</v>
      </c>
      <c r="R992" s="55"/>
      <c r="S992" s="56" t="s">
        <v>81</v>
      </c>
      <c r="T992" s="55" t="s">
        <v>81</v>
      </c>
      <c r="U992" s="57">
        <v>200000</v>
      </c>
      <c r="V992" s="57" t="s">
        <v>101</v>
      </c>
      <c r="W992" s="55" t="s">
        <v>2319</v>
      </c>
      <c r="X992" s="54" t="s">
        <v>5001</v>
      </c>
      <c r="Y992" s="52"/>
      <c r="Z992" s="3" t="s">
        <v>61</v>
      </c>
      <c r="AA992" s="1" t="s">
        <v>2299</v>
      </c>
      <c r="AB992" s="1"/>
      <c r="AC992" s="1"/>
      <c r="AD992" s="3" t="s">
        <v>62</v>
      </c>
      <c r="AE992" s="3" t="s">
        <v>464</v>
      </c>
      <c r="AF992" s="3"/>
      <c r="AG992" s="1" t="s">
        <v>215</v>
      </c>
      <c r="AH992" s="2">
        <v>100</v>
      </c>
      <c r="AI992" s="1"/>
      <c r="AJ992" s="2"/>
      <c r="AK992" s="3"/>
      <c r="AL992" s="3"/>
      <c r="AM992" s="3"/>
      <c r="AN992" s="3"/>
      <c r="AO992" s="3"/>
      <c r="AP992" s="3"/>
      <c r="AQ992" s="3"/>
      <c r="AR992" s="3"/>
      <c r="AS992" s="3"/>
      <c r="AT992" s="3"/>
      <c r="AU992" s="3"/>
      <c r="AV992" s="3"/>
      <c r="AW992" s="3"/>
      <c r="AX992" s="3"/>
      <c r="AY992" s="3"/>
      <c r="AZ992" s="4" t="s">
        <v>2297</v>
      </c>
      <c r="BA992" s="3"/>
      <c r="BB992" s="1"/>
      <c r="BC992" s="1"/>
    </row>
    <row r="993" spans="1:55" s="78" customFormat="1" ht="15" customHeight="1" x14ac:dyDescent="0.25">
      <c r="A993" s="52" t="s">
        <v>5002</v>
      </c>
      <c r="B993" s="34" t="s">
        <v>59</v>
      </c>
      <c r="C993" s="53">
        <v>2026</v>
      </c>
      <c r="D993" s="53">
        <v>2026</v>
      </c>
      <c r="E993" s="54" t="s">
        <v>3607</v>
      </c>
      <c r="F993" s="55" t="s">
        <v>50</v>
      </c>
      <c r="G993" s="55" t="s">
        <v>50</v>
      </c>
      <c r="H993" s="45" t="s">
        <v>2301</v>
      </c>
      <c r="I993" s="45" t="s">
        <v>52</v>
      </c>
      <c r="J993" s="56"/>
      <c r="K993" s="55" t="s">
        <v>53</v>
      </c>
      <c r="L993" s="55" t="s">
        <v>317</v>
      </c>
      <c r="M993" s="55" t="s">
        <v>113</v>
      </c>
      <c r="N993" s="55" t="s">
        <v>2302</v>
      </c>
      <c r="O993" s="55"/>
      <c r="P993" s="55" t="s">
        <v>56</v>
      </c>
      <c r="Q993" s="55" t="s">
        <v>57</v>
      </c>
      <c r="R993" s="55"/>
      <c r="S993" s="56" t="s">
        <v>81</v>
      </c>
      <c r="T993" s="55" t="str">
        <f>IF(ISNUMBER(SEARCH(",",N993)),"Y","N")</f>
        <v>N</v>
      </c>
      <c r="U993" s="57">
        <v>70000</v>
      </c>
      <c r="V993" s="57" t="s">
        <v>101</v>
      </c>
      <c r="W993" s="55" t="s">
        <v>2319</v>
      </c>
      <c r="X993" s="54" t="s">
        <v>5002</v>
      </c>
      <c r="Y993" s="52"/>
      <c r="Z993" s="3" t="s">
        <v>154</v>
      </c>
      <c r="AA993" s="3" t="s">
        <v>2303</v>
      </c>
      <c r="AB993" s="3"/>
      <c r="AC993" s="3"/>
      <c r="AD993" s="3" t="s">
        <v>62</v>
      </c>
      <c r="AE993" s="3" t="s">
        <v>262</v>
      </c>
      <c r="AF993" s="3"/>
      <c r="AG993" s="3" t="s">
        <v>2304</v>
      </c>
      <c r="AH993" s="58">
        <v>100</v>
      </c>
      <c r="AI993" s="3"/>
      <c r="AJ993" s="3"/>
      <c r="AK993" s="3"/>
      <c r="AL993" s="3"/>
      <c r="AM993" s="3"/>
      <c r="AN993" s="3"/>
      <c r="AO993" s="3"/>
      <c r="AP993" s="3"/>
      <c r="AQ993" s="3"/>
      <c r="AR993" s="3"/>
      <c r="AS993" s="3"/>
      <c r="AT993" s="3"/>
      <c r="AU993" s="3"/>
      <c r="AV993" s="3"/>
      <c r="AW993" s="3"/>
      <c r="AX993" s="3"/>
      <c r="AY993" s="3"/>
      <c r="AZ993" s="4" t="s">
        <v>2300</v>
      </c>
      <c r="BA993" s="3"/>
      <c r="BB993" s="1"/>
      <c r="BC993" s="1"/>
    </row>
    <row r="994" spans="1:55" s="78" customFormat="1" ht="15" customHeight="1" x14ac:dyDescent="0.25">
      <c r="A994" s="52" t="s">
        <v>5003</v>
      </c>
      <c r="B994" s="34" t="s">
        <v>59</v>
      </c>
      <c r="C994" s="53">
        <v>2026</v>
      </c>
      <c r="D994" s="53">
        <v>2026</v>
      </c>
      <c r="E994" s="54" t="s">
        <v>3608</v>
      </c>
      <c r="F994" s="55" t="s">
        <v>50</v>
      </c>
      <c r="G994" s="55" t="s">
        <v>50</v>
      </c>
      <c r="H994" s="45" t="s">
        <v>2306</v>
      </c>
      <c r="I994" s="56" t="s">
        <v>52</v>
      </c>
      <c r="J994" s="56"/>
      <c r="K994" s="56" t="s">
        <v>346</v>
      </c>
      <c r="L994" s="55" t="str">
        <f>IF(K994="Mine or Quarry","Mine","")</f>
        <v/>
      </c>
      <c r="M994" s="55"/>
      <c r="N994" s="56" t="s">
        <v>788</v>
      </c>
      <c r="O994" s="56" t="s">
        <v>1374</v>
      </c>
      <c r="P994" s="56" t="s">
        <v>89</v>
      </c>
      <c r="Q994" s="56" t="s">
        <v>89</v>
      </c>
      <c r="R994" s="55"/>
      <c r="S994" s="56" t="s">
        <v>81</v>
      </c>
      <c r="T994" s="55" t="str">
        <f>IF(ISNUMBER(SEARCH(",",N994)),"Y","N")</f>
        <v>N</v>
      </c>
      <c r="U994" s="57">
        <v>-999</v>
      </c>
      <c r="V994" s="57" t="s">
        <v>59</v>
      </c>
      <c r="W994" s="55" t="s">
        <v>2319</v>
      </c>
      <c r="X994" s="54" t="s">
        <v>5003</v>
      </c>
      <c r="Y994" s="52"/>
      <c r="Z994" s="2" t="s">
        <v>61</v>
      </c>
      <c r="AA994" s="1" t="s">
        <v>2307</v>
      </c>
      <c r="AB994" s="1"/>
      <c r="AC994" s="1"/>
      <c r="AD994" s="3" t="s">
        <v>62</v>
      </c>
      <c r="AE994" s="2" t="s">
        <v>353</v>
      </c>
      <c r="AF994" s="2"/>
      <c r="AG994" s="1" t="s">
        <v>2308</v>
      </c>
      <c r="AH994" s="2">
        <v>100</v>
      </c>
      <c r="AI994" s="1"/>
      <c r="AJ994" s="1"/>
      <c r="AK994" s="1"/>
      <c r="AL994" s="1"/>
      <c r="AM994" s="1"/>
      <c r="AN994" s="1"/>
      <c r="AO994" s="1"/>
      <c r="AP994" s="1"/>
      <c r="AQ994" s="1"/>
      <c r="AR994" s="1"/>
      <c r="AS994" s="1"/>
      <c r="AT994" s="1"/>
      <c r="AU994" s="1"/>
      <c r="AV994" s="1"/>
      <c r="AW994" s="1"/>
      <c r="AX994" s="1"/>
      <c r="AY994" s="1"/>
      <c r="AZ994" s="4" t="s">
        <v>2305</v>
      </c>
      <c r="BA994" s="4"/>
      <c r="BB994" s="1"/>
      <c r="BC994" s="1"/>
    </row>
    <row r="995" spans="1:55" s="78" customFormat="1" ht="15" customHeight="1" x14ac:dyDescent="0.25">
      <c r="A995" s="52" t="s">
        <v>5004</v>
      </c>
      <c r="B995" s="34" t="s">
        <v>59</v>
      </c>
      <c r="C995" s="53">
        <v>2026</v>
      </c>
      <c r="D995" s="53">
        <v>2026</v>
      </c>
      <c r="E995" s="54" t="s">
        <v>3609</v>
      </c>
      <c r="F995" s="55" t="s">
        <v>50</v>
      </c>
      <c r="G995" s="55" t="s">
        <v>50</v>
      </c>
      <c r="H995" s="45" t="s">
        <v>2310</v>
      </c>
      <c r="I995" s="56" t="s">
        <v>52</v>
      </c>
      <c r="J995" s="56"/>
      <c r="K995" s="56" t="s">
        <v>346</v>
      </c>
      <c r="L995" s="55" t="str">
        <f>IF(K995="Mine or Quarry","Mine","")</f>
        <v/>
      </c>
      <c r="M995" s="55"/>
      <c r="N995" s="56" t="s">
        <v>788</v>
      </c>
      <c r="O995" s="56" t="s">
        <v>276</v>
      </c>
      <c r="P995" s="56" t="s">
        <v>89</v>
      </c>
      <c r="Q995" s="56" t="s">
        <v>89</v>
      </c>
      <c r="R995" s="55"/>
      <c r="S995" s="56" t="s">
        <v>81</v>
      </c>
      <c r="T995" s="55" t="s">
        <v>81</v>
      </c>
      <c r="U995" s="57">
        <v>30000</v>
      </c>
      <c r="V995" s="57" t="s">
        <v>101</v>
      </c>
      <c r="W995" s="55" t="s">
        <v>2319</v>
      </c>
      <c r="X995" s="54" t="s">
        <v>5004</v>
      </c>
      <c r="Y995" s="52"/>
      <c r="Z995" s="2" t="s">
        <v>61</v>
      </c>
      <c r="AA995" s="1" t="s">
        <v>2311</v>
      </c>
      <c r="AB995" s="1"/>
      <c r="AC995" s="1"/>
      <c r="AD995" s="3" t="s">
        <v>62</v>
      </c>
      <c r="AE995" s="2" t="s">
        <v>695</v>
      </c>
      <c r="AF995" s="2"/>
      <c r="AG995" s="1" t="s">
        <v>2312</v>
      </c>
      <c r="AH995" s="2">
        <v>100</v>
      </c>
      <c r="AI995" s="1"/>
      <c r="AJ995" s="1"/>
      <c r="AK995" s="1"/>
      <c r="AL995" s="1"/>
      <c r="AM995" s="1"/>
      <c r="AN995" s="1"/>
      <c r="AO995" s="1"/>
      <c r="AP995" s="1"/>
      <c r="AQ995" s="1"/>
      <c r="AR995" s="1"/>
      <c r="AS995" s="1"/>
      <c r="AT995" s="1"/>
      <c r="AU995" s="1"/>
      <c r="AV995" s="1"/>
      <c r="AW995" s="1"/>
      <c r="AX995" s="1"/>
      <c r="AY995" s="1"/>
      <c r="AZ995" s="4" t="s">
        <v>2309</v>
      </c>
      <c r="BA995" s="1"/>
      <c r="BB995" s="1"/>
      <c r="BC995" s="1"/>
    </row>
    <row r="996" spans="1:55" s="78" customFormat="1" ht="15" customHeight="1" x14ac:dyDescent="0.25">
      <c r="A996" s="52" t="s">
        <v>5005</v>
      </c>
      <c r="B996" s="34" t="s">
        <v>59</v>
      </c>
      <c r="C996" s="53">
        <v>2026</v>
      </c>
      <c r="D996" s="53">
        <v>2026</v>
      </c>
      <c r="E996" s="54" t="s">
        <v>3610</v>
      </c>
      <c r="F996" s="55" t="s">
        <v>50</v>
      </c>
      <c r="G996" s="55" t="s">
        <v>50</v>
      </c>
      <c r="H996" s="45" t="s">
        <v>2314</v>
      </c>
      <c r="I996" s="45" t="s">
        <v>52</v>
      </c>
      <c r="J996" s="56"/>
      <c r="K996" s="55" t="s">
        <v>210</v>
      </c>
      <c r="L996" s="55" t="s">
        <v>54</v>
      </c>
      <c r="M996" s="55" t="s">
        <v>211</v>
      </c>
      <c r="N996" s="55" t="s">
        <v>212</v>
      </c>
      <c r="O996" s="55"/>
      <c r="P996" s="55" t="s">
        <v>89</v>
      </c>
      <c r="Q996" s="55" t="s">
        <v>89</v>
      </c>
      <c r="R996" s="55"/>
      <c r="S996" s="56" t="s">
        <v>81</v>
      </c>
      <c r="T996" s="55" t="s">
        <v>81</v>
      </c>
      <c r="U996" s="57">
        <v>-999</v>
      </c>
      <c r="V996" s="57" t="s">
        <v>59</v>
      </c>
      <c r="W996" s="55" t="s">
        <v>2319</v>
      </c>
      <c r="X996" s="54" t="s">
        <v>5005</v>
      </c>
      <c r="Y996" s="52"/>
      <c r="Z996" s="3" t="s">
        <v>61</v>
      </c>
      <c r="AA996" s="1" t="s">
        <v>2315</v>
      </c>
      <c r="AB996" s="1"/>
      <c r="AC996" s="1"/>
      <c r="AD996" s="3" t="s">
        <v>62</v>
      </c>
      <c r="AE996" s="3" t="s">
        <v>387</v>
      </c>
      <c r="AF996" s="3"/>
      <c r="AG996" s="1" t="s">
        <v>215</v>
      </c>
      <c r="AH996" s="2">
        <v>100</v>
      </c>
      <c r="AI996" s="1"/>
      <c r="AJ996" s="2"/>
      <c r="AK996" s="3"/>
      <c r="AL996" s="3"/>
      <c r="AM996" s="3"/>
      <c r="AN996" s="3"/>
      <c r="AO996" s="3"/>
      <c r="AP996" s="3"/>
      <c r="AQ996" s="3"/>
      <c r="AR996" s="3"/>
      <c r="AS996" s="3"/>
      <c r="AT996" s="3"/>
      <c r="AU996" s="3"/>
      <c r="AV996" s="3"/>
      <c r="AW996" s="3"/>
      <c r="AX996" s="3"/>
      <c r="AY996" s="3"/>
      <c r="AZ996" s="4" t="s">
        <v>2313</v>
      </c>
      <c r="BA996" s="3"/>
      <c r="BB996" s="1"/>
      <c r="BC996" s="1"/>
    </row>
    <row r="997" spans="1:55" s="78" customFormat="1" ht="15" customHeight="1" x14ac:dyDescent="0.25">
      <c r="A997" s="52" t="s">
        <v>5006</v>
      </c>
      <c r="B997" s="34" t="s">
        <v>59</v>
      </c>
      <c r="C997" s="53">
        <v>2026</v>
      </c>
      <c r="D997" s="53">
        <v>2026</v>
      </c>
      <c r="E997" s="54" t="s">
        <v>3611</v>
      </c>
      <c r="F997" s="55" t="s">
        <v>50</v>
      </c>
      <c r="G997" s="55" t="s">
        <v>50</v>
      </c>
      <c r="H997" s="45" t="s">
        <v>2316</v>
      </c>
      <c r="I997" s="45" t="s">
        <v>52</v>
      </c>
      <c r="J997" s="56" t="s">
        <v>291</v>
      </c>
      <c r="K997" s="55" t="s">
        <v>291</v>
      </c>
      <c r="L997" s="55"/>
      <c r="M997" s="55"/>
      <c r="N997" s="56" t="s">
        <v>1919</v>
      </c>
      <c r="O997" s="56"/>
      <c r="P997" s="56" t="s">
        <v>293</v>
      </c>
      <c r="Q997" s="55" t="s">
        <v>57</v>
      </c>
      <c r="R997" s="55"/>
      <c r="S997" s="56" t="s">
        <v>81</v>
      </c>
      <c r="T997" s="55" t="str">
        <f>IF(ISNUMBER(SEARCH(",",N997)),"Y","N")</f>
        <v>N</v>
      </c>
      <c r="U997" s="57">
        <v>1600000</v>
      </c>
      <c r="V997" s="57" t="s">
        <v>101</v>
      </c>
      <c r="W997" s="55" t="s">
        <v>2319</v>
      </c>
      <c r="X997" s="54" t="s">
        <v>5006</v>
      </c>
      <c r="Y997" s="52"/>
      <c r="Z997" s="3" t="s">
        <v>61</v>
      </c>
      <c r="AA997" s="1" t="s">
        <v>2317</v>
      </c>
      <c r="AB997" s="1"/>
      <c r="AC997" s="1"/>
      <c r="AD997" s="3" t="s">
        <v>62</v>
      </c>
      <c r="AE997" s="3" t="s">
        <v>360</v>
      </c>
      <c r="AF997" s="3"/>
      <c r="AG997" s="3" t="s">
        <v>361</v>
      </c>
      <c r="AH997" s="58">
        <v>100</v>
      </c>
      <c r="AI997" s="1"/>
      <c r="AJ997" s="1"/>
      <c r="AK997" s="1"/>
      <c r="AL997" s="1"/>
      <c r="AM997" s="1"/>
      <c r="AN997" s="1"/>
      <c r="AO997" s="1"/>
      <c r="AP997" s="1"/>
      <c r="AQ997" s="1"/>
      <c r="AR997" s="1"/>
      <c r="AS997" s="1"/>
      <c r="AT997" s="1"/>
      <c r="AU997" s="1"/>
      <c r="AV997" s="1"/>
      <c r="AW997" s="1"/>
      <c r="AX997" s="1"/>
      <c r="AY997" s="1"/>
      <c r="AZ997" s="4" t="s">
        <v>356</v>
      </c>
      <c r="BA997" s="1"/>
      <c r="BB997" s="1"/>
      <c r="BC997" s="1"/>
    </row>
    <row r="998" spans="1:55" s="78" customFormat="1" ht="15" customHeight="1" x14ac:dyDescent="0.25">
      <c r="A998" s="52" t="s">
        <v>5007</v>
      </c>
      <c r="B998" s="34" t="s">
        <v>59</v>
      </c>
      <c r="C998" s="53">
        <v>2026</v>
      </c>
      <c r="D998" s="53">
        <v>2026</v>
      </c>
      <c r="E998" s="54" t="s">
        <v>3612</v>
      </c>
      <c r="F998" s="55" t="s">
        <v>50</v>
      </c>
      <c r="G998" s="55" t="s">
        <v>50</v>
      </c>
      <c r="H998" s="45" t="s">
        <v>2318</v>
      </c>
      <c r="I998" s="56" t="s">
        <v>52</v>
      </c>
      <c r="J998" s="56"/>
      <c r="K998" s="56" t="s">
        <v>392</v>
      </c>
      <c r="L998" s="55" t="s">
        <v>2319</v>
      </c>
      <c r="M998" s="55" t="s">
        <v>113</v>
      </c>
      <c r="N998" s="56" t="s">
        <v>358</v>
      </c>
      <c r="O998" s="56" t="s">
        <v>1394</v>
      </c>
      <c r="P998" s="55" t="s">
        <v>394</v>
      </c>
      <c r="Q998" s="55" t="s">
        <v>57</v>
      </c>
      <c r="R998" s="55"/>
      <c r="S998" s="56" t="s">
        <v>81</v>
      </c>
      <c r="T998" s="55" t="s">
        <v>58</v>
      </c>
      <c r="U998" s="57">
        <v>5440</v>
      </c>
      <c r="V998" s="57" t="s">
        <v>101</v>
      </c>
      <c r="W998" s="55" t="s">
        <v>2319</v>
      </c>
      <c r="X998" s="54" t="s">
        <v>5007</v>
      </c>
      <c r="Y998" s="52"/>
      <c r="Z998" s="2" t="s">
        <v>61</v>
      </c>
      <c r="AA998" s="1" t="s">
        <v>3973</v>
      </c>
      <c r="AB998" s="1"/>
      <c r="AC998" s="1"/>
      <c r="AD998" s="3" t="s">
        <v>62</v>
      </c>
      <c r="AE998" s="2" t="s">
        <v>366</v>
      </c>
      <c r="AF998" s="2"/>
      <c r="AG998" s="3" t="s">
        <v>1395</v>
      </c>
      <c r="AH998" s="58">
        <v>100</v>
      </c>
      <c r="AI998" s="1"/>
      <c r="AJ998" s="1"/>
      <c r="AK998" s="1"/>
      <c r="AL998" s="1"/>
      <c r="AM998" s="1"/>
      <c r="AN998" s="1"/>
      <c r="AO998" s="1"/>
      <c r="AP998" s="1"/>
      <c r="AQ998" s="1"/>
      <c r="AR998" s="1"/>
      <c r="AS998" s="1"/>
      <c r="AT998" s="1"/>
      <c r="AU998" s="3"/>
      <c r="AV998" s="3"/>
      <c r="AW998" s="3"/>
      <c r="AX998" s="3"/>
      <c r="AY998" s="3"/>
      <c r="AZ998" s="4" t="s">
        <v>1392</v>
      </c>
      <c r="BA998" s="3"/>
      <c r="BB998" s="1"/>
      <c r="BC998" s="1"/>
    </row>
    <row r="999" spans="1:55" s="78" customFormat="1" ht="15" customHeight="1" x14ac:dyDescent="0.25">
      <c r="A999" s="52" t="s">
        <v>5008</v>
      </c>
      <c r="B999" s="34" t="s">
        <v>59</v>
      </c>
      <c r="C999" s="53">
        <v>2026</v>
      </c>
      <c r="D999" s="53">
        <v>2026</v>
      </c>
      <c r="E999" s="54" t="s">
        <v>3613</v>
      </c>
      <c r="F999" s="55" t="s">
        <v>50</v>
      </c>
      <c r="G999" s="55" t="s">
        <v>50</v>
      </c>
      <c r="H999" s="45" t="s">
        <v>2881</v>
      </c>
      <c r="I999" s="56" t="s">
        <v>52</v>
      </c>
      <c r="J999" s="56"/>
      <c r="K999" s="56" t="s">
        <v>87</v>
      </c>
      <c r="L999" s="55"/>
      <c r="M999" s="55"/>
      <c r="N999" s="56"/>
      <c r="O999" s="56" t="s">
        <v>2882</v>
      </c>
      <c r="P999" s="56" t="s">
        <v>89</v>
      </c>
      <c r="Q999" s="56" t="s">
        <v>89</v>
      </c>
      <c r="R999" s="55"/>
      <c r="S999" s="56" t="s">
        <v>81</v>
      </c>
      <c r="T999" s="55" t="s">
        <v>58</v>
      </c>
      <c r="U999" s="57">
        <v>-999</v>
      </c>
      <c r="V999" s="57" t="s">
        <v>59</v>
      </c>
      <c r="W999" s="55" t="s">
        <v>2319</v>
      </c>
      <c r="X999" s="54" t="s">
        <v>5008</v>
      </c>
      <c r="Y999" s="52"/>
      <c r="Z999" s="1" t="s">
        <v>61</v>
      </c>
      <c r="AA999" s="1" t="s">
        <v>2883</v>
      </c>
      <c r="AB999" s="1"/>
      <c r="AC999" s="1"/>
      <c r="AD999" s="3" t="s">
        <v>62</v>
      </c>
      <c r="AE999" s="1" t="s">
        <v>131</v>
      </c>
      <c r="AF999" s="1" t="s">
        <v>2885</v>
      </c>
      <c r="AG999" s="1" t="s">
        <v>2884</v>
      </c>
      <c r="AH999" s="2">
        <v>100</v>
      </c>
      <c r="AI999" s="1"/>
      <c r="AJ999" s="1"/>
      <c r="AK999" s="1"/>
      <c r="AL999" s="1"/>
      <c r="AM999" s="1"/>
      <c r="AN999" s="1"/>
      <c r="AO999" s="1"/>
      <c r="AP999" s="1"/>
      <c r="AQ999" s="1"/>
      <c r="AR999" s="1"/>
      <c r="AS999" s="1"/>
      <c r="AT999" s="1"/>
      <c r="AU999" s="1"/>
      <c r="AV999" s="1"/>
      <c r="AW999" s="1"/>
      <c r="AX999" s="1"/>
      <c r="AY999" s="1"/>
      <c r="AZ999" s="4" t="s">
        <v>3923</v>
      </c>
      <c r="BA999" s="5" t="s">
        <v>3924</v>
      </c>
      <c r="BB999" s="1"/>
      <c r="BC999" s="1"/>
    </row>
    <row r="1000" spans="1:55" s="78" customFormat="1" ht="15" customHeight="1" x14ac:dyDescent="0.25">
      <c r="A1000" s="52" t="s">
        <v>5009</v>
      </c>
      <c r="B1000" s="34" t="s">
        <v>59</v>
      </c>
      <c r="C1000" s="53">
        <v>2026</v>
      </c>
      <c r="D1000" s="53">
        <v>2026</v>
      </c>
      <c r="E1000" s="54" t="s">
        <v>3614</v>
      </c>
      <c r="F1000" s="55" t="s">
        <v>50</v>
      </c>
      <c r="G1000" s="55" t="s">
        <v>50</v>
      </c>
      <c r="H1000" s="45" t="s">
        <v>2320</v>
      </c>
      <c r="I1000" s="45" t="s">
        <v>52</v>
      </c>
      <c r="J1000" s="56"/>
      <c r="K1000" s="55" t="s">
        <v>442</v>
      </c>
      <c r="L1000" s="55"/>
      <c r="M1000" s="55"/>
      <c r="N1000" s="55" t="s">
        <v>1095</v>
      </c>
      <c r="O1000" s="55"/>
      <c r="P1000" s="55" t="s">
        <v>553</v>
      </c>
      <c r="Q1000" s="55" t="s">
        <v>57</v>
      </c>
      <c r="R1000" s="55"/>
      <c r="S1000" s="56" t="s">
        <v>58</v>
      </c>
      <c r="T1000" s="55" t="s">
        <v>81</v>
      </c>
      <c r="U1000" s="57">
        <v>-999</v>
      </c>
      <c r="V1000" s="57" t="s">
        <v>59</v>
      </c>
      <c r="W1000" s="55" t="s">
        <v>2319</v>
      </c>
      <c r="X1000" s="54" t="s">
        <v>5009</v>
      </c>
      <c r="Y1000" s="52"/>
      <c r="Z1000" s="3" t="s">
        <v>61</v>
      </c>
      <c r="AA1000" s="3" t="s">
        <v>2321</v>
      </c>
      <c r="AB1000" s="3"/>
      <c r="AC1000" s="3"/>
      <c r="AD1000" s="3" t="s">
        <v>62</v>
      </c>
      <c r="AE1000" s="3" t="s">
        <v>63</v>
      </c>
      <c r="AF1000" s="3"/>
      <c r="AG1000" s="3" t="s">
        <v>692</v>
      </c>
      <c r="AH1000" s="58">
        <v>100</v>
      </c>
      <c r="AI1000" s="3"/>
      <c r="AJ1000" s="3"/>
      <c r="AK1000" s="3"/>
      <c r="AL1000" s="3"/>
      <c r="AM1000" s="3"/>
      <c r="AN1000" s="3"/>
      <c r="AO1000" s="3"/>
      <c r="AP1000" s="3"/>
      <c r="AQ1000" s="3"/>
      <c r="AR1000" s="3"/>
      <c r="AS1000" s="3"/>
      <c r="AT1000" s="3"/>
      <c r="AU1000" s="3"/>
      <c r="AV1000" s="3"/>
      <c r="AW1000" s="3"/>
      <c r="AX1000" s="3"/>
      <c r="AY1000" s="3"/>
      <c r="AZ1000" s="4" t="s">
        <v>440</v>
      </c>
      <c r="BA1000" s="3"/>
      <c r="BB1000" s="1"/>
      <c r="BC1000" s="1"/>
    </row>
    <row r="1001" spans="1:55" s="78" customFormat="1" ht="15" customHeight="1" x14ac:dyDescent="0.25">
      <c r="A1001" s="52" t="s">
        <v>5010</v>
      </c>
      <c r="B1001" s="34" t="s">
        <v>59</v>
      </c>
      <c r="C1001" s="53">
        <v>2026</v>
      </c>
      <c r="D1001" s="53">
        <v>2026</v>
      </c>
      <c r="E1001" s="54" t="s">
        <v>3615</v>
      </c>
      <c r="F1001" s="55" t="s">
        <v>50</v>
      </c>
      <c r="G1001" s="55" t="s">
        <v>50</v>
      </c>
      <c r="H1001" s="45" t="s">
        <v>3005</v>
      </c>
      <c r="I1001" s="56" t="s">
        <v>78</v>
      </c>
      <c r="J1001" s="56"/>
      <c r="K1001" s="56" t="s">
        <v>53</v>
      </c>
      <c r="L1001" s="55" t="s">
        <v>88</v>
      </c>
      <c r="M1001" s="55"/>
      <c r="N1001" s="56" t="s">
        <v>110</v>
      </c>
      <c r="O1001" s="56"/>
      <c r="P1001" s="55" t="s">
        <v>56</v>
      </c>
      <c r="Q1001" s="55" t="s">
        <v>57</v>
      </c>
      <c r="R1001" s="55"/>
      <c r="S1001" s="56" t="s">
        <v>58</v>
      </c>
      <c r="T1001" s="55" t="str">
        <f>IF(ISNUMBER(SEARCH(",",N1001)),"Y","N")</f>
        <v>N</v>
      </c>
      <c r="U1001" s="57">
        <v>65000</v>
      </c>
      <c r="V1001" s="57" t="s">
        <v>101</v>
      </c>
      <c r="W1001" s="55" t="s">
        <v>2319</v>
      </c>
      <c r="X1001" s="54" t="s">
        <v>5010</v>
      </c>
      <c r="Y1001" s="60"/>
      <c r="Z1001" s="1" t="s">
        <v>61</v>
      </c>
      <c r="AA1001" s="1" t="s">
        <v>2014</v>
      </c>
      <c r="AB1001" s="1"/>
      <c r="AC1001" s="1"/>
      <c r="AD1001" s="3" t="s">
        <v>62</v>
      </c>
      <c r="AE1001" s="1" t="s">
        <v>83</v>
      </c>
      <c r="AF1001" s="1"/>
      <c r="AG1001" s="56" t="s">
        <v>711</v>
      </c>
      <c r="AH1001" s="2">
        <v>100</v>
      </c>
      <c r="AI1001" s="1"/>
      <c r="AJ1001" s="1"/>
      <c r="AK1001" s="1"/>
      <c r="AL1001" s="1"/>
      <c r="AM1001" s="1"/>
      <c r="AN1001" s="1"/>
      <c r="AO1001" s="1"/>
      <c r="AP1001" s="1"/>
      <c r="AQ1001" s="1"/>
      <c r="AR1001" s="1"/>
      <c r="AS1001" s="1"/>
      <c r="AT1001" s="1"/>
      <c r="AU1001" s="1"/>
      <c r="AV1001" s="1"/>
      <c r="AW1001" s="1"/>
      <c r="AX1001" s="1"/>
      <c r="AY1001" s="1"/>
      <c r="AZ1001" s="4" t="s">
        <v>320</v>
      </c>
      <c r="BA1001" s="1"/>
      <c r="BB1001" s="1"/>
      <c r="BC1001" s="1"/>
    </row>
    <row r="1002" spans="1:55" s="78" customFormat="1" ht="15" customHeight="1" x14ac:dyDescent="0.25">
      <c r="A1002" s="52" t="s">
        <v>5011</v>
      </c>
      <c r="B1002" s="34" t="s">
        <v>59</v>
      </c>
      <c r="C1002" s="53">
        <v>2026</v>
      </c>
      <c r="D1002" s="53">
        <v>2026</v>
      </c>
      <c r="E1002" s="54" t="s">
        <v>3615</v>
      </c>
      <c r="F1002" s="55" t="s">
        <v>50</v>
      </c>
      <c r="G1002" s="55" t="s">
        <v>50</v>
      </c>
      <c r="H1002" s="45" t="s">
        <v>3005</v>
      </c>
      <c r="I1002" s="56" t="s">
        <v>78</v>
      </c>
      <c r="J1002" s="56"/>
      <c r="K1002" s="56" t="s">
        <v>264</v>
      </c>
      <c r="L1002" s="55" t="s">
        <v>88</v>
      </c>
      <c r="M1002" s="55"/>
      <c r="N1002" s="56" t="s">
        <v>110</v>
      </c>
      <c r="O1002" s="56"/>
      <c r="P1002" s="55" t="s">
        <v>265</v>
      </c>
      <c r="Q1002" s="55" t="s">
        <v>57</v>
      </c>
      <c r="R1002" s="55"/>
      <c r="S1002" s="56" t="s">
        <v>58</v>
      </c>
      <c r="T1002" s="55" t="str">
        <f>IF(ISNUMBER(SEARCH(",",N1002)),"Y","N")</f>
        <v>N</v>
      </c>
      <c r="U1002" s="57">
        <v>100</v>
      </c>
      <c r="V1002" s="57" t="s">
        <v>101</v>
      </c>
      <c r="W1002" s="55" t="s">
        <v>2319</v>
      </c>
      <c r="X1002" s="54" t="s">
        <v>5011</v>
      </c>
      <c r="Y1002" s="60"/>
      <c r="Z1002" s="1" t="s">
        <v>61</v>
      </c>
      <c r="AA1002" s="1" t="s">
        <v>2014</v>
      </c>
      <c r="AB1002" s="1"/>
      <c r="AC1002" s="1"/>
      <c r="AD1002" s="3" t="s">
        <v>62</v>
      </c>
      <c r="AE1002" s="1" t="s">
        <v>83</v>
      </c>
      <c r="AF1002" s="1"/>
      <c r="AG1002" s="56" t="s">
        <v>711</v>
      </c>
      <c r="AH1002" s="2">
        <v>100</v>
      </c>
      <c r="AI1002" s="1"/>
      <c r="AJ1002" s="1"/>
      <c r="AK1002" s="1"/>
      <c r="AL1002" s="1"/>
      <c r="AM1002" s="1"/>
      <c r="AN1002" s="1"/>
      <c r="AO1002" s="1"/>
      <c r="AP1002" s="1"/>
      <c r="AQ1002" s="1"/>
      <c r="AR1002" s="1"/>
      <c r="AS1002" s="1"/>
      <c r="AT1002" s="1"/>
      <c r="AU1002" s="1"/>
      <c r="AV1002" s="1"/>
      <c r="AW1002" s="1"/>
      <c r="AX1002" s="1"/>
      <c r="AY1002" s="1"/>
      <c r="AZ1002" s="4" t="s">
        <v>295</v>
      </c>
      <c r="BA1002" s="1" t="s">
        <v>3925</v>
      </c>
      <c r="BB1002" s="1"/>
      <c r="BC1002" s="1"/>
    </row>
    <row r="1003" spans="1:55" s="78" customFormat="1" ht="15" customHeight="1" x14ac:dyDescent="0.25">
      <c r="A1003" s="52" t="s">
        <v>5012</v>
      </c>
      <c r="B1003" s="34" t="s">
        <v>59</v>
      </c>
      <c r="C1003" s="53">
        <v>2026</v>
      </c>
      <c r="D1003" s="53">
        <v>2026</v>
      </c>
      <c r="E1003" s="54" t="s">
        <v>3615</v>
      </c>
      <c r="F1003" s="55" t="s">
        <v>50</v>
      </c>
      <c r="G1003" s="55" t="s">
        <v>50</v>
      </c>
      <c r="H1003" s="45" t="s">
        <v>3005</v>
      </c>
      <c r="I1003" s="56" t="s">
        <v>78</v>
      </c>
      <c r="J1003" s="56"/>
      <c r="K1003" s="56" t="s">
        <v>71</v>
      </c>
      <c r="L1003" s="55" t="s">
        <v>88</v>
      </c>
      <c r="M1003" s="55"/>
      <c r="N1003" s="56" t="s">
        <v>110</v>
      </c>
      <c r="O1003" s="56"/>
      <c r="P1003" s="55" t="s">
        <v>73</v>
      </c>
      <c r="Q1003" s="55" t="s">
        <v>57</v>
      </c>
      <c r="R1003" s="55"/>
      <c r="S1003" s="56" t="s">
        <v>58</v>
      </c>
      <c r="T1003" s="55" t="str">
        <f>IF(ISNUMBER(SEARCH(",",N1003)),"Y","N")</f>
        <v>N</v>
      </c>
      <c r="U1003" s="57">
        <v>1.1619999999999999</v>
      </c>
      <c r="V1003" s="57" t="s">
        <v>101</v>
      </c>
      <c r="W1003" s="55" t="s">
        <v>2319</v>
      </c>
      <c r="X1003" s="54" t="s">
        <v>5012</v>
      </c>
      <c r="Y1003" s="60"/>
      <c r="Z1003" s="1" t="s">
        <v>61</v>
      </c>
      <c r="AA1003" s="1" t="s">
        <v>2014</v>
      </c>
      <c r="AB1003" s="1"/>
      <c r="AC1003" s="1"/>
      <c r="AD1003" s="3" t="s">
        <v>62</v>
      </c>
      <c r="AE1003" s="1" t="s">
        <v>83</v>
      </c>
      <c r="AF1003" s="1"/>
      <c r="AG1003" s="56" t="s">
        <v>711</v>
      </c>
      <c r="AH1003" s="2">
        <v>100</v>
      </c>
      <c r="AI1003" s="1"/>
      <c r="AJ1003" s="1"/>
      <c r="AK1003" s="1"/>
      <c r="AL1003" s="1"/>
      <c r="AM1003" s="1"/>
      <c r="AN1003" s="1"/>
      <c r="AO1003" s="1"/>
      <c r="AP1003" s="1"/>
      <c r="AQ1003" s="1"/>
      <c r="AR1003" s="1"/>
      <c r="AS1003" s="1"/>
      <c r="AT1003" s="1"/>
      <c r="AU1003" s="1"/>
      <c r="AV1003" s="1"/>
      <c r="AW1003" s="1"/>
      <c r="AX1003" s="1"/>
      <c r="AY1003" s="1"/>
      <c r="AZ1003" s="4" t="s">
        <v>3926</v>
      </c>
      <c r="BA1003" s="1" t="s">
        <v>3927</v>
      </c>
      <c r="BB1003" s="1"/>
      <c r="BC1003" s="1"/>
    </row>
    <row r="1004" spans="1:55" s="78" customFormat="1" ht="15" customHeight="1" x14ac:dyDescent="0.25">
      <c r="A1004" s="52" t="s">
        <v>5013</v>
      </c>
      <c r="B1004" s="34" t="s">
        <v>59</v>
      </c>
      <c r="C1004" s="53">
        <v>2026</v>
      </c>
      <c r="D1004" s="53">
        <v>2026</v>
      </c>
      <c r="E1004" s="54" t="s">
        <v>3615</v>
      </c>
      <c r="F1004" s="55" t="s">
        <v>50</v>
      </c>
      <c r="G1004" s="55" t="s">
        <v>50</v>
      </c>
      <c r="H1004" s="45" t="s">
        <v>3005</v>
      </c>
      <c r="I1004" s="56" t="s">
        <v>78</v>
      </c>
      <c r="J1004" s="56"/>
      <c r="K1004" s="56" t="s">
        <v>74</v>
      </c>
      <c r="L1004" s="55" t="s">
        <v>88</v>
      </c>
      <c r="M1004" s="55"/>
      <c r="N1004" s="56" t="s">
        <v>110</v>
      </c>
      <c r="O1004" s="56"/>
      <c r="P1004" s="55" t="s">
        <v>75</v>
      </c>
      <c r="Q1004" s="56" t="s">
        <v>57</v>
      </c>
      <c r="R1004" s="55"/>
      <c r="S1004" s="56" t="s">
        <v>58</v>
      </c>
      <c r="T1004" s="55" t="str">
        <f>IF(ISNUMBER(SEARCH(",",N1004)),"Y","N")</f>
        <v>N</v>
      </c>
      <c r="U1004" s="57">
        <v>7.2569999999999997</v>
      </c>
      <c r="V1004" s="57" t="s">
        <v>101</v>
      </c>
      <c r="W1004" s="55" t="s">
        <v>2319</v>
      </c>
      <c r="X1004" s="54" t="s">
        <v>5013</v>
      </c>
      <c r="Y1004" s="60"/>
      <c r="Z1004" s="1" t="s">
        <v>61</v>
      </c>
      <c r="AA1004" s="1" t="s">
        <v>2014</v>
      </c>
      <c r="AB1004" s="1"/>
      <c r="AC1004" s="1"/>
      <c r="AD1004" s="3" t="s">
        <v>62</v>
      </c>
      <c r="AE1004" s="1" t="s">
        <v>83</v>
      </c>
      <c r="AF1004" s="1"/>
      <c r="AG1004" s="56" t="s">
        <v>711</v>
      </c>
      <c r="AH1004" s="2">
        <v>100</v>
      </c>
      <c r="AI1004" s="1"/>
      <c r="AJ1004" s="1"/>
      <c r="AK1004" s="1"/>
      <c r="AL1004" s="1"/>
      <c r="AM1004" s="1"/>
      <c r="AN1004" s="1"/>
      <c r="AO1004" s="1"/>
      <c r="AP1004" s="1"/>
      <c r="AQ1004" s="1"/>
      <c r="AR1004" s="1"/>
      <c r="AS1004" s="1"/>
      <c r="AT1004" s="1"/>
      <c r="AU1004" s="1"/>
      <c r="AV1004" s="1"/>
      <c r="AW1004" s="1"/>
      <c r="AX1004" s="1"/>
      <c r="AY1004" s="1"/>
      <c r="AZ1004" s="4" t="s">
        <v>295</v>
      </c>
      <c r="BA1004" s="1"/>
      <c r="BB1004" s="1"/>
      <c r="BC1004" s="1"/>
    </row>
    <row r="1005" spans="1:55" s="78" customFormat="1" ht="15" customHeight="1" x14ac:dyDescent="0.25">
      <c r="A1005" s="52" t="s">
        <v>5014</v>
      </c>
      <c r="B1005" s="34" t="s">
        <v>59</v>
      </c>
      <c r="C1005" s="53">
        <v>2026</v>
      </c>
      <c r="D1005" s="53">
        <v>2026</v>
      </c>
      <c r="E1005" s="54" t="s">
        <v>3616</v>
      </c>
      <c r="F1005" s="55" t="s">
        <v>50</v>
      </c>
      <c r="G1005" s="55" t="s">
        <v>50</v>
      </c>
      <c r="H1005" s="45" t="s">
        <v>2323</v>
      </c>
      <c r="I1005" s="61" t="s">
        <v>52</v>
      </c>
      <c r="J1005" s="56"/>
      <c r="K1005" s="55" t="s">
        <v>133</v>
      </c>
      <c r="L1005" s="55" t="s">
        <v>54</v>
      </c>
      <c r="M1005" s="55" t="s">
        <v>113</v>
      </c>
      <c r="N1005" s="55" t="s">
        <v>240</v>
      </c>
      <c r="O1005" s="55"/>
      <c r="P1005" s="55" t="s">
        <v>134</v>
      </c>
      <c r="Q1005" s="55" t="s">
        <v>57</v>
      </c>
      <c r="R1005" s="55"/>
      <c r="S1005" s="56" t="s">
        <v>58</v>
      </c>
      <c r="T1005" s="55" t="s">
        <v>81</v>
      </c>
      <c r="U1005" s="57">
        <v>1551</v>
      </c>
      <c r="V1005" s="57" t="s">
        <v>101</v>
      </c>
      <c r="W1005" s="55" t="s">
        <v>2319</v>
      </c>
      <c r="X1005" s="54" t="s">
        <v>5014</v>
      </c>
      <c r="Y1005" s="52"/>
      <c r="Z1005" s="3" t="s">
        <v>2005</v>
      </c>
      <c r="AA1005" s="3" t="s">
        <v>2324</v>
      </c>
      <c r="AB1005" s="3"/>
      <c r="AC1005" s="3"/>
      <c r="AD1005" s="3" t="s">
        <v>62</v>
      </c>
      <c r="AE1005" s="3" t="s">
        <v>605</v>
      </c>
      <c r="AF1005" s="3"/>
      <c r="AG1005" s="3" t="s">
        <v>132</v>
      </c>
      <c r="AH1005" s="58">
        <v>100</v>
      </c>
      <c r="AI1005" s="3"/>
      <c r="AJ1005" s="3"/>
      <c r="AK1005" s="3"/>
      <c r="AL1005" s="3"/>
      <c r="AM1005" s="3"/>
      <c r="AN1005" s="3"/>
      <c r="AO1005" s="3"/>
      <c r="AP1005" s="3"/>
      <c r="AQ1005" s="3"/>
      <c r="AR1005" s="3"/>
      <c r="AS1005" s="3"/>
      <c r="AT1005" s="3"/>
      <c r="AU1005" s="3"/>
      <c r="AV1005" s="3"/>
      <c r="AW1005" s="3"/>
      <c r="AX1005" s="3"/>
      <c r="AY1005" s="3"/>
      <c r="AZ1005" s="4" t="s">
        <v>2322</v>
      </c>
      <c r="BA1005" s="3"/>
      <c r="BB1005" s="1"/>
      <c r="BC1005" s="1"/>
    </row>
    <row r="1006" spans="1:55" s="78" customFormat="1" ht="15" customHeight="1" x14ac:dyDescent="0.25">
      <c r="A1006" s="52" t="s">
        <v>5015</v>
      </c>
      <c r="B1006" s="34" t="s">
        <v>59</v>
      </c>
      <c r="C1006" s="53">
        <v>2026</v>
      </c>
      <c r="D1006" s="53">
        <v>2026</v>
      </c>
      <c r="E1006" s="54" t="s">
        <v>3616</v>
      </c>
      <c r="F1006" s="55" t="s">
        <v>50</v>
      </c>
      <c r="G1006" s="55" t="s">
        <v>50</v>
      </c>
      <c r="H1006" s="45" t="s">
        <v>2323</v>
      </c>
      <c r="I1006" s="61" t="s">
        <v>52</v>
      </c>
      <c r="J1006" s="56"/>
      <c r="K1006" s="55" t="s">
        <v>126</v>
      </c>
      <c r="L1006" s="55"/>
      <c r="M1006" s="55" t="s">
        <v>113</v>
      </c>
      <c r="N1006" s="55" t="s">
        <v>127</v>
      </c>
      <c r="O1006" s="55" t="s">
        <v>243</v>
      </c>
      <c r="P1006" s="55" t="s">
        <v>129</v>
      </c>
      <c r="Q1006" s="56" t="s">
        <v>57</v>
      </c>
      <c r="R1006" s="55"/>
      <c r="S1006" s="56" t="s">
        <v>58</v>
      </c>
      <c r="T1006" s="55" t="s">
        <v>81</v>
      </c>
      <c r="U1006" s="57">
        <v>1980</v>
      </c>
      <c r="V1006" s="57" t="s">
        <v>101</v>
      </c>
      <c r="W1006" s="55" t="s">
        <v>2319</v>
      </c>
      <c r="X1006" s="54" t="s">
        <v>5015</v>
      </c>
      <c r="Y1006" s="52"/>
      <c r="Z1006" s="3" t="s">
        <v>2005</v>
      </c>
      <c r="AA1006" s="3" t="s">
        <v>2324</v>
      </c>
      <c r="AB1006" s="3"/>
      <c r="AC1006" s="3"/>
      <c r="AD1006" s="3" t="s">
        <v>62</v>
      </c>
      <c r="AE1006" s="3" t="s">
        <v>605</v>
      </c>
      <c r="AF1006" s="3"/>
      <c r="AG1006" s="3" t="s">
        <v>132</v>
      </c>
      <c r="AH1006" s="58">
        <v>100</v>
      </c>
      <c r="AI1006" s="3"/>
      <c r="AJ1006" s="3"/>
      <c r="AK1006" s="3"/>
      <c r="AL1006" s="3"/>
      <c r="AM1006" s="3"/>
      <c r="AN1006" s="3"/>
      <c r="AO1006" s="3"/>
      <c r="AP1006" s="3"/>
      <c r="AQ1006" s="3"/>
      <c r="AR1006" s="3"/>
      <c r="AS1006" s="3"/>
      <c r="AT1006" s="3"/>
      <c r="AU1006" s="3"/>
      <c r="AV1006" s="3"/>
      <c r="AW1006" s="3"/>
      <c r="AX1006" s="3"/>
      <c r="AY1006" s="3"/>
      <c r="AZ1006" s="4" t="s">
        <v>2322</v>
      </c>
      <c r="BA1006" s="3"/>
      <c r="BB1006" s="1"/>
      <c r="BC1006" s="1"/>
    </row>
    <row r="1007" spans="1:55" s="78" customFormat="1" ht="15" customHeight="1" x14ac:dyDescent="0.25">
      <c r="A1007" s="52" t="s">
        <v>5016</v>
      </c>
      <c r="B1007" s="34" t="s">
        <v>59</v>
      </c>
      <c r="C1007" s="53">
        <v>2026</v>
      </c>
      <c r="D1007" s="53">
        <v>2026</v>
      </c>
      <c r="E1007" s="54" t="s">
        <v>3616</v>
      </c>
      <c r="F1007" s="55" t="s">
        <v>50</v>
      </c>
      <c r="G1007" s="55" t="s">
        <v>50</v>
      </c>
      <c r="H1007" s="45" t="s">
        <v>2323</v>
      </c>
      <c r="I1007" s="61" t="s">
        <v>52</v>
      </c>
      <c r="J1007" s="56"/>
      <c r="K1007" s="55" t="s">
        <v>135</v>
      </c>
      <c r="L1007" s="55" t="s">
        <v>54</v>
      </c>
      <c r="M1007" s="55" t="s">
        <v>113</v>
      </c>
      <c r="N1007" s="55" t="s">
        <v>243</v>
      </c>
      <c r="O1007" s="55"/>
      <c r="P1007" s="55" t="s">
        <v>136</v>
      </c>
      <c r="Q1007" s="55" t="s">
        <v>57</v>
      </c>
      <c r="R1007" s="55"/>
      <c r="S1007" s="56" t="s">
        <v>58</v>
      </c>
      <c r="T1007" s="55" t="s">
        <v>81</v>
      </c>
      <c r="U1007" s="57">
        <v>2880</v>
      </c>
      <c r="V1007" s="57" t="s">
        <v>101</v>
      </c>
      <c r="W1007" s="55" t="s">
        <v>2319</v>
      </c>
      <c r="X1007" s="54" t="s">
        <v>5016</v>
      </c>
      <c r="Y1007" s="52"/>
      <c r="Z1007" s="3" t="s">
        <v>2005</v>
      </c>
      <c r="AA1007" s="3" t="s">
        <v>2324</v>
      </c>
      <c r="AB1007" s="3"/>
      <c r="AC1007" s="3"/>
      <c r="AD1007" s="3" t="s">
        <v>62</v>
      </c>
      <c r="AE1007" s="3" t="s">
        <v>605</v>
      </c>
      <c r="AF1007" s="3"/>
      <c r="AG1007" s="3" t="s">
        <v>132</v>
      </c>
      <c r="AH1007" s="58">
        <v>100</v>
      </c>
      <c r="AI1007" s="3"/>
      <c r="AJ1007" s="3"/>
      <c r="AK1007" s="3"/>
      <c r="AL1007" s="3"/>
      <c r="AM1007" s="3"/>
      <c r="AN1007" s="3"/>
      <c r="AO1007" s="3"/>
      <c r="AP1007" s="3"/>
      <c r="AQ1007" s="3"/>
      <c r="AR1007" s="3"/>
      <c r="AS1007" s="3"/>
      <c r="AT1007" s="3"/>
      <c r="AU1007" s="3"/>
      <c r="AV1007" s="3"/>
      <c r="AW1007" s="3"/>
      <c r="AX1007" s="3"/>
      <c r="AY1007" s="3"/>
      <c r="AZ1007" s="4" t="s">
        <v>2322</v>
      </c>
      <c r="BA1007" s="3"/>
      <c r="BB1007" s="1"/>
      <c r="BC1007" s="1"/>
    </row>
    <row r="1008" spans="1:55" s="78" customFormat="1" ht="15" customHeight="1" x14ac:dyDescent="0.25">
      <c r="A1008" s="52" t="s">
        <v>5017</v>
      </c>
      <c r="B1008" s="34" t="s">
        <v>59</v>
      </c>
      <c r="C1008" s="53">
        <v>2026</v>
      </c>
      <c r="D1008" s="53">
        <v>2026</v>
      </c>
      <c r="E1008" s="54" t="s">
        <v>3616</v>
      </c>
      <c r="F1008" s="55" t="s">
        <v>50</v>
      </c>
      <c r="G1008" s="55" t="s">
        <v>50</v>
      </c>
      <c r="H1008" s="45" t="s">
        <v>2323</v>
      </c>
      <c r="I1008" s="61" t="s">
        <v>52</v>
      </c>
      <c r="J1008" s="56"/>
      <c r="K1008" s="55" t="s">
        <v>137</v>
      </c>
      <c r="L1008" s="55" t="s">
        <v>54</v>
      </c>
      <c r="M1008" s="55" t="s">
        <v>113</v>
      </c>
      <c r="N1008" s="55" t="s">
        <v>243</v>
      </c>
      <c r="O1008" s="55"/>
      <c r="P1008" s="55" t="s">
        <v>138</v>
      </c>
      <c r="Q1008" s="55" t="s">
        <v>57</v>
      </c>
      <c r="R1008" s="55"/>
      <c r="S1008" s="56" t="s">
        <v>58</v>
      </c>
      <c r="T1008" s="55" t="s">
        <v>81</v>
      </c>
      <c r="U1008" s="57">
        <v>32040</v>
      </c>
      <c r="V1008" s="57" t="s">
        <v>101</v>
      </c>
      <c r="W1008" s="55" t="s">
        <v>2319</v>
      </c>
      <c r="X1008" s="54" t="s">
        <v>5017</v>
      </c>
      <c r="Y1008" s="52"/>
      <c r="Z1008" s="3" t="s">
        <v>2005</v>
      </c>
      <c r="AA1008" s="3" t="s">
        <v>2324</v>
      </c>
      <c r="AB1008" s="3"/>
      <c r="AC1008" s="3"/>
      <c r="AD1008" s="3" t="s">
        <v>62</v>
      </c>
      <c r="AE1008" s="3" t="s">
        <v>605</v>
      </c>
      <c r="AF1008" s="3"/>
      <c r="AG1008" s="3" t="s">
        <v>132</v>
      </c>
      <c r="AH1008" s="58">
        <v>100</v>
      </c>
      <c r="AI1008" s="3"/>
      <c r="AJ1008" s="3"/>
      <c r="AK1008" s="3"/>
      <c r="AL1008" s="3"/>
      <c r="AM1008" s="3"/>
      <c r="AN1008" s="3"/>
      <c r="AO1008" s="3"/>
      <c r="AP1008" s="3"/>
      <c r="AQ1008" s="3"/>
      <c r="AR1008" s="3"/>
      <c r="AS1008" s="3"/>
      <c r="AT1008" s="3"/>
      <c r="AU1008" s="3"/>
      <c r="AV1008" s="3"/>
      <c r="AW1008" s="3"/>
      <c r="AX1008" s="3"/>
      <c r="AY1008" s="3"/>
      <c r="AZ1008" s="4" t="s">
        <v>2322</v>
      </c>
      <c r="BA1008" s="3"/>
      <c r="BB1008" s="1"/>
      <c r="BC1008" s="1"/>
    </row>
    <row r="1009" spans="1:55" s="78" customFormat="1" ht="15" customHeight="1" x14ac:dyDescent="0.25">
      <c r="A1009" s="52" t="s">
        <v>5018</v>
      </c>
      <c r="B1009" s="34" t="s">
        <v>59</v>
      </c>
      <c r="C1009" s="53">
        <v>2026</v>
      </c>
      <c r="D1009" s="53">
        <v>2026</v>
      </c>
      <c r="E1009" s="54" t="s">
        <v>3617</v>
      </c>
      <c r="F1009" s="55" t="s">
        <v>50</v>
      </c>
      <c r="G1009" s="55" t="s">
        <v>50</v>
      </c>
      <c r="H1009" s="45" t="s">
        <v>2326</v>
      </c>
      <c r="I1009" s="56" t="s">
        <v>78</v>
      </c>
      <c r="J1009" s="56"/>
      <c r="K1009" s="56" t="s">
        <v>71</v>
      </c>
      <c r="L1009" s="55" t="s">
        <v>88</v>
      </c>
      <c r="M1009" s="55"/>
      <c r="N1009" s="56" t="s">
        <v>181</v>
      </c>
      <c r="O1009" s="56"/>
      <c r="P1009" s="55" t="s">
        <v>73</v>
      </c>
      <c r="Q1009" s="55" t="s">
        <v>57</v>
      </c>
      <c r="R1009" s="55"/>
      <c r="S1009" s="56" t="s">
        <v>58</v>
      </c>
      <c r="T1009" s="55" t="str">
        <f>IF(ISNUMBER(SEARCH(",",N1009)),"Y","N")</f>
        <v>N</v>
      </c>
      <c r="U1009" s="57">
        <v>1.786</v>
      </c>
      <c r="V1009" s="57" t="s">
        <v>101</v>
      </c>
      <c r="W1009" s="55"/>
      <c r="X1009" s="54" t="s">
        <v>5018</v>
      </c>
      <c r="Y1009" s="52"/>
      <c r="Z1009" s="1" t="s">
        <v>61</v>
      </c>
      <c r="AA1009" s="1" t="s">
        <v>599</v>
      </c>
      <c r="AB1009" s="1"/>
      <c r="AC1009" s="1"/>
      <c r="AD1009" s="3" t="s">
        <v>62</v>
      </c>
      <c r="AE1009" s="1" t="s">
        <v>83</v>
      </c>
      <c r="AF1009" s="1"/>
      <c r="AG1009" s="3" t="s">
        <v>1500</v>
      </c>
      <c r="AH1009" s="58">
        <v>100</v>
      </c>
      <c r="AI1009" s="1"/>
      <c r="AJ1009" s="1"/>
      <c r="AK1009" s="1"/>
      <c r="AL1009" s="1"/>
      <c r="AM1009" s="1"/>
      <c r="AN1009" s="1"/>
      <c r="AO1009" s="1"/>
      <c r="AP1009" s="1"/>
      <c r="AQ1009" s="1"/>
      <c r="AR1009" s="1"/>
      <c r="AS1009" s="1"/>
      <c r="AT1009" s="1"/>
      <c r="AU1009" s="1"/>
      <c r="AV1009" s="1"/>
      <c r="AW1009" s="1"/>
      <c r="AX1009" s="1"/>
      <c r="AY1009" s="1"/>
      <c r="AZ1009" s="4" t="s">
        <v>2325</v>
      </c>
      <c r="BA1009" s="1"/>
      <c r="BB1009" s="1"/>
      <c r="BC1009" s="1"/>
    </row>
    <row r="1010" spans="1:55" s="78" customFormat="1" ht="15" customHeight="1" x14ac:dyDescent="0.25">
      <c r="A1010" s="52" t="s">
        <v>5019</v>
      </c>
      <c r="B1010" s="34" t="s">
        <v>59</v>
      </c>
      <c r="C1010" s="53">
        <v>2026</v>
      </c>
      <c r="D1010" s="53">
        <v>2026</v>
      </c>
      <c r="E1010" s="54" t="s">
        <v>3617</v>
      </c>
      <c r="F1010" s="55" t="s">
        <v>50</v>
      </c>
      <c r="G1010" s="55" t="s">
        <v>50</v>
      </c>
      <c r="H1010" s="45" t="s">
        <v>2326</v>
      </c>
      <c r="I1010" s="56" t="s">
        <v>78</v>
      </c>
      <c r="J1010" s="56"/>
      <c r="K1010" s="56" t="s">
        <v>74</v>
      </c>
      <c r="L1010" s="55" t="s">
        <v>88</v>
      </c>
      <c r="M1010" s="55"/>
      <c r="N1010" s="56" t="s">
        <v>110</v>
      </c>
      <c r="O1010" s="56"/>
      <c r="P1010" s="55" t="s">
        <v>75</v>
      </c>
      <c r="Q1010" s="56" t="s">
        <v>57</v>
      </c>
      <c r="R1010" s="55"/>
      <c r="S1010" s="56" t="s">
        <v>58</v>
      </c>
      <c r="T1010" s="55" t="str">
        <f>IF(ISNUMBER(SEARCH(",",N1010)),"Y","N")</f>
        <v>N</v>
      </c>
      <c r="U1010" s="72">
        <v>198.447</v>
      </c>
      <c r="V1010" s="57" t="s">
        <v>101</v>
      </c>
      <c r="W1010" s="55"/>
      <c r="X1010" s="54" t="s">
        <v>5019</v>
      </c>
      <c r="Y1010" s="52"/>
      <c r="Z1010" s="1" t="s">
        <v>61</v>
      </c>
      <c r="AA1010" s="1" t="s">
        <v>599</v>
      </c>
      <c r="AB1010" s="1"/>
      <c r="AC1010" s="1"/>
      <c r="AD1010" s="3" t="s">
        <v>62</v>
      </c>
      <c r="AE1010" s="1" t="s">
        <v>83</v>
      </c>
      <c r="AF1010" s="1"/>
      <c r="AG1010" s="3" t="s">
        <v>1500</v>
      </c>
      <c r="AH1010" s="58">
        <v>100</v>
      </c>
      <c r="AI1010" s="1"/>
      <c r="AJ1010" s="1"/>
      <c r="AK1010" s="1"/>
      <c r="AL1010" s="1"/>
      <c r="AM1010" s="1"/>
      <c r="AN1010" s="1"/>
      <c r="AO1010" s="1"/>
      <c r="AP1010" s="1"/>
      <c r="AQ1010" s="1"/>
      <c r="AR1010" s="1"/>
      <c r="AS1010" s="1"/>
      <c r="AT1010" s="1"/>
      <c r="AU1010" s="1"/>
      <c r="AV1010" s="1"/>
      <c r="AW1010" s="1"/>
      <c r="AX1010" s="1"/>
      <c r="AY1010" s="1"/>
      <c r="AZ1010" s="4" t="s">
        <v>2325</v>
      </c>
      <c r="BA1010" s="1"/>
      <c r="BB1010" s="1"/>
      <c r="BC1010" s="1"/>
    </row>
    <row r="1011" spans="1:55" s="78" customFormat="1" ht="15" customHeight="1" x14ac:dyDescent="0.25">
      <c r="A1011" s="52" t="s">
        <v>5020</v>
      </c>
      <c r="B1011" s="34" t="s">
        <v>59</v>
      </c>
      <c r="C1011" s="53">
        <v>2026</v>
      </c>
      <c r="D1011" s="53">
        <v>2026</v>
      </c>
      <c r="E1011" s="54" t="s">
        <v>3618</v>
      </c>
      <c r="F1011" s="55" t="s">
        <v>50</v>
      </c>
      <c r="G1011" s="55" t="s">
        <v>50</v>
      </c>
      <c r="H1011" s="45" t="s">
        <v>2327</v>
      </c>
      <c r="I1011" s="56" t="s">
        <v>52</v>
      </c>
      <c r="J1011" s="56"/>
      <c r="K1011" s="55" t="s">
        <v>71</v>
      </c>
      <c r="L1011" s="55"/>
      <c r="M1011" s="55"/>
      <c r="N1011" s="55" t="s">
        <v>110</v>
      </c>
      <c r="O1011" s="45" t="s">
        <v>296</v>
      </c>
      <c r="P1011" s="55" t="s">
        <v>73</v>
      </c>
      <c r="Q1011" s="55" t="s">
        <v>57</v>
      </c>
      <c r="R1011" s="55"/>
      <c r="S1011" s="56" t="s">
        <v>58</v>
      </c>
      <c r="T1011" s="55" t="str">
        <f>IF(ISNUMBER(SEARCH(",",N1011)),"Y","N")</f>
        <v>N</v>
      </c>
      <c r="U1011" s="57">
        <v>1.786</v>
      </c>
      <c r="V1011" s="57" t="s">
        <v>101</v>
      </c>
      <c r="W1011" s="55"/>
      <c r="X1011" s="54" t="s">
        <v>5020</v>
      </c>
      <c r="Y1011" s="52"/>
      <c r="Z1011" s="3" t="s">
        <v>61</v>
      </c>
      <c r="AA1011" s="1" t="s">
        <v>599</v>
      </c>
      <c r="AB1011" s="1"/>
      <c r="AC1011" s="1"/>
      <c r="AD1011" s="3" t="s">
        <v>62</v>
      </c>
      <c r="AE1011" s="3" t="s">
        <v>83</v>
      </c>
      <c r="AF1011" s="3"/>
      <c r="AG1011" s="3" t="s">
        <v>1500</v>
      </c>
      <c r="AH1011" s="58">
        <v>100</v>
      </c>
      <c r="AI1011" s="3"/>
      <c r="AJ1011" s="3"/>
      <c r="AK1011" s="3"/>
      <c r="AL1011" s="3"/>
      <c r="AM1011" s="3"/>
      <c r="AN1011" s="3"/>
      <c r="AO1011" s="3"/>
      <c r="AP1011" s="3"/>
      <c r="AQ1011" s="3"/>
      <c r="AR1011" s="3"/>
      <c r="AS1011" s="3"/>
      <c r="AT1011" s="3"/>
      <c r="AU1011" s="3"/>
      <c r="AV1011" s="3"/>
      <c r="AW1011" s="3"/>
      <c r="AX1011" s="3"/>
      <c r="AY1011" s="3"/>
      <c r="AZ1011" s="4" t="s">
        <v>2325</v>
      </c>
      <c r="BA1011" s="3"/>
      <c r="BB1011" s="1"/>
      <c r="BC1011" s="1"/>
    </row>
    <row r="1012" spans="1:55" s="78" customFormat="1" ht="15" customHeight="1" x14ac:dyDescent="0.25">
      <c r="A1012" s="52" t="s">
        <v>5021</v>
      </c>
      <c r="B1012" s="34" t="s">
        <v>59</v>
      </c>
      <c r="C1012" s="53">
        <v>2026</v>
      </c>
      <c r="D1012" s="53">
        <v>2026</v>
      </c>
      <c r="E1012" s="54" t="s">
        <v>3618</v>
      </c>
      <c r="F1012" s="55" t="s">
        <v>50</v>
      </c>
      <c r="G1012" s="55" t="s">
        <v>50</v>
      </c>
      <c r="H1012" s="45" t="s">
        <v>2327</v>
      </c>
      <c r="I1012" s="56" t="s">
        <v>52</v>
      </c>
      <c r="J1012" s="56"/>
      <c r="K1012" s="55" t="s">
        <v>74</v>
      </c>
      <c r="L1012" s="55"/>
      <c r="M1012" s="55"/>
      <c r="N1012" s="55" t="s">
        <v>110</v>
      </c>
      <c r="O1012" s="56" t="s">
        <v>296</v>
      </c>
      <c r="P1012" s="55" t="s">
        <v>75</v>
      </c>
      <c r="Q1012" s="56" t="s">
        <v>57</v>
      </c>
      <c r="R1012" s="55"/>
      <c r="S1012" s="56" t="s">
        <v>58</v>
      </c>
      <c r="T1012" s="55" t="str">
        <f>IF(ISNUMBER(SEARCH(",",N1012)),"Y","N")</f>
        <v>N</v>
      </c>
      <c r="U1012" s="72">
        <v>198.447</v>
      </c>
      <c r="V1012" s="57" t="s">
        <v>101</v>
      </c>
      <c r="W1012" s="55"/>
      <c r="X1012" s="54" t="s">
        <v>5021</v>
      </c>
      <c r="Y1012" s="52"/>
      <c r="Z1012" s="3" t="s">
        <v>61</v>
      </c>
      <c r="AA1012" s="1" t="s">
        <v>599</v>
      </c>
      <c r="AB1012" s="1"/>
      <c r="AC1012" s="1"/>
      <c r="AD1012" s="3" t="s">
        <v>62</v>
      </c>
      <c r="AE1012" s="3" t="s">
        <v>83</v>
      </c>
      <c r="AF1012" s="1"/>
      <c r="AG1012" s="3" t="s">
        <v>1500</v>
      </c>
      <c r="AH1012" s="58">
        <v>100</v>
      </c>
      <c r="AI1012" s="1"/>
      <c r="AJ1012" s="3"/>
      <c r="AK1012" s="3"/>
      <c r="AL1012" s="3"/>
      <c r="AM1012" s="3"/>
      <c r="AN1012" s="3"/>
      <c r="AO1012" s="3"/>
      <c r="AP1012" s="3"/>
      <c r="AQ1012" s="3"/>
      <c r="AR1012" s="3"/>
      <c r="AS1012" s="3"/>
      <c r="AT1012" s="3"/>
      <c r="AU1012" s="3"/>
      <c r="AV1012" s="3"/>
      <c r="AW1012" s="3"/>
      <c r="AX1012" s="3"/>
      <c r="AY1012" s="3"/>
      <c r="AZ1012" s="4" t="s">
        <v>2325</v>
      </c>
      <c r="BA1012" s="3"/>
      <c r="BB1012" s="1"/>
      <c r="BC1012" s="1"/>
    </row>
    <row r="1013" spans="1:55" s="78" customFormat="1" ht="15" customHeight="1" x14ac:dyDescent="0.25">
      <c r="A1013" s="52" t="s">
        <v>5022</v>
      </c>
      <c r="B1013" s="34" t="s">
        <v>59</v>
      </c>
      <c r="C1013" s="53">
        <v>2026</v>
      </c>
      <c r="D1013" s="53">
        <v>2026</v>
      </c>
      <c r="E1013" s="54" t="s">
        <v>3619</v>
      </c>
      <c r="F1013" s="55" t="s">
        <v>50</v>
      </c>
      <c r="G1013" s="55" t="s">
        <v>50</v>
      </c>
      <c r="H1013" s="45" t="s">
        <v>2328</v>
      </c>
      <c r="I1013" s="56" t="s">
        <v>52</v>
      </c>
      <c r="J1013" s="56"/>
      <c r="K1013" s="56" t="s">
        <v>1019</v>
      </c>
      <c r="L1013" s="55"/>
      <c r="M1013" s="55"/>
      <c r="N1013" s="56"/>
      <c r="O1013" s="56" t="s">
        <v>1470</v>
      </c>
      <c r="P1013" s="56" t="s">
        <v>89</v>
      </c>
      <c r="Q1013" s="56" t="s">
        <v>89</v>
      </c>
      <c r="R1013" s="55"/>
      <c r="S1013" s="56" t="s">
        <v>81</v>
      </c>
      <c r="T1013" s="55" t="s">
        <v>81</v>
      </c>
      <c r="U1013" s="57">
        <v>-999</v>
      </c>
      <c r="V1013" s="57" t="s">
        <v>59</v>
      </c>
      <c r="W1013" s="55"/>
      <c r="X1013" s="54" t="s">
        <v>5022</v>
      </c>
      <c r="Y1013" s="52"/>
      <c r="Z1013" s="1" t="s">
        <v>61</v>
      </c>
      <c r="AA1013" s="1" t="s">
        <v>2329</v>
      </c>
      <c r="AB1013" s="1"/>
      <c r="AC1013" s="1"/>
      <c r="AD1013" s="3" t="s">
        <v>62</v>
      </c>
      <c r="AE1013" s="1" t="s">
        <v>184</v>
      </c>
      <c r="AF1013" s="1" t="s">
        <v>1022</v>
      </c>
      <c r="AG1013" s="1" t="s">
        <v>1023</v>
      </c>
      <c r="AH1013" s="2">
        <v>100</v>
      </c>
      <c r="AI1013" s="1"/>
      <c r="AJ1013" s="1"/>
      <c r="AK1013" s="1"/>
      <c r="AL1013" s="1"/>
      <c r="AM1013" s="1"/>
      <c r="AN1013" s="1"/>
      <c r="AO1013" s="1"/>
      <c r="AP1013" s="1"/>
      <c r="AQ1013" s="1"/>
      <c r="AR1013" s="1"/>
      <c r="AS1013" s="1"/>
      <c r="AT1013" s="1"/>
      <c r="AU1013" s="1"/>
      <c r="AV1013" s="1"/>
      <c r="AW1013" s="1"/>
      <c r="AX1013" s="1"/>
      <c r="AY1013" s="1"/>
      <c r="AZ1013" s="4" t="s">
        <v>1017</v>
      </c>
      <c r="BA1013" s="1"/>
      <c r="BB1013" s="1"/>
      <c r="BC1013" s="1"/>
    </row>
    <row r="1014" spans="1:55" s="78" customFormat="1" ht="15" customHeight="1" x14ac:dyDescent="0.25">
      <c r="A1014" s="52" t="s">
        <v>5023</v>
      </c>
      <c r="B1014" s="34" t="s">
        <v>59</v>
      </c>
      <c r="C1014" s="53">
        <v>2026</v>
      </c>
      <c r="D1014" s="53">
        <v>2026</v>
      </c>
      <c r="E1014" s="54" t="s">
        <v>3620</v>
      </c>
      <c r="F1014" s="55" t="s">
        <v>50</v>
      </c>
      <c r="G1014" s="55" t="s">
        <v>50</v>
      </c>
      <c r="H1014" s="45" t="s">
        <v>2331</v>
      </c>
      <c r="I1014" s="56" t="s">
        <v>52</v>
      </c>
      <c r="J1014" s="56" t="s">
        <v>291</v>
      </c>
      <c r="K1014" s="55" t="s">
        <v>291</v>
      </c>
      <c r="L1014" s="55"/>
      <c r="M1014" s="55"/>
      <c r="N1014" s="56" t="s">
        <v>300</v>
      </c>
      <c r="O1014" s="55" t="s">
        <v>2332</v>
      </c>
      <c r="P1014" s="56" t="s">
        <v>89</v>
      </c>
      <c r="Q1014" s="55" t="s">
        <v>89</v>
      </c>
      <c r="R1014" s="55"/>
      <c r="S1014" s="56" t="s">
        <v>58</v>
      </c>
      <c r="T1014" s="55" t="s">
        <v>58</v>
      </c>
      <c r="U1014" s="57">
        <v>-999</v>
      </c>
      <c r="V1014" s="57" t="s">
        <v>59</v>
      </c>
      <c r="W1014" s="55"/>
      <c r="X1014" s="54" t="s">
        <v>5023</v>
      </c>
      <c r="Y1014" s="60"/>
      <c r="Z1014" s="3" t="s">
        <v>61</v>
      </c>
      <c r="AA1014" s="3" t="s">
        <v>2334</v>
      </c>
      <c r="AB1014" s="3"/>
      <c r="AC1014" s="3"/>
      <c r="AD1014" s="3" t="s">
        <v>62</v>
      </c>
      <c r="AE1014" s="3" t="s">
        <v>387</v>
      </c>
      <c r="AF1014" s="3"/>
      <c r="AG1014" s="3" t="s">
        <v>1036</v>
      </c>
      <c r="AH1014" s="2">
        <v>100</v>
      </c>
      <c r="AI1014" s="3"/>
      <c r="AJ1014" s="3"/>
      <c r="AK1014" s="3"/>
      <c r="AL1014" s="3"/>
      <c r="AM1014" s="3"/>
      <c r="AN1014" s="3"/>
      <c r="AO1014" s="3"/>
      <c r="AP1014" s="3"/>
      <c r="AQ1014" s="3"/>
      <c r="AR1014" s="3"/>
      <c r="AS1014" s="3"/>
      <c r="AT1014" s="3"/>
      <c r="AU1014" s="3"/>
      <c r="AV1014" s="3"/>
      <c r="AW1014" s="3"/>
      <c r="AX1014" s="3"/>
      <c r="AY1014" s="3"/>
      <c r="AZ1014" s="4" t="s">
        <v>2330</v>
      </c>
      <c r="BA1014" s="3"/>
      <c r="BB1014" s="1"/>
      <c r="BC1014" s="1"/>
    </row>
    <row r="1015" spans="1:55" s="78" customFormat="1" ht="15" customHeight="1" x14ac:dyDescent="0.25">
      <c r="A1015" s="52" t="s">
        <v>5024</v>
      </c>
      <c r="B1015" s="34" t="s">
        <v>59</v>
      </c>
      <c r="C1015" s="53">
        <v>2026</v>
      </c>
      <c r="D1015" s="53">
        <v>2026</v>
      </c>
      <c r="E1015" s="54" t="s">
        <v>3620</v>
      </c>
      <c r="F1015" s="55" t="s">
        <v>50</v>
      </c>
      <c r="G1015" s="55" t="s">
        <v>50</v>
      </c>
      <c r="H1015" s="45" t="s">
        <v>2331</v>
      </c>
      <c r="I1015" s="56" t="s">
        <v>52</v>
      </c>
      <c r="J1015" s="56"/>
      <c r="K1015" s="45" t="s">
        <v>285</v>
      </c>
      <c r="L1015" s="55"/>
      <c r="M1015" s="55"/>
      <c r="N1015" s="45" t="s">
        <v>908</v>
      </c>
      <c r="O1015" s="45"/>
      <c r="P1015" s="55" t="s">
        <v>89</v>
      </c>
      <c r="Q1015" s="55" t="s">
        <v>89</v>
      </c>
      <c r="R1015" s="55"/>
      <c r="S1015" s="56" t="s">
        <v>58</v>
      </c>
      <c r="T1015" s="55" t="s">
        <v>81</v>
      </c>
      <c r="U1015" s="57">
        <v>-999</v>
      </c>
      <c r="V1015" s="57" t="s">
        <v>59</v>
      </c>
      <c r="W1015" s="55"/>
      <c r="X1015" s="54" t="s">
        <v>5024</v>
      </c>
      <c r="Y1015" s="60"/>
      <c r="Z1015" s="1" t="s">
        <v>61</v>
      </c>
      <c r="AA1015" s="3" t="s">
        <v>2334</v>
      </c>
      <c r="AB1015" s="3"/>
      <c r="AC1015" s="3"/>
      <c r="AD1015" s="3" t="s">
        <v>62</v>
      </c>
      <c r="AE1015" s="2" t="s">
        <v>387</v>
      </c>
      <c r="AF1015" s="2"/>
      <c r="AG1015" s="3" t="s">
        <v>1036</v>
      </c>
      <c r="AH1015" s="2">
        <v>100</v>
      </c>
      <c r="AI1015" s="2"/>
      <c r="AJ1015" s="2"/>
      <c r="AK1015" s="2"/>
      <c r="AL1015" s="2"/>
      <c r="AM1015" s="2"/>
      <c r="AN1015" s="2"/>
      <c r="AO1015" s="2"/>
      <c r="AP1015" s="2"/>
      <c r="AQ1015" s="2"/>
      <c r="AR1015" s="2"/>
      <c r="AS1015" s="2"/>
      <c r="AT1015" s="2"/>
      <c r="AU1015" s="2"/>
      <c r="AV1015" s="2"/>
      <c r="AW1015" s="2"/>
      <c r="AX1015" s="2"/>
      <c r="AY1015" s="2"/>
      <c r="AZ1015" s="4" t="s">
        <v>2335</v>
      </c>
      <c r="BA1015" s="2"/>
      <c r="BB1015" s="1"/>
      <c r="BC1015" s="1"/>
    </row>
    <row r="1016" spans="1:55" s="78" customFormat="1" ht="15" customHeight="1" x14ac:dyDescent="0.25">
      <c r="A1016" s="52" t="s">
        <v>5025</v>
      </c>
      <c r="B1016" s="34" t="s">
        <v>59</v>
      </c>
      <c r="C1016" s="53">
        <v>2026</v>
      </c>
      <c r="D1016" s="53">
        <v>2026</v>
      </c>
      <c r="E1016" s="54" t="s">
        <v>3621</v>
      </c>
      <c r="F1016" s="55" t="s">
        <v>50</v>
      </c>
      <c r="G1016" s="55" t="s">
        <v>50</v>
      </c>
      <c r="H1016" s="45" t="s">
        <v>2336</v>
      </c>
      <c r="I1016" s="45" t="s">
        <v>52</v>
      </c>
      <c r="J1016" s="56" t="s">
        <v>165</v>
      </c>
      <c r="K1016" s="56" t="s">
        <v>166</v>
      </c>
      <c r="L1016" s="55"/>
      <c r="M1016" s="55"/>
      <c r="N1016" s="56" t="s">
        <v>167</v>
      </c>
      <c r="O1016" s="56"/>
      <c r="P1016" s="56" t="s">
        <v>89</v>
      </c>
      <c r="Q1016" s="56" t="s">
        <v>89</v>
      </c>
      <c r="R1016" s="55"/>
      <c r="S1016" s="56" t="s">
        <v>81</v>
      </c>
      <c r="T1016" s="55" t="s">
        <v>81</v>
      </c>
      <c r="U1016" s="57">
        <v>-999</v>
      </c>
      <c r="V1016" s="57" t="s">
        <v>59</v>
      </c>
      <c r="W1016" s="55"/>
      <c r="X1016" s="54" t="s">
        <v>5025</v>
      </c>
      <c r="Y1016" s="52"/>
      <c r="Z1016" s="1" t="s">
        <v>61</v>
      </c>
      <c r="AA1016" s="1" t="s">
        <v>2337</v>
      </c>
      <c r="AB1016" s="1"/>
      <c r="AC1016" s="1"/>
      <c r="AD1016" s="3" t="s">
        <v>62</v>
      </c>
      <c r="AE1016" s="3" t="s">
        <v>221</v>
      </c>
      <c r="AF1016" s="3" t="s">
        <v>169</v>
      </c>
      <c r="AG1016" s="3" t="s">
        <v>170</v>
      </c>
      <c r="AH1016" s="53">
        <v>50</v>
      </c>
      <c r="AI1016" s="1" t="s">
        <v>171</v>
      </c>
      <c r="AJ1016" s="59">
        <v>50</v>
      </c>
      <c r="AK1016" s="1"/>
      <c r="AL1016" s="60"/>
      <c r="AM1016" s="1"/>
      <c r="AN1016" s="60"/>
      <c r="AO1016" s="1"/>
      <c r="AP1016" s="60"/>
      <c r="AQ1016" s="1"/>
      <c r="AR1016" s="60"/>
      <c r="AS1016" s="1"/>
      <c r="AT1016" s="60"/>
      <c r="AU1016" s="1"/>
      <c r="AV1016" s="60"/>
      <c r="AW1016" s="1"/>
      <c r="AX1016" s="60"/>
      <c r="AY1016" s="1"/>
      <c r="AZ1016" s="4" t="s">
        <v>163</v>
      </c>
      <c r="BA1016" s="1"/>
      <c r="BB1016" s="1"/>
      <c r="BC1016" s="1"/>
    </row>
    <row r="1017" spans="1:55" s="78" customFormat="1" ht="15" customHeight="1" x14ac:dyDescent="0.25">
      <c r="A1017" s="52" t="s">
        <v>5026</v>
      </c>
      <c r="B1017" s="34" t="s">
        <v>59</v>
      </c>
      <c r="C1017" s="53">
        <v>2026</v>
      </c>
      <c r="D1017" s="53">
        <v>2026</v>
      </c>
      <c r="E1017" s="54" t="s">
        <v>3622</v>
      </c>
      <c r="F1017" s="55" t="s">
        <v>50</v>
      </c>
      <c r="G1017" s="55" t="s">
        <v>50</v>
      </c>
      <c r="H1017" s="45" t="s">
        <v>2338</v>
      </c>
      <c r="I1017" s="56" t="s">
        <v>52</v>
      </c>
      <c r="J1017" s="56"/>
      <c r="K1017" s="55" t="s">
        <v>313</v>
      </c>
      <c r="L1017" s="55"/>
      <c r="M1017" s="55" t="s">
        <v>113</v>
      </c>
      <c r="N1017" s="56" t="s">
        <v>358</v>
      </c>
      <c r="O1017" s="56" t="s">
        <v>351</v>
      </c>
      <c r="P1017" s="56" t="s">
        <v>314</v>
      </c>
      <c r="Q1017" s="61" t="s">
        <v>57</v>
      </c>
      <c r="R1017" s="55"/>
      <c r="S1017" s="56" t="s">
        <v>81</v>
      </c>
      <c r="T1017" s="55" t="s">
        <v>81</v>
      </c>
      <c r="U1017" s="57">
        <v>112000</v>
      </c>
      <c r="V1017" s="57" t="s">
        <v>101</v>
      </c>
      <c r="W1017" s="55" t="s">
        <v>2319</v>
      </c>
      <c r="X1017" s="54" t="s">
        <v>5026</v>
      </c>
      <c r="Y1017" s="52"/>
      <c r="Z1017" s="2" t="s">
        <v>61</v>
      </c>
      <c r="AA1017" s="1" t="s">
        <v>2339</v>
      </c>
      <c r="AB1017" s="1"/>
      <c r="AC1017" s="1"/>
      <c r="AD1017" s="3" t="s">
        <v>62</v>
      </c>
      <c r="AE1017" s="2" t="s">
        <v>695</v>
      </c>
      <c r="AF1017" s="1" t="s">
        <v>354</v>
      </c>
      <c r="AG1017" s="1" t="s">
        <v>355</v>
      </c>
      <c r="AH1017" s="2">
        <v>100</v>
      </c>
      <c r="AI1017" s="1"/>
      <c r="AJ1017" s="1"/>
      <c r="AK1017" s="1"/>
      <c r="AL1017" s="1"/>
      <c r="AM1017" s="1"/>
      <c r="AN1017" s="1"/>
      <c r="AO1017" s="1"/>
      <c r="AP1017" s="1"/>
      <c r="AQ1017" s="1"/>
      <c r="AR1017" s="1"/>
      <c r="AS1017" s="1"/>
      <c r="AT1017" s="1"/>
      <c r="AU1017" s="1"/>
      <c r="AV1017" s="1"/>
      <c r="AW1017" s="1"/>
      <c r="AX1017" s="1"/>
      <c r="AY1017" s="1"/>
      <c r="AZ1017" s="4" t="s">
        <v>349</v>
      </c>
      <c r="BA1017" s="1"/>
      <c r="BB1017" s="1"/>
      <c r="BC1017" s="1"/>
    </row>
    <row r="1018" spans="1:55" s="78" customFormat="1" ht="15" customHeight="1" x14ac:dyDescent="0.25">
      <c r="A1018" s="52" t="s">
        <v>5027</v>
      </c>
      <c r="B1018" s="34" t="s">
        <v>59</v>
      </c>
      <c r="C1018" s="53">
        <v>2026</v>
      </c>
      <c r="D1018" s="53">
        <v>2026</v>
      </c>
      <c r="E1018" s="54" t="s">
        <v>3623</v>
      </c>
      <c r="F1018" s="55" t="s">
        <v>50</v>
      </c>
      <c r="G1018" s="55" t="s">
        <v>50</v>
      </c>
      <c r="H1018" s="45" t="s">
        <v>2340</v>
      </c>
      <c r="I1018" s="56" t="s">
        <v>78</v>
      </c>
      <c r="J1018" s="56"/>
      <c r="K1018" s="55" t="s">
        <v>71</v>
      </c>
      <c r="L1018" s="55" t="s">
        <v>88</v>
      </c>
      <c r="M1018" s="55"/>
      <c r="N1018" s="55" t="s">
        <v>181</v>
      </c>
      <c r="O1018" s="55"/>
      <c r="P1018" s="55" t="s">
        <v>73</v>
      </c>
      <c r="Q1018" s="55" t="s">
        <v>57</v>
      </c>
      <c r="R1018" s="55"/>
      <c r="S1018" s="56" t="s">
        <v>81</v>
      </c>
      <c r="T1018" s="55" t="str">
        <f>IF(ISNUMBER(SEARCH(",",N1018)),"Y","N")</f>
        <v>N</v>
      </c>
      <c r="U1018" s="57">
        <v>-999</v>
      </c>
      <c r="V1018" s="57" t="s">
        <v>59</v>
      </c>
      <c r="W1018" s="55" t="s">
        <v>2797</v>
      </c>
      <c r="X1018" s="54" t="s">
        <v>5027</v>
      </c>
      <c r="Y1018" s="52"/>
      <c r="Z1018" s="1" t="s">
        <v>61</v>
      </c>
      <c r="AA1018" s="3" t="s">
        <v>430</v>
      </c>
      <c r="AB1018" s="3"/>
      <c r="AC1018" s="3"/>
      <c r="AD1018" s="3" t="s">
        <v>62</v>
      </c>
      <c r="AE1018" s="3" t="s">
        <v>83</v>
      </c>
      <c r="AF1018" s="1" t="s">
        <v>431</v>
      </c>
      <c r="AG1018" s="1" t="s">
        <v>432</v>
      </c>
      <c r="AH1018" s="53">
        <v>61.5</v>
      </c>
      <c r="AI1018" s="1" t="s">
        <v>433</v>
      </c>
      <c r="AJ1018" s="59">
        <v>38.5</v>
      </c>
      <c r="AK1018" s="3"/>
      <c r="AL1018" s="53"/>
      <c r="AM1018" s="3"/>
      <c r="AN1018" s="53"/>
      <c r="AO1018" s="3"/>
      <c r="AP1018" s="53"/>
      <c r="AQ1018" s="3"/>
      <c r="AR1018" s="53"/>
      <c r="AS1018" s="3"/>
      <c r="AT1018" s="53"/>
      <c r="AU1018" s="3"/>
      <c r="AV1018" s="53"/>
      <c r="AW1018" s="3"/>
      <c r="AX1018" s="53"/>
      <c r="AY1018" s="3"/>
      <c r="AZ1018" s="4" t="s">
        <v>434</v>
      </c>
      <c r="BA1018" s="3"/>
      <c r="BB1018" s="1"/>
      <c r="BC1018" s="1"/>
    </row>
    <row r="1019" spans="1:55" s="78" customFormat="1" ht="15" customHeight="1" x14ac:dyDescent="0.25">
      <c r="A1019" s="52" t="s">
        <v>5028</v>
      </c>
      <c r="B1019" s="34" t="s">
        <v>59</v>
      </c>
      <c r="C1019" s="53">
        <v>2026</v>
      </c>
      <c r="D1019" s="53">
        <v>2026</v>
      </c>
      <c r="E1019" s="54" t="s">
        <v>3624</v>
      </c>
      <c r="F1019" s="55" t="s">
        <v>50</v>
      </c>
      <c r="G1019" s="55" t="s">
        <v>50</v>
      </c>
      <c r="H1019" s="45" t="s">
        <v>2342</v>
      </c>
      <c r="I1019" s="45" t="s">
        <v>52</v>
      </c>
      <c r="J1019" s="56"/>
      <c r="K1019" s="55" t="s">
        <v>210</v>
      </c>
      <c r="L1019" s="55" t="s">
        <v>54</v>
      </c>
      <c r="M1019" s="55" t="s">
        <v>211</v>
      </c>
      <c r="N1019" s="55" t="s">
        <v>212</v>
      </c>
      <c r="O1019" s="55"/>
      <c r="P1019" s="55" t="s">
        <v>89</v>
      </c>
      <c r="Q1019" s="55" t="s">
        <v>89</v>
      </c>
      <c r="R1019" s="55"/>
      <c r="S1019" s="56" t="s">
        <v>81</v>
      </c>
      <c r="T1019" s="55" t="s">
        <v>81</v>
      </c>
      <c r="U1019" s="57">
        <v>131000</v>
      </c>
      <c r="V1019" s="57" t="s">
        <v>101</v>
      </c>
      <c r="W1019" s="55" t="s">
        <v>2319</v>
      </c>
      <c r="X1019" s="54" t="s">
        <v>5028</v>
      </c>
      <c r="Y1019" s="52"/>
      <c r="Z1019" s="3" t="s">
        <v>61</v>
      </c>
      <c r="AA1019" s="1" t="s">
        <v>1053</v>
      </c>
      <c r="AB1019" s="1"/>
      <c r="AC1019" s="1"/>
      <c r="AD1019" s="3" t="s">
        <v>62</v>
      </c>
      <c r="AE1019" s="3" t="s">
        <v>1054</v>
      </c>
      <c r="AF1019" s="1" t="s">
        <v>2343</v>
      </c>
      <c r="AG1019" s="1" t="s">
        <v>776</v>
      </c>
      <c r="AH1019" s="2">
        <v>100</v>
      </c>
      <c r="AI1019" s="1"/>
      <c r="AJ1019" s="2"/>
      <c r="AK1019" s="3"/>
      <c r="AL1019" s="3"/>
      <c r="AM1019" s="3"/>
      <c r="AN1019" s="3"/>
      <c r="AO1019" s="3"/>
      <c r="AP1019" s="3"/>
      <c r="AQ1019" s="3"/>
      <c r="AR1019" s="3"/>
      <c r="AS1019" s="3"/>
      <c r="AT1019" s="3"/>
      <c r="AU1019" s="3"/>
      <c r="AV1019" s="3"/>
      <c r="AW1019" s="3"/>
      <c r="AX1019" s="3"/>
      <c r="AY1019" s="3"/>
      <c r="AZ1019" s="4" t="s">
        <v>2341</v>
      </c>
      <c r="BA1019" s="3"/>
      <c r="BB1019" s="1"/>
      <c r="BC1019" s="1"/>
    </row>
    <row r="1020" spans="1:55" s="78" customFormat="1" ht="15" customHeight="1" x14ac:dyDescent="0.25">
      <c r="A1020" s="52" t="s">
        <v>5029</v>
      </c>
      <c r="B1020" s="34" t="s">
        <v>59</v>
      </c>
      <c r="C1020" s="53">
        <v>2026</v>
      </c>
      <c r="D1020" s="53">
        <v>2026</v>
      </c>
      <c r="E1020" s="54" t="s">
        <v>3625</v>
      </c>
      <c r="F1020" s="55" t="s">
        <v>50</v>
      </c>
      <c r="G1020" s="55" t="s">
        <v>50</v>
      </c>
      <c r="H1020" s="45" t="s">
        <v>2344</v>
      </c>
      <c r="I1020" s="56" t="s">
        <v>52</v>
      </c>
      <c r="J1020" s="56"/>
      <c r="K1020" s="45" t="s">
        <v>180</v>
      </c>
      <c r="L1020" s="55" t="str">
        <f>IF(K1020="Mine or Quarry","Mine","")</f>
        <v/>
      </c>
      <c r="M1020" s="55"/>
      <c r="N1020" s="55" t="s">
        <v>110</v>
      </c>
      <c r="O1020" s="55" t="s">
        <v>188</v>
      </c>
      <c r="P1020" s="55" t="s">
        <v>182</v>
      </c>
      <c r="Q1020" s="55" t="s">
        <v>5353</v>
      </c>
      <c r="R1020" s="55"/>
      <c r="S1020" s="56" t="s">
        <v>81</v>
      </c>
      <c r="T1020" s="55" t="str">
        <f>IF(ISNUMBER(SEARCH(",",N1020)),"Y","N")</f>
        <v>N</v>
      </c>
      <c r="U1020" s="57">
        <v>360</v>
      </c>
      <c r="V1020" s="57" t="s">
        <v>101</v>
      </c>
      <c r="W1020" s="55"/>
      <c r="X1020" s="54" t="s">
        <v>5029</v>
      </c>
      <c r="Y1020" s="53"/>
      <c r="Z1020" s="3" t="s">
        <v>61</v>
      </c>
      <c r="AA1020" s="3" t="s">
        <v>2345</v>
      </c>
      <c r="AB1020" s="3"/>
      <c r="AC1020" s="3"/>
      <c r="AD1020" s="3" t="s">
        <v>62</v>
      </c>
      <c r="AE1020" s="3" t="s">
        <v>184</v>
      </c>
      <c r="AF1020" s="3"/>
      <c r="AG1020" s="3" t="s">
        <v>626</v>
      </c>
      <c r="AH1020" s="58">
        <v>100</v>
      </c>
      <c r="AI1020" s="3"/>
      <c r="AJ1020" s="53"/>
      <c r="AK1020" s="3"/>
      <c r="AL1020" s="3"/>
      <c r="AM1020" s="3"/>
      <c r="AN1020" s="3"/>
      <c r="AO1020" s="3"/>
      <c r="AP1020" s="3"/>
      <c r="AQ1020" s="3"/>
      <c r="AR1020" s="3"/>
      <c r="AS1020" s="3"/>
      <c r="AT1020" s="3"/>
      <c r="AU1020" s="3"/>
      <c r="AV1020" s="3"/>
      <c r="AW1020" s="3"/>
      <c r="AX1020" s="3"/>
      <c r="AY1020" s="3"/>
      <c r="AZ1020" s="4" t="s">
        <v>662</v>
      </c>
      <c r="BA1020" s="3"/>
      <c r="BB1020" s="1"/>
      <c r="BC1020" s="1"/>
    </row>
    <row r="1021" spans="1:55" s="78" customFormat="1" ht="15" customHeight="1" x14ac:dyDescent="0.25">
      <c r="A1021" s="52" t="s">
        <v>5030</v>
      </c>
      <c r="B1021" s="34" t="s">
        <v>59</v>
      </c>
      <c r="C1021" s="53">
        <v>2026</v>
      </c>
      <c r="D1021" s="53">
        <v>2026</v>
      </c>
      <c r="E1021" s="54" t="s">
        <v>3626</v>
      </c>
      <c r="F1021" s="55" t="s">
        <v>50</v>
      </c>
      <c r="G1021" s="55" t="s">
        <v>50</v>
      </c>
      <c r="H1021" s="45" t="s">
        <v>2346</v>
      </c>
      <c r="I1021" s="56" t="s">
        <v>78</v>
      </c>
      <c r="J1021" s="56"/>
      <c r="K1021" s="45" t="s">
        <v>180</v>
      </c>
      <c r="L1021" s="55"/>
      <c r="M1021" s="55"/>
      <c r="N1021" s="55" t="s">
        <v>181</v>
      </c>
      <c r="O1021" s="55"/>
      <c r="P1021" s="55" t="s">
        <v>182</v>
      </c>
      <c r="Q1021" s="55" t="s">
        <v>5353</v>
      </c>
      <c r="R1021" s="55"/>
      <c r="S1021" s="56" t="s">
        <v>81</v>
      </c>
      <c r="T1021" s="55" t="str">
        <f>IF(ISNUMBER(SEARCH(",",N1021)),"Y","N")</f>
        <v>N</v>
      </c>
      <c r="U1021" s="57">
        <v>360</v>
      </c>
      <c r="V1021" s="57" t="s">
        <v>101</v>
      </c>
      <c r="W1021" s="55"/>
      <c r="X1021" s="54" t="s">
        <v>5030</v>
      </c>
      <c r="Y1021" s="53"/>
      <c r="Z1021" s="3" t="s">
        <v>61</v>
      </c>
      <c r="AA1021" s="3" t="s">
        <v>2345</v>
      </c>
      <c r="AB1021" s="3"/>
      <c r="AC1021" s="3"/>
      <c r="AD1021" s="3" t="s">
        <v>62</v>
      </c>
      <c r="AE1021" s="3" t="s">
        <v>184</v>
      </c>
      <c r="AF1021" s="3"/>
      <c r="AG1021" s="3" t="s">
        <v>626</v>
      </c>
      <c r="AH1021" s="58">
        <v>100</v>
      </c>
      <c r="AI1021" s="3"/>
      <c r="AJ1021" s="53"/>
      <c r="AK1021" s="3"/>
      <c r="AL1021" s="3"/>
      <c r="AM1021" s="3"/>
      <c r="AN1021" s="3"/>
      <c r="AO1021" s="3"/>
      <c r="AP1021" s="3"/>
      <c r="AQ1021" s="3"/>
      <c r="AR1021" s="3"/>
      <c r="AS1021" s="3"/>
      <c r="AT1021" s="3"/>
      <c r="AU1021" s="3"/>
      <c r="AV1021" s="3"/>
      <c r="AW1021" s="3"/>
      <c r="AX1021" s="3"/>
      <c r="AY1021" s="3"/>
      <c r="AZ1021" s="4" t="s">
        <v>662</v>
      </c>
      <c r="BA1021" s="3"/>
      <c r="BB1021" s="1"/>
      <c r="BC1021" s="1"/>
    </row>
    <row r="1022" spans="1:55" s="78" customFormat="1" ht="15" customHeight="1" x14ac:dyDescent="0.25">
      <c r="A1022" s="52" t="s">
        <v>5031</v>
      </c>
      <c r="B1022" s="34" t="s">
        <v>59</v>
      </c>
      <c r="C1022" s="53">
        <v>2026</v>
      </c>
      <c r="D1022" s="53">
        <v>2026</v>
      </c>
      <c r="E1022" s="54" t="s">
        <v>3627</v>
      </c>
      <c r="F1022" s="55" t="s">
        <v>50</v>
      </c>
      <c r="G1022" s="55" t="s">
        <v>50</v>
      </c>
      <c r="H1022" s="45" t="s">
        <v>2348</v>
      </c>
      <c r="I1022" s="56" t="s">
        <v>78</v>
      </c>
      <c r="J1022" s="56"/>
      <c r="K1022" s="45" t="s">
        <v>180</v>
      </c>
      <c r="L1022" s="55" t="str">
        <f>IF(K1022="Mine or Quarry","Mine","")</f>
        <v/>
      </c>
      <c r="M1022" s="55"/>
      <c r="N1022" s="55" t="s">
        <v>181</v>
      </c>
      <c r="O1022" s="55" t="s">
        <v>629</v>
      </c>
      <c r="P1022" s="55" t="s">
        <v>182</v>
      </c>
      <c r="Q1022" s="55" t="s">
        <v>5353</v>
      </c>
      <c r="R1022" s="55"/>
      <c r="S1022" s="56" t="s">
        <v>81</v>
      </c>
      <c r="T1022" s="55" t="s">
        <v>81</v>
      </c>
      <c r="U1022" s="57">
        <v>1360</v>
      </c>
      <c r="V1022" s="57" t="s">
        <v>101</v>
      </c>
      <c r="W1022" s="55"/>
      <c r="X1022" s="54" t="s">
        <v>5031</v>
      </c>
      <c r="Y1022" s="53"/>
      <c r="Z1022" s="1" t="s">
        <v>61</v>
      </c>
      <c r="AA1022" s="3" t="s">
        <v>2349</v>
      </c>
      <c r="AB1022" s="3"/>
      <c r="AC1022" s="3"/>
      <c r="AD1022" s="3" t="s">
        <v>62</v>
      </c>
      <c r="AE1022" s="1" t="s">
        <v>387</v>
      </c>
      <c r="AF1022" s="1"/>
      <c r="AG1022" s="3" t="s">
        <v>2350</v>
      </c>
      <c r="AH1022" s="58">
        <v>100</v>
      </c>
      <c r="AI1022" s="3"/>
      <c r="AJ1022" s="53"/>
      <c r="AK1022" s="3"/>
      <c r="AL1022" s="3"/>
      <c r="AM1022" s="3"/>
      <c r="AN1022" s="3"/>
      <c r="AO1022" s="3"/>
      <c r="AP1022" s="3"/>
      <c r="AQ1022" s="3"/>
      <c r="AR1022" s="3"/>
      <c r="AS1022" s="3"/>
      <c r="AT1022" s="3"/>
      <c r="AU1022" s="3"/>
      <c r="AV1022" s="3"/>
      <c r="AW1022" s="3"/>
      <c r="AX1022" s="3"/>
      <c r="AY1022" s="3"/>
      <c r="AZ1022" s="4" t="s">
        <v>2347</v>
      </c>
      <c r="BA1022" s="3"/>
      <c r="BB1022" s="1"/>
      <c r="BC1022" s="1"/>
    </row>
    <row r="1023" spans="1:55" s="78" customFormat="1" ht="15" customHeight="1" x14ac:dyDescent="0.25">
      <c r="A1023" s="52" t="s">
        <v>5032</v>
      </c>
      <c r="B1023" s="34" t="s">
        <v>59</v>
      </c>
      <c r="C1023" s="53">
        <v>2026</v>
      </c>
      <c r="D1023" s="53">
        <v>2026</v>
      </c>
      <c r="E1023" s="54" t="s">
        <v>3628</v>
      </c>
      <c r="F1023" s="55" t="s">
        <v>50</v>
      </c>
      <c r="G1023" s="55" t="s">
        <v>50</v>
      </c>
      <c r="H1023" s="45" t="s">
        <v>2351</v>
      </c>
      <c r="I1023" s="56" t="s">
        <v>52</v>
      </c>
      <c r="J1023" s="56"/>
      <c r="K1023" s="45" t="s">
        <v>180</v>
      </c>
      <c r="L1023" s="55" t="str">
        <f>IF(K1023="Mine or Quarry","Mine","")</f>
        <v/>
      </c>
      <c r="M1023" s="55"/>
      <c r="N1023" s="55" t="s">
        <v>110</v>
      </c>
      <c r="O1023" s="55" t="s">
        <v>188</v>
      </c>
      <c r="P1023" s="55" t="s">
        <v>182</v>
      </c>
      <c r="Q1023" s="55" t="s">
        <v>5353</v>
      </c>
      <c r="R1023" s="55"/>
      <c r="S1023" s="56" t="s">
        <v>81</v>
      </c>
      <c r="T1023" s="55" t="str">
        <f>IF(ISNUMBER(SEARCH(",",N1023)),"Y","N")</f>
        <v>N</v>
      </c>
      <c r="U1023" s="57">
        <v>1360</v>
      </c>
      <c r="V1023" s="57" t="s">
        <v>101</v>
      </c>
      <c r="W1023" s="55"/>
      <c r="X1023" s="54" t="s">
        <v>5032</v>
      </c>
      <c r="Y1023" s="53"/>
      <c r="Z1023" s="1" t="s">
        <v>61</v>
      </c>
      <c r="AA1023" s="3" t="s">
        <v>2349</v>
      </c>
      <c r="AB1023" s="3"/>
      <c r="AC1023" s="3"/>
      <c r="AD1023" s="3" t="s">
        <v>62</v>
      </c>
      <c r="AE1023" s="1" t="s">
        <v>387</v>
      </c>
      <c r="AF1023" s="1"/>
      <c r="AG1023" s="3" t="s">
        <v>2350</v>
      </c>
      <c r="AH1023" s="58">
        <v>100</v>
      </c>
      <c r="AI1023" s="3"/>
      <c r="AJ1023" s="53"/>
      <c r="AK1023" s="3"/>
      <c r="AL1023" s="3"/>
      <c r="AM1023" s="3"/>
      <c r="AN1023" s="3"/>
      <c r="AO1023" s="3"/>
      <c r="AP1023" s="3"/>
      <c r="AQ1023" s="3"/>
      <c r="AR1023" s="3"/>
      <c r="AS1023" s="3"/>
      <c r="AT1023" s="3"/>
      <c r="AU1023" s="3"/>
      <c r="AV1023" s="3"/>
      <c r="AW1023" s="3"/>
      <c r="AX1023" s="3"/>
      <c r="AY1023" s="3"/>
      <c r="AZ1023" s="4" t="s">
        <v>2347</v>
      </c>
      <c r="BA1023" s="3"/>
      <c r="BB1023" s="1"/>
      <c r="BC1023" s="1"/>
    </row>
    <row r="1024" spans="1:55" s="78" customFormat="1" ht="15" customHeight="1" x14ac:dyDescent="0.25">
      <c r="A1024" s="52" t="s">
        <v>5033</v>
      </c>
      <c r="B1024" s="34" t="s">
        <v>59</v>
      </c>
      <c r="C1024" s="53">
        <v>2026</v>
      </c>
      <c r="D1024" s="53">
        <v>2026</v>
      </c>
      <c r="E1024" s="54" t="s">
        <v>3629</v>
      </c>
      <c r="F1024" s="55" t="s">
        <v>50</v>
      </c>
      <c r="G1024" s="55" t="s">
        <v>50</v>
      </c>
      <c r="H1024" s="45" t="s">
        <v>2352</v>
      </c>
      <c r="I1024" s="56" t="s">
        <v>78</v>
      </c>
      <c r="J1024" s="56"/>
      <c r="K1024" s="56" t="s">
        <v>204</v>
      </c>
      <c r="L1024" s="55"/>
      <c r="M1024" s="55"/>
      <c r="N1024" s="56"/>
      <c r="O1024" s="56"/>
      <c r="P1024" s="55" t="s">
        <v>89</v>
      </c>
      <c r="Q1024" s="55" t="s">
        <v>89</v>
      </c>
      <c r="R1024" s="55"/>
      <c r="S1024" s="56" t="s">
        <v>81</v>
      </c>
      <c r="T1024" s="55" t="str">
        <f>IF(ISNUMBER(SEARCH(",",N1024)),"Y","N")</f>
        <v>N</v>
      </c>
      <c r="U1024" s="57">
        <v>400000</v>
      </c>
      <c r="V1024" s="57" t="s">
        <v>101</v>
      </c>
      <c r="W1024" s="55" t="s">
        <v>2319</v>
      </c>
      <c r="X1024" s="54" t="s">
        <v>5033</v>
      </c>
      <c r="Y1024" s="52"/>
      <c r="Z1024" s="1" t="s">
        <v>61</v>
      </c>
      <c r="AA1024" s="1" t="s">
        <v>452</v>
      </c>
      <c r="AB1024" s="1"/>
      <c r="AC1024" s="1"/>
      <c r="AD1024" s="3" t="s">
        <v>62</v>
      </c>
      <c r="AE1024" s="1" t="s">
        <v>83</v>
      </c>
      <c r="AF1024" s="1"/>
      <c r="AG1024" s="3" t="s">
        <v>929</v>
      </c>
      <c r="AH1024" s="1"/>
      <c r="AI1024" s="1"/>
      <c r="AJ1024" s="1"/>
      <c r="AK1024" s="1"/>
      <c r="AL1024" s="1"/>
      <c r="AM1024" s="1"/>
      <c r="AN1024" s="1"/>
      <c r="AO1024" s="1"/>
      <c r="AP1024" s="1"/>
      <c r="AQ1024" s="1"/>
      <c r="AR1024" s="1"/>
      <c r="AS1024" s="1"/>
      <c r="AT1024" s="1"/>
      <c r="AU1024" s="1"/>
      <c r="AV1024" s="1"/>
      <c r="AW1024" s="1"/>
      <c r="AX1024" s="1"/>
      <c r="AY1024" s="1"/>
      <c r="AZ1024" s="4" t="s">
        <v>202</v>
      </c>
      <c r="BA1024" s="1" t="s">
        <v>3822</v>
      </c>
      <c r="BB1024" s="1"/>
      <c r="BC1024" s="1"/>
    </row>
    <row r="1025" spans="1:55" s="78" customFormat="1" ht="15" customHeight="1" x14ac:dyDescent="0.25">
      <c r="A1025" s="52" t="s">
        <v>5034</v>
      </c>
      <c r="B1025" s="34" t="s">
        <v>59</v>
      </c>
      <c r="C1025" s="53">
        <v>2026</v>
      </c>
      <c r="D1025" s="53">
        <v>2026</v>
      </c>
      <c r="E1025" s="54" t="s">
        <v>3630</v>
      </c>
      <c r="F1025" s="55" t="s">
        <v>50</v>
      </c>
      <c r="G1025" s="55" t="s">
        <v>50</v>
      </c>
      <c r="H1025" s="45" t="s">
        <v>2353</v>
      </c>
      <c r="I1025" s="56" t="s">
        <v>52</v>
      </c>
      <c r="J1025" s="56"/>
      <c r="K1025" s="56" t="s">
        <v>1019</v>
      </c>
      <c r="L1025" s="55"/>
      <c r="M1025" s="55"/>
      <c r="N1025" s="56"/>
      <c r="O1025" s="56" t="s">
        <v>1020</v>
      </c>
      <c r="P1025" s="56" t="s">
        <v>89</v>
      </c>
      <c r="Q1025" s="56" t="s">
        <v>89</v>
      </c>
      <c r="R1025" s="55"/>
      <c r="S1025" s="56" t="s">
        <v>81</v>
      </c>
      <c r="T1025" s="55" t="s">
        <v>81</v>
      </c>
      <c r="U1025" s="57">
        <v>-999</v>
      </c>
      <c r="V1025" s="57" t="s">
        <v>59</v>
      </c>
      <c r="W1025" s="55" t="s">
        <v>2319</v>
      </c>
      <c r="X1025" s="54" t="s">
        <v>5034</v>
      </c>
      <c r="Y1025" s="52"/>
      <c r="Z1025" s="1" t="s">
        <v>61</v>
      </c>
      <c r="AA1025" s="1" t="s">
        <v>2354</v>
      </c>
      <c r="AB1025" s="1"/>
      <c r="AC1025" s="1"/>
      <c r="AD1025" s="3" t="s">
        <v>62</v>
      </c>
      <c r="AE1025" s="1" t="s">
        <v>718</v>
      </c>
      <c r="AF1025" s="1" t="s">
        <v>1022</v>
      </c>
      <c r="AG1025" s="1" t="s">
        <v>1023</v>
      </c>
      <c r="AH1025" s="2">
        <v>100</v>
      </c>
      <c r="AI1025" s="1"/>
      <c r="AJ1025" s="1"/>
      <c r="AK1025" s="1"/>
      <c r="AL1025" s="1"/>
      <c r="AM1025" s="1"/>
      <c r="AN1025" s="1"/>
      <c r="AO1025" s="1"/>
      <c r="AP1025" s="1"/>
      <c r="AQ1025" s="1"/>
      <c r="AR1025" s="1"/>
      <c r="AS1025" s="1"/>
      <c r="AT1025" s="1"/>
      <c r="AU1025" s="1"/>
      <c r="AV1025" s="1"/>
      <c r="AW1025" s="1"/>
      <c r="AX1025" s="1"/>
      <c r="AY1025" s="1"/>
      <c r="AZ1025" s="4" t="s">
        <v>1017</v>
      </c>
      <c r="BA1025" s="1"/>
      <c r="BB1025" s="1"/>
      <c r="BC1025" s="1"/>
    </row>
    <row r="1026" spans="1:55" s="78" customFormat="1" ht="15" customHeight="1" x14ac:dyDescent="0.25">
      <c r="A1026" s="52" t="s">
        <v>5035</v>
      </c>
      <c r="B1026" s="34" t="s">
        <v>59</v>
      </c>
      <c r="C1026" s="53">
        <v>2026</v>
      </c>
      <c r="D1026" s="53">
        <v>2026</v>
      </c>
      <c r="E1026" s="54" t="s">
        <v>3631</v>
      </c>
      <c r="F1026" s="55" t="s">
        <v>50</v>
      </c>
      <c r="G1026" s="55" t="s">
        <v>50</v>
      </c>
      <c r="H1026" s="45" t="s">
        <v>2356</v>
      </c>
      <c r="I1026" s="56" t="s">
        <v>78</v>
      </c>
      <c r="J1026" s="56"/>
      <c r="K1026" s="56" t="s">
        <v>79</v>
      </c>
      <c r="L1026" s="55" t="str">
        <f>IF(K1026="Mine or Quarry","Mine","")</f>
        <v/>
      </c>
      <c r="M1026" s="55"/>
      <c r="N1026" s="56" t="s">
        <v>80</v>
      </c>
      <c r="O1026" s="56"/>
      <c r="P1026" s="56" t="s">
        <v>89</v>
      </c>
      <c r="Q1026" s="56" t="s">
        <v>89</v>
      </c>
      <c r="R1026" s="55"/>
      <c r="S1026" s="56" t="s">
        <v>81</v>
      </c>
      <c r="T1026" s="55" t="str">
        <f>IF(ISNUMBER(SEARCH(",",N1026)),"Y","N")</f>
        <v>N</v>
      </c>
      <c r="U1026" s="57">
        <v>-999</v>
      </c>
      <c r="V1026" s="57" t="s">
        <v>59</v>
      </c>
      <c r="W1026" s="55" t="s">
        <v>2319</v>
      </c>
      <c r="X1026" s="54" t="s">
        <v>5035</v>
      </c>
      <c r="Y1026" s="52"/>
      <c r="Z1026" s="1" t="s">
        <v>61</v>
      </c>
      <c r="AA1026" s="1" t="s">
        <v>2357</v>
      </c>
      <c r="AB1026" s="1"/>
      <c r="AC1026" s="1"/>
      <c r="AD1026" s="3" t="s">
        <v>62</v>
      </c>
      <c r="AE1026" s="1" t="s">
        <v>184</v>
      </c>
      <c r="AF1026" s="1"/>
      <c r="AG1026" s="1" t="s">
        <v>1483</v>
      </c>
      <c r="AH1026" s="1"/>
      <c r="AI1026" s="1"/>
      <c r="AJ1026" s="1"/>
      <c r="AK1026" s="1"/>
      <c r="AL1026" s="1"/>
      <c r="AM1026" s="1"/>
      <c r="AN1026" s="1"/>
      <c r="AO1026" s="1"/>
      <c r="AP1026" s="1"/>
      <c r="AQ1026" s="1"/>
      <c r="AR1026" s="1"/>
      <c r="AS1026" s="1"/>
      <c r="AT1026" s="1"/>
      <c r="AU1026" s="1"/>
      <c r="AV1026" s="1"/>
      <c r="AW1026" s="1"/>
      <c r="AX1026" s="1"/>
      <c r="AY1026" s="1"/>
      <c r="AZ1026" s="5" t="s">
        <v>2355</v>
      </c>
      <c r="BA1026" s="5"/>
      <c r="BB1026" s="1"/>
      <c r="BC1026" s="1"/>
    </row>
    <row r="1027" spans="1:55" s="78" customFormat="1" ht="15" customHeight="1" x14ac:dyDescent="0.25">
      <c r="A1027" s="52" t="s">
        <v>5036</v>
      </c>
      <c r="B1027" s="34" t="s">
        <v>59</v>
      </c>
      <c r="C1027" s="53">
        <v>2026</v>
      </c>
      <c r="D1027" s="53">
        <v>2026</v>
      </c>
      <c r="E1027" s="54" t="s">
        <v>3632</v>
      </c>
      <c r="F1027" s="55" t="s">
        <v>50</v>
      </c>
      <c r="G1027" s="55" t="s">
        <v>50</v>
      </c>
      <c r="H1027" s="45" t="s">
        <v>2359</v>
      </c>
      <c r="I1027" s="56" t="s">
        <v>78</v>
      </c>
      <c r="J1027" s="56"/>
      <c r="K1027" s="56" t="s">
        <v>71</v>
      </c>
      <c r="L1027" s="55" t="str">
        <f>IF(K1027="Mine or Quarry","Mine","")</f>
        <v/>
      </c>
      <c r="M1027" s="55"/>
      <c r="N1027" s="56" t="s">
        <v>110</v>
      </c>
      <c r="O1027" s="56"/>
      <c r="P1027" s="55" t="s">
        <v>73</v>
      </c>
      <c r="Q1027" s="55" t="s">
        <v>57</v>
      </c>
      <c r="R1027" s="55"/>
      <c r="S1027" s="56" t="s">
        <v>58</v>
      </c>
      <c r="T1027" s="55" t="str">
        <f>IF(ISNUMBER(SEARCH(",",N1027)),"Y","N")</f>
        <v>N</v>
      </c>
      <c r="U1027" s="57">
        <v>4.0540000000000003</v>
      </c>
      <c r="V1027" s="57" t="s">
        <v>101</v>
      </c>
      <c r="W1027" s="55"/>
      <c r="X1027" s="54" t="s">
        <v>5036</v>
      </c>
      <c r="Y1027" s="60"/>
      <c r="Z1027" s="2" t="s">
        <v>61</v>
      </c>
      <c r="AA1027" s="1" t="s">
        <v>2360</v>
      </c>
      <c r="AB1027" s="1"/>
      <c r="AC1027" s="1"/>
      <c r="AD1027" s="3" t="s">
        <v>62</v>
      </c>
      <c r="AE1027" s="2" t="s">
        <v>83</v>
      </c>
      <c r="AF1027" s="2"/>
      <c r="AG1027" s="3" t="s">
        <v>331</v>
      </c>
      <c r="AH1027" s="2">
        <v>100</v>
      </c>
      <c r="AI1027" s="1"/>
      <c r="AJ1027" s="1"/>
      <c r="AK1027" s="1"/>
      <c r="AL1027" s="1"/>
      <c r="AM1027" s="1"/>
      <c r="AN1027" s="1"/>
      <c r="AO1027" s="1"/>
      <c r="AP1027" s="1"/>
      <c r="AQ1027" s="1"/>
      <c r="AR1027" s="1"/>
      <c r="AS1027" s="1"/>
      <c r="AT1027" s="1"/>
      <c r="AU1027" s="1"/>
      <c r="AV1027" s="1"/>
      <c r="AW1027" s="1"/>
      <c r="AX1027" s="1"/>
      <c r="AY1027" s="1"/>
      <c r="AZ1027" s="2" t="s">
        <v>2358</v>
      </c>
      <c r="BA1027" s="1"/>
      <c r="BB1027" s="1"/>
      <c r="BC1027" s="1"/>
    </row>
    <row r="1028" spans="1:55" s="78" customFormat="1" ht="15" customHeight="1" x14ac:dyDescent="0.25">
      <c r="A1028" s="52" t="s">
        <v>5037</v>
      </c>
      <c r="B1028" s="34" t="s">
        <v>59</v>
      </c>
      <c r="C1028" s="53">
        <v>2026</v>
      </c>
      <c r="D1028" s="53">
        <v>2026</v>
      </c>
      <c r="E1028" s="54" t="s">
        <v>3632</v>
      </c>
      <c r="F1028" s="55" t="s">
        <v>50</v>
      </c>
      <c r="G1028" s="55" t="s">
        <v>50</v>
      </c>
      <c r="H1028" s="45" t="s">
        <v>2359</v>
      </c>
      <c r="I1028" s="56" t="s">
        <v>78</v>
      </c>
      <c r="J1028" s="56"/>
      <c r="K1028" s="56" t="s">
        <v>74</v>
      </c>
      <c r="L1028" s="55" t="str">
        <f>IF(K1028="Mines and Quarries","Mine","")</f>
        <v/>
      </c>
      <c r="M1028" s="55"/>
      <c r="N1028" s="56"/>
      <c r="O1028" s="56"/>
      <c r="P1028" s="55" t="s">
        <v>75</v>
      </c>
      <c r="Q1028" s="56" t="s">
        <v>57</v>
      </c>
      <c r="R1028" s="55"/>
      <c r="S1028" s="56" t="s">
        <v>58</v>
      </c>
      <c r="T1028" s="55" t="str">
        <f>IF(ISNUMBER(SEARCH(",",N1028)),"Y","N")</f>
        <v>N</v>
      </c>
      <c r="U1028" s="57">
        <v>-999</v>
      </c>
      <c r="V1028" s="57" t="s">
        <v>59</v>
      </c>
      <c r="W1028" s="55"/>
      <c r="X1028" s="54" t="s">
        <v>5037</v>
      </c>
      <c r="Y1028" s="60"/>
      <c r="Z1028" s="2" t="s">
        <v>61</v>
      </c>
      <c r="AA1028" s="1" t="s">
        <v>2360</v>
      </c>
      <c r="AB1028" s="1"/>
      <c r="AC1028" s="1"/>
      <c r="AD1028" s="3" t="s">
        <v>62</v>
      </c>
      <c r="AE1028" s="1" t="s">
        <v>83</v>
      </c>
      <c r="AF1028" s="1"/>
      <c r="AG1028" s="3" t="s">
        <v>331</v>
      </c>
      <c r="AH1028" s="2">
        <v>100</v>
      </c>
      <c r="AI1028" s="1"/>
      <c r="AJ1028" s="1"/>
      <c r="AK1028" s="1"/>
      <c r="AL1028" s="1"/>
      <c r="AM1028" s="1"/>
      <c r="AN1028" s="1"/>
      <c r="AO1028" s="1"/>
      <c r="AP1028" s="1"/>
      <c r="AQ1028" s="1"/>
      <c r="AR1028" s="1"/>
      <c r="AS1028" s="1"/>
      <c r="AT1028" s="1"/>
      <c r="AU1028" s="1"/>
      <c r="AV1028" s="1"/>
      <c r="AW1028" s="1"/>
      <c r="AX1028" s="1"/>
      <c r="AY1028" s="1"/>
      <c r="AZ1028" s="5" t="s">
        <v>328</v>
      </c>
      <c r="BA1028" s="5"/>
      <c r="BB1028" s="1"/>
      <c r="BC1028" s="1"/>
    </row>
    <row r="1029" spans="1:55" s="78" customFormat="1" ht="15" customHeight="1" x14ac:dyDescent="0.25">
      <c r="A1029" s="52" t="s">
        <v>5038</v>
      </c>
      <c r="B1029" s="34" t="s">
        <v>59</v>
      </c>
      <c r="C1029" s="53">
        <v>2026</v>
      </c>
      <c r="D1029" s="53">
        <v>2026</v>
      </c>
      <c r="E1029" s="54" t="s">
        <v>3633</v>
      </c>
      <c r="F1029" s="55" t="s">
        <v>50</v>
      </c>
      <c r="G1029" s="55" t="s">
        <v>50</v>
      </c>
      <c r="H1029" s="45" t="s">
        <v>2361</v>
      </c>
      <c r="I1029" s="56" t="s">
        <v>52</v>
      </c>
      <c r="J1029" s="56"/>
      <c r="K1029" s="56" t="s">
        <v>71</v>
      </c>
      <c r="L1029" s="55" t="str">
        <f>IF(K1029="Mine or Quarry","Mine","")</f>
        <v/>
      </c>
      <c r="M1029" s="55"/>
      <c r="N1029" s="55" t="s">
        <v>110</v>
      </c>
      <c r="O1029" s="45" t="s">
        <v>296</v>
      </c>
      <c r="P1029" s="55" t="s">
        <v>73</v>
      </c>
      <c r="Q1029" s="55" t="s">
        <v>57</v>
      </c>
      <c r="R1029" s="55"/>
      <c r="S1029" s="56" t="s">
        <v>81</v>
      </c>
      <c r="T1029" s="55" t="str">
        <f>IF(ISNUMBER(SEARCH(",",N1029)),"Y","N")</f>
        <v>N</v>
      </c>
      <c r="U1029" s="57">
        <v>4.0540000000000003</v>
      </c>
      <c r="V1029" s="57" t="s">
        <v>101</v>
      </c>
      <c r="W1029" s="55"/>
      <c r="X1029" s="54" t="s">
        <v>5038</v>
      </c>
      <c r="Y1029" s="60"/>
      <c r="Z1029" s="2" t="s">
        <v>61</v>
      </c>
      <c r="AA1029" s="1" t="s">
        <v>2360</v>
      </c>
      <c r="AB1029" s="1"/>
      <c r="AC1029" s="1"/>
      <c r="AD1029" s="3" t="s">
        <v>62</v>
      </c>
      <c r="AE1029" s="2" t="s">
        <v>83</v>
      </c>
      <c r="AF1029" s="2"/>
      <c r="AG1029" s="3" t="s">
        <v>331</v>
      </c>
      <c r="AH1029" s="2">
        <v>100</v>
      </c>
      <c r="AI1029" s="1"/>
      <c r="AJ1029" s="1"/>
      <c r="AK1029" s="1"/>
      <c r="AL1029" s="1"/>
      <c r="AM1029" s="1"/>
      <c r="AN1029" s="1"/>
      <c r="AO1029" s="1"/>
      <c r="AP1029" s="1"/>
      <c r="AQ1029" s="1"/>
      <c r="AR1029" s="1"/>
      <c r="AS1029" s="1"/>
      <c r="AT1029" s="1"/>
      <c r="AU1029" s="1"/>
      <c r="AV1029" s="1"/>
      <c r="AW1029" s="1"/>
      <c r="AX1029" s="1"/>
      <c r="AY1029" s="1"/>
      <c r="AZ1029" s="2" t="s">
        <v>2358</v>
      </c>
      <c r="BA1029" s="1"/>
      <c r="BB1029" s="1"/>
      <c r="BC1029" s="1"/>
    </row>
    <row r="1030" spans="1:55" s="78" customFormat="1" ht="15" customHeight="1" x14ac:dyDescent="0.25">
      <c r="A1030" s="52" t="s">
        <v>5039</v>
      </c>
      <c r="B1030" s="34" t="s">
        <v>59</v>
      </c>
      <c r="C1030" s="53">
        <v>2026</v>
      </c>
      <c r="D1030" s="53">
        <v>2026</v>
      </c>
      <c r="E1030" s="54" t="s">
        <v>3633</v>
      </c>
      <c r="F1030" s="55" t="s">
        <v>50</v>
      </c>
      <c r="G1030" s="55" t="s">
        <v>50</v>
      </c>
      <c r="H1030" s="45" t="s">
        <v>2361</v>
      </c>
      <c r="I1030" s="56" t="s">
        <v>52</v>
      </c>
      <c r="J1030" s="56"/>
      <c r="K1030" s="56" t="s">
        <v>74</v>
      </c>
      <c r="L1030" s="55" t="str">
        <f>IF(K1030="Mines and Quarries","Mine","")</f>
        <v/>
      </c>
      <c r="M1030" s="55"/>
      <c r="N1030" s="55" t="s">
        <v>110</v>
      </c>
      <c r="O1030" s="56" t="s">
        <v>296</v>
      </c>
      <c r="P1030" s="55" t="s">
        <v>75</v>
      </c>
      <c r="Q1030" s="56" t="s">
        <v>57</v>
      </c>
      <c r="R1030" s="55"/>
      <c r="S1030" s="56" t="s">
        <v>58</v>
      </c>
      <c r="T1030" s="55" t="str">
        <f>IF(ISNUMBER(SEARCH(",",N1030)),"Y","N")</f>
        <v>N</v>
      </c>
      <c r="U1030" s="57">
        <v>-999</v>
      </c>
      <c r="V1030" s="57" t="s">
        <v>59</v>
      </c>
      <c r="W1030" s="55"/>
      <c r="X1030" s="54" t="s">
        <v>5039</v>
      </c>
      <c r="Y1030" s="60"/>
      <c r="Z1030" s="2" t="s">
        <v>61</v>
      </c>
      <c r="AA1030" s="1" t="s">
        <v>2360</v>
      </c>
      <c r="AB1030" s="1"/>
      <c r="AC1030" s="1"/>
      <c r="AD1030" s="3" t="s">
        <v>62</v>
      </c>
      <c r="AE1030" s="2" t="s">
        <v>83</v>
      </c>
      <c r="AF1030" s="1"/>
      <c r="AG1030" s="3" t="s">
        <v>331</v>
      </c>
      <c r="AH1030" s="2">
        <v>100</v>
      </c>
      <c r="AI1030" s="1"/>
      <c r="AJ1030" s="1"/>
      <c r="AK1030" s="1"/>
      <c r="AL1030" s="1"/>
      <c r="AM1030" s="1"/>
      <c r="AN1030" s="1"/>
      <c r="AO1030" s="1"/>
      <c r="AP1030" s="1"/>
      <c r="AQ1030" s="1"/>
      <c r="AR1030" s="1"/>
      <c r="AS1030" s="1"/>
      <c r="AT1030" s="1"/>
      <c r="AU1030" s="1"/>
      <c r="AV1030" s="1"/>
      <c r="AW1030" s="1"/>
      <c r="AX1030" s="1"/>
      <c r="AY1030" s="1"/>
      <c r="AZ1030" s="2" t="s">
        <v>2358</v>
      </c>
      <c r="BA1030" s="5"/>
      <c r="BB1030" s="1"/>
      <c r="BC1030" s="1"/>
    </row>
    <row r="1031" spans="1:55" s="78" customFormat="1" ht="15" customHeight="1" x14ac:dyDescent="0.25">
      <c r="A1031" s="52" t="s">
        <v>5040</v>
      </c>
      <c r="B1031" s="34" t="s">
        <v>59</v>
      </c>
      <c r="C1031" s="53">
        <v>2026</v>
      </c>
      <c r="D1031" s="53">
        <v>2026</v>
      </c>
      <c r="E1031" s="54" t="s">
        <v>3634</v>
      </c>
      <c r="F1031" s="55" t="s">
        <v>50</v>
      </c>
      <c r="G1031" s="55" t="s">
        <v>50</v>
      </c>
      <c r="H1031" s="45" t="s">
        <v>5295</v>
      </c>
      <c r="I1031" s="56" t="s">
        <v>52</v>
      </c>
      <c r="J1031" s="56"/>
      <c r="K1031" s="56" t="s">
        <v>140</v>
      </c>
      <c r="L1031" s="55" t="str">
        <f>IF(K1031="Mine or Quarry","Mine","")</f>
        <v/>
      </c>
      <c r="M1031" s="55"/>
      <c r="N1031" s="56" t="s">
        <v>1348</v>
      </c>
      <c r="O1031" s="55"/>
      <c r="P1031" s="55" t="s">
        <v>142</v>
      </c>
      <c r="Q1031" s="55" t="s">
        <v>57</v>
      </c>
      <c r="R1031" s="55"/>
      <c r="S1031" s="56" t="s">
        <v>81</v>
      </c>
      <c r="T1031" s="55" t="s">
        <v>81</v>
      </c>
      <c r="U1031" s="57">
        <v>11000</v>
      </c>
      <c r="V1031" s="57" t="s">
        <v>101</v>
      </c>
      <c r="W1031" s="55" t="s">
        <v>2319</v>
      </c>
      <c r="X1031" s="54" t="s">
        <v>5040</v>
      </c>
      <c r="Y1031" s="52"/>
      <c r="Z1031" s="1" t="s">
        <v>2005</v>
      </c>
      <c r="AA1031" s="3" t="s">
        <v>2363</v>
      </c>
      <c r="AB1031" s="3"/>
      <c r="AC1031" s="3"/>
      <c r="AD1031" s="3" t="s">
        <v>62</v>
      </c>
      <c r="AE1031" s="1" t="s">
        <v>251</v>
      </c>
      <c r="AF1031" s="1"/>
      <c r="AG1031" s="1" t="s">
        <v>145</v>
      </c>
      <c r="AH1031" s="2">
        <v>100</v>
      </c>
      <c r="AI1031" s="3"/>
      <c r="AJ1031" s="3"/>
      <c r="AK1031" s="3"/>
      <c r="AL1031" s="3"/>
      <c r="AM1031" s="3"/>
      <c r="AN1031" s="3"/>
      <c r="AO1031" s="3"/>
      <c r="AP1031" s="3"/>
      <c r="AQ1031" s="3"/>
      <c r="AR1031" s="3"/>
      <c r="AS1031" s="3"/>
      <c r="AT1031" s="3"/>
      <c r="AU1031" s="3"/>
      <c r="AV1031" s="3"/>
      <c r="AW1031" s="3"/>
      <c r="AX1031" s="3"/>
      <c r="AY1031" s="3"/>
      <c r="AZ1031" s="4" t="s">
        <v>2362</v>
      </c>
      <c r="BA1031" s="3"/>
      <c r="BB1031" s="1"/>
      <c r="BC1031" s="1"/>
    </row>
    <row r="1032" spans="1:55" s="78" customFormat="1" ht="15" customHeight="1" x14ac:dyDescent="0.25">
      <c r="A1032" s="52" t="s">
        <v>5041</v>
      </c>
      <c r="B1032" s="34" t="s">
        <v>59</v>
      </c>
      <c r="C1032" s="53">
        <v>2026</v>
      </c>
      <c r="D1032" s="53">
        <v>2026</v>
      </c>
      <c r="E1032" s="54" t="s">
        <v>3635</v>
      </c>
      <c r="F1032" s="55" t="s">
        <v>50</v>
      </c>
      <c r="G1032" s="55" t="s">
        <v>50</v>
      </c>
      <c r="H1032" s="45" t="s">
        <v>2365</v>
      </c>
      <c r="I1032" s="56" t="s">
        <v>78</v>
      </c>
      <c r="J1032" s="56"/>
      <c r="K1032" s="56" t="s">
        <v>71</v>
      </c>
      <c r="L1032" s="55" t="str">
        <f>IF(K1032="Mine or Quarry","Mine","")</f>
        <v/>
      </c>
      <c r="M1032" s="55"/>
      <c r="N1032" s="56" t="s">
        <v>181</v>
      </c>
      <c r="O1032" s="56"/>
      <c r="P1032" s="55" t="s">
        <v>73</v>
      </c>
      <c r="Q1032" s="55" t="s">
        <v>57</v>
      </c>
      <c r="R1032" s="55"/>
      <c r="S1032" s="56" t="s">
        <v>58</v>
      </c>
      <c r="T1032" s="55" t="s">
        <v>81</v>
      </c>
      <c r="U1032" s="57">
        <v>2.8889999999999998</v>
      </c>
      <c r="V1032" s="57" t="s">
        <v>101</v>
      </c>
      <c r="W1032" s="55" t="s">
        <v>2319</v>
      </c>
      <c r="X1032" s="54" t="s">
        <v>5041</v>
      </c>
      <c r="Y1032" s="60"/>
      <c r="Z1032" s="2" t="s">
        <v>61</v>
      </c>
      <c r="AA1032" s="1" t="s">
        <v>1046</v>
      </c>
      <c r="AB1032" s="1"/>
      <c r="AC1032" s="1"/>
      <c r="AD1032" s="3" t="s">
        <v>62</v>
      </c>
      <c r="AE1032" s="2" t="s">
        <v>83</v>
      </c>
      <c r="AF1032" s="2"/>
      <c r="AG1032" s="3" t="s">
        <v>1279</v>
      </c>
      <c r="AH1032" s="58">
        <v>100</v>
      </c>
      <c r="AI1032" s="1"/>
      <c r="AJ1032" s="1"/>
      <c r="AK1032" s="1"/>
      <c r="AL1032" s="1"/>
      <c r="AM1032" s="1"/>
      <c r="AN1032" s="1"/>
      <c r="AO1032" s="1"/>
      <c r="AP1032" s="1"/>
      <c r="AQ1032" s="1"/>
      <c r="AR1032" s="1"/>
      <c r="AS1032" s="1"/>
      <c r="AT1032" s="1"/>
      <c r="AU1032" s="1"/>
      <c r="AV1032" s="1"/>
      <c r="AW1032" s="1"/>
      <c r="AX1032" s="1"/>
      <c r="AY1032" s="1"/>
      <c r="AZ1032" s="4" t="s">
        <v>2364</v>
      </c>
      <c r="BA1032" s="1"/>
      <c r="BB1032" s="1"/>
      <c r="BC1032" s="1"/>
    </row>
    <row r="1033" spans="1:55" s="78" customFormat="1" ht="15" customHeight="1" x14ac:dyDescent="0.25">
      <c r="A1033" s="52" t="s">
        <v>5042</v>
      </c>
      <c r="B1033" s="34" t="s">
        <v>59</v>
      </c>
      <c r="C1033" s="53">
        <v>2026</v>
      </c>
      <c r="D1033" s="53">
        <v>2026</v>
      </c>
      <c r="E1033" s="54" t="s">
        <v>3635</v>
      </c>
      <c r="F1033" s="55" t="s">
        <v>50</v>
      </c>
      <c r="G1033" s="55" t="s">
        <v>50</v>
      </c>
      <c r="H1033" s="45" t="s">
        <v>2365</v>
      </c>
      <c r="I1033" s="56" t="s">
        <v>78</v>
      </c>
      <c r="J1033" s="56"/>
      <c r="K1033" s="56" t="s">
        <v>74</v>
      </c>
      <c r="L1033" s="55"/>
      <c r="M1033" s="55"/>
      <c r="N1033" s="56" t="s">
        <v>181</v>
      </c>
      <c r="O1033" s="56"/>
      <c r="P1033" s="55" t="s">
        <v>75</v>
      </c>
      <c r="Q1033" s="56" t="s">
        <v>57</v>
      </c>
      <c r="R1033" s="55"/>
      <c r="S1033" s="56" t="s">
        <v>58</v>
      </c>
      <c r="T1033" s="55" t="s">
        <v>81</v>
      </c>
      <c r="U1033" s="72">
        <v>637.86400000000003</v>
      </c>
      <c r="V1033" s="57" t="s">
        <v>101</v>
      </c>
      <c r="W1033" s="55" t="s">
        <v>2319</v>
      </c>
      <c r="X1033" s="54" t="s">
        <v>5042</v>
      </c>
      <c r="Y1033" s="60"/>
      <c r="Z1033" s="2" t="s">
        <v>61</v>
      </c>
      <c r="AA1033" s="1" t="s">
        <v>1046</v>
      </c>
      <c r="AB1033" s="1"/>
      <c r="AC1033" s="1"/>
      <c r="AD1033" s="3" t="s">
        <v>62</v>
      </c>
      <c r="AE1033" s="2" t="s">
        <v>83</v>
      </c>
      <c r="AF1033" s="2"/>
      <c r="AG1033" s="3" t="s">
        <v>1279</v>
      </c>
      <c r="AH1033" s="58">
        <v>100</v>
      </c>
      <c r="AI1033" s="1"/>
      <c r="AJ1033" s="1"/>
      <c r="AK1033" s="1"/>
      <c r="AL1033" s="1"/>
      <c r="AM1033" s="1"/>
      <c r="AN1033" s="1"/>
      <c r="AO1033" s="1"/>
      <c r="AP1033" s="1"/>
      <c r="AQ1033" s="1"/>
      <c r="AR1033" s="1"/>
      <c r="AS1033" s="1"/>
      <c r="AT1033" s="1"/>
      <c r="AU1033" s="1"/>
      <c r="AV1033" s="1"/>
      <c r="AW1033" s="1"/>
      <c r="AX1033" s="1"/>
      <c r="AY1033" s="1"/>
      <c r="AZ1033" s="4" t="s">
        <v>2364</v>
      </c>
      <c r="BA1033" s="1"/>
      <c r="BB1033" s="1"/>
      <c r="BC1033" s="1"/>
    </row>
    <row r="1034" spans="1:55" s="78" customFormat="1" ht="15" customHeight="1" x14ac:dyDescent="0.25">
      <c r="A1034" s="52" t="s">
        <v>5043</v>
      </c>
      <c r="B1034" s="34" t="s">
        <v>59</v>
      </c>
      <c r="C1034" s="53">
        <v>2026</v>
      </c>
      <c r="D1034" s="53">
        <v>2026</v>
      </c>
      <c r="E1034" s="54" t="s">
        <v>3636</v>
      </c>
      <c r="F1034" s="55" t="s">
        <v>50</v>
      </c>
      <c r="G1034" s="55" t="s">
        <v>50</v>
      </c>
      <c r="H1034" s="45" t="s">
        <v>2367</v>
      </c>
      <c r="I1034" s="56" t="s">
        <v>52</v>
      </c>
      <c r="J1034" s="56"/>
      <c r="K1034" s="56" t="s">
        <v>346</v>
      </c>
      <c r="L1034" s="55" t="str">
        <f>IF(K1034="Mine or Quarry","Mine","")</f>
        <v/>
      </c>
      <c r="M1034" s="55"/>
      <c r="N1034" s="56" t="s">
        <v>788</v>
      </c>
      <c r="O1034" s="56" t="s">
        <v>276</v>
      </c>
      <c r="P1034" s="56" t="s">
        <v>89</v>
      </c>
      <c r="Q1034" s="56" t="s">
        <v>89</v>
      </c>
      <c r="R1034" s="55"/>
      <c r="S1034" s="56" t="s">
        <v>81</v>
      </c>
      <c r="T1034" s="55" t="str">
        <f>IF(ISNUMBER(SEARCH(",",N1034)),"Y","N")</f>
        <v>N</v>
      </c>
      <c r="U1034" s="57">
        <v>-999</v>
      </c>
      <c r="V1034" s="57" t="s">
        <v>59</v>
      </c>
      <c r="W1034" s="55" t="s">
        <v>2319</v>
      </c>
      <c r="X1034" s="54" t="s">
        <v>5043</v>
      </c>
      <c r="Y1034" s="52"/>
      <c r="Z1034" s="2" t="s">
        <v>61</v>
      </c>
      <c r="AA1034" s="1" t="s">
        <v>3974</v>
      </c>
      <c r="AB1034" s="1"/>
      <c r="AC1034" s="1"/>
      <c r="AD1034" s="3" t="s">
        <v>62</v>
      </c>
      <c r="AE1034" s="2" t="s">
        <v>366</v>
      </c>
      <c r="AF1034" s="2"/>
      <c r="AG1034" s="1" t="s">
        <v>2368</v>
      </c>
      <c r="AH1034" s="2">
        <v>100</v>
      </c>
      <c r="AI1034" s="1"/>
      <c r="AJ1034" s="1"/>
      <c r="AK1034" s="1"/>
      <c r="AL1034" s="1"/>
      <c r="AM1034" s="1"/>
      <c r="AN1034" s="1"/>
      <c r="AO1034" s="1"/>
      <c r="AP1034" s="1"/>
      <c r="AQ1034" s="1"/>
      <c r="AR1034" s="1"/>
      <c r="AS1034" s="1"/>
      <c r="AT1034" s="1"/>
      <c r="AU1034" s="1"/>
      <c r="AV1034" s="1"/>
      <c r="AW1034" s="1"/>
      <c r="AX1034" s="1"/>
      <c r="AY1034" s="1"/>
      <c r="AZ1034" s="4" t="s">
        <v>2366</v>
      </c>
      <c r="BA1034" s="1"/>
      <c r="BB1034" s="1"/>
      <c r="BC1034" s="1"/>
    </row>
    <row r="1035" spans="1:55" s="78" customFormat="1" ht="15" customHeight="1" x14ac:dyDescent="0.25">
      <c r="A1035" s="52" t="s">
        <v>5044</v>
      </c>
      <c r="B1035" s="34" t="s">
        <v>59</v>
      </c>
      <c r="C1035" s="53">
        <v>2026</v>
      </c>
      <c r="D1035" s="53">
        <v>2026</v>
      </c>
      <c r="E1035" s="54" t="s">
        <v>3640</v>
      </c>
      <c r="F1035" s="55" t="s">
        <v>50</v>
      </c>
      <c r="G1035" s="55" t="s">
        <v>50</v>
      </c>
      <c r="H1035" s="45" t="s">
        <v>3006</v>
      </c>
      <c r="I1035" s="56" t="s">
        <v>78</v>
      </c>
      <c r="J1035" s="56"/>
      <c r="K1035" s="56" t="s">
        <v>53</v>
      </c>
      <c r="L1035" s="55"/>
      <c r="M1035" s="55"/>
      <c r="N1035" s="56" t="s">
        <v>5386</v>
      </c>
      <c r="O1035" s="56"/>
      <c r="P1035" s="55" t="s">
        <v>56</v>
      </c>
      <c r="Q1035" s="55" t="s">
        <v>57</v>
      </c>
      <c r="R1035" s="55"/>
      <c r="S1035" s="56" t="s">
        <v>81</v>
      </c>
      <c r="T1035" s="55" t="s">
        <v>81</v>
      </c>
      <c r="U1035" s="57">
        <v>140000</v>
      </c>
      <c r="V1035" s="57" t="s">
        <v>101</v>
      </c>
      <c r="W1035" s="55"/>
      <c r="X1035" s="54" t="s">
        <v>5044</v>
      </c>
      <c r="Y1035" s="52"/>
      <c r="Z1035" s="1" t="s">
        <v>61</v>
      </c>
      <c r="AA1035" s="1" t="s">
        <v>2369</v>
      </c>
      <c r="AB1035" s="1"/>
      <c r="AC1035" s="1"/>
      <c r="AD1035" s="3" t="s">
        <v>62</v>
      </c>
      <c r="AE1035" s="1" t="s">
        <v>108</v>
      </c>
      <c r="AF1035" s="1"/>
      <c r="AG1035" s="1" t="s">
        <v>109</v>
      </c>
      <c r="AH1035" s="2">
        <v>100</v>
      </c>
      <c r="AI1035" s="1"/>
      <c r="AJ1035" s="1"/>
      <c r="AK1035" s="1"/>
      <c r="AL1035" s="1"/>
      <c r="AM1035" s="1"/>
      <c r="AN1035" s="1"/>
      <c r="AO1035" s="1"/>
      <c r="AP1035" s="1"/>
      <c r="AQ1035" s="1"/>
      <c r="AR1035" s="1"/>
      <c r="AS1035" s="1"/>
      <c r="AT1035" s="1"/>
      <c r="AU1035" s="1"/>
      <c r="AV1035" s="1"/>
      <c r="AW1035" s="1"/>
      <c r="AX1035" s="1"/>
      <c r="AY1035" s="1"/>
      <c r="AZ1035" s="4" t="s">
        <v>320</v>
      </c>
      <c r="BA1035" s="4" t="s">
        <v>5312</v>
      </c>
      <c r="BB1035" s="1"/>
      <c r="BC1035" s="1"/>
    </row>
    <row r="1036" spans="1:55" s="78" customFormat="1" ht="15" customHeight="1" x14ac:dyDescent="0.25">
      <c r="A1036" s="52" t="s">
        <v>5045</v>
      </c>
      <c r="B1036" s="34" t="s">
        <v>59</v>
      </c>
      <c r="C1036" s="53">
        <v>2026</v>
      </c>
      <c r="D1036" s="53">
        <v>2026</v>
      </c>
      <c r="E1036" s="54" t="s">
        <v>3641</v>
      </c>
      <c r="F1036" s="55" t="s">
        <v>50</v>
      </c>
      <c r="G1036" s="55" t="s">
        <v>50</v>
      </c>
      <c r="H1036" s="45" t="s">
        <v>3007</v>
      </c>
      <c r="I1036" s="56" t="s">
        <v>52</v>
      </c>
      <c r="J1036" s="56"/>
      <c r="K1036" s="56" t="s">
        <v>53</v>
      </c>
      <c r="L1036" s="55" t="str">
        <f>IF(K1036="Mine or Quarry","Mine","")</f>
        <v/>
      </c>
      <c r="M1036" s="55"/>
      <c r="N1036" s="55" t="s">
        <v>327</v>
      </c>
      <c r="O1036" s="56"/>
      <c r="P1036" s="55" t="s">
        <v>56</v>
      </c>
      <c r="Q1036" s="55" t="s">
        <v>57</v>
      </c>
      <c r="R1036" s="55"/>
      <c r="S1036" s="56" t="s">
        <v>81</v>
      </c>
      <c r="T1036" s="55" t="str">
        <f>IF(ISNUMBER(SEARCH(",",N1036)),"Y","N")</f>
        <v>N</v>
      </c>
      <c r="U1036" s="57">
        <v>140000</v>
      </c>
      <c r="V1036" s="57" t="s">
        <v>101</v>
      </c>
      <c r="W1036" s="55"/>
      <c r="X1036" s="54" t="s">
        <v>5045</v>
      </c>
      <c r="Y1036" s="52"/>
      <c r="Z1036" s="1" t="s">
        <v>61</v>
      </c>
      <c r="AA1036" s="1" t="s">
        <v>2369</v>
      </c>
      <c r="AB1036" s="1"/>
      <c r="AC1036" s="1"/>
      <c r="AD1036" s="3" t="s">
        <v>62</v>
      </c>
      <c r="AE1036" s="1" t="s">
        <v>108</v>
      </c>
      <c r="AF1036" s="1"/>
      <c r="AG1036" s="1" t="s">
        <v>109</v>
      </c>
      <c r="AH1036" s="2">
        <v>100</v>
      </c>
      <c r="AI1036" s="1"/>
      <c r="AJ1036" s="1"/>
      <c r="AK1036" s="1"/>
      <c r="AL1036" s="1"/>
      <c r="AM1036" s="1"/>
      <c r="AN1036" s="1"/>
      <c r="AO1036" s="1"/>
      <c r="AP1036" s="1"/>
      <c r="AQ1036" s="1"/>
      <c r="AR1036" s="1"/>
      <c r="AS1036" s="1"/>
      <c r="AT1036" s="1"/>
      <c r="AU1036" s="1"/>
      <c r="AV1036" s="1"/>
      <c r="AW1036" s="1"/>
      <c r="AX1036" s="1"/>
      <c r="AY1036" s="1"/>
      <c r="AZ1036" s="4" t="s">
        <v>320</v>
      </c>
      <c r="BA1036" s="1"/>
      <c r="BB1036" s="1"/>
      <c r="BC1036" s="1"/>
    </row>
    <row r="1037" spans="1:55" s="78" customFormat="1" ht="15" customHeight="1" x14ac:dyDescent="0.25">
      <c r="A1037" s="52" t="s">
        <v>5046</v>
      </c>
      <c r="B1037" s="34" t="s">
        <v>59</v>
      </c>
      <c r="C1037" s="53">
        <v>2026</v>
      </c>
      <c r="D1037" s="53">
        <v>2026</v>
      </c>
      <c r="E1037" s="54" t="s">
        <v>3642</v>
      </c>
      <c r="F1037" s="55" t="s">
        <v>50</v>
      </c>
      <c r="G1037" s="55" t="s">
        <v>50</v>
      </c>
      <c r="H1037" s="45" t="s">
        <v>2370</v>
      </c>
      <c r="I1037" s="56" t="s">
        <v>52</v>
      </c>
      <c r="J1037" s="56"/>
      <c r="K1037" s="56" t="s">
        <v>140</v>
      </c>
      <c r="L1037" s="55" t="s">
        <v>54</v>
      </c>
      <c r="M1037" s="55"/>
      <c r="N1037" s="55" t="s">
        <v>141</v>
      </c>
      <c r="O1037" s="55"/>
      <c r="P1037" s="55" t="s">
        <v>142</v>
      </c>
      <c r="Q1037" s="55" t="s">
        <v>57</v>
      </c>
      <c r="R1037" s="55"/>
      <c r="S1037" s="56" t="s">
        <v>81</v>
      </c>
      <c r="T1037" s="55" t="s">
        <v>81</v>
      </c>
      <c r="U1037" s="57">
        <v>1800</v>
      </c>
      <c r="V1037" s="57" t="s">
        <v>101</v>
      </c>
      <c r="W1037" s="55" t="s">
        <v>2319</v>
      </c>
      <c r="X1037" s="54" t="s">
        <v>5046</v>
      </c>
      <c r="Y1037" s="52"/>
      <c r="Z1037" s="1" t="s">
        <v>61</v>
      </c>
      <c r="AA1037" s="3" t="s">
        <v>2371</v>
      </c>
      <c r="AB1037" s="3"/>
      <c r="AC1037" s="3"/>
      <c r="AD1037" s="3" t="s">
        <v>62</v>
      </c>
      <c r="AE1037" s="1" t="s">
        <v>288</v>
      </c>
      <c r="AF1037" s="1" t="s">
        <v>1346</v>
      </c>
      <c r="AG1037" s="1" t="s">
        <v>1347</v>
      </c>
      <c r="AH1037" s="2">
        <v>100</v>
      </c>
      <c r="AI1037" s="3"/>
      <c r="AJ1037" s="3"/>
      <c r="AK1037" s="3"/>
      <c r="AL1037" s="3"/>
      <c r="AM1037" s="3"/>
      <c r="AN1037" s="3"/>
      <c r="AO1037" s="3"/>
      <c r="AP1037" s="3"/>
      <c r="AQ1037" s="3"/>
      <c r="AR1037" s="3"/>
      <c r="AS1037" s="3"/>
      <c r="AT1037" s="3"/>
      <c r="AU1037" s="3"/>
      <c r="AV1037" s="3"/>
      <c r="AW1037" s="3"/>
      <c r="AX1037" s="3"/>
      <c r="AY1037" s="3"/>
      <c r="AZ1037" s="4" t="s">
        <v>139</v>
      </c>
      <c r="BA1037" s="3" t="s">
        <v>3873</v>
      </c>
      <c r="BB1037" s="1"/>
      <c r="BC1037" s="1"/>
    </row>
    <row r="1038" spans="1:55" s="78" customFormat="1" ht="15" customHeight="1" x14ac:dyDescent="0.25">
      <c r="A1038" s="52" t="s">
        <v>5047</v>
      </c>
      <c r="B1038" s="34" t="s">
        <v>59</v>
      </c>
      <c r="C1038" s="53">
        <v>2026</v>
      </c>
      <c r="D1038" s="53">
        <v>2026</v>
      </c>
      <c r="E1038" s="54" t="s">
        <v>3643</v>
      </c>
      <c r="F1038" s="55" t="s">
        <v>50</v>
      </c>
      <c r="G1038" s="55" t="s">
        <v>50</v>
      </c>
      <c r="H1038" s="45" t="s">
        <v>2372</v>
      </c>
      <c r="I1038" s="56" t="s">
        <v>52</v>
      </c>
      <c r="J1038" s="56"/>
      <c r="K1038" s="45" t="s">
        <v>285</v>
      </c>
      <c r="L1038" s="55" t="str">
        <f>IF(K1038="Mine or Quarry","Mine","")</f>
        <v/>
      </c>
      <c r="M1038" s="55"/>
      <c r="N1038" s="56" t="s">
        <v>286</v>
      </c>
      <c r="O1038" s="56"/>
      <c r="P1038" s="55" t="s">
        <v>89</v>
      </c>
      <c r="Q1038" s="55" t="s">
        <v>89</v>
      </c>
      <c r="R1038" s="55"/>
      <c r="S1038" s="56" t="s">
        <v>81</v>
      </c>
      <c r="T1038" s="55" t="str">
        <f>IF(ISNUMBER(SEARCH(",",N1038)),"Y","N")</f>
        <v>N</v>
      </c>
      <c r="U1038" s="57">
        <v>-999</v>
      </c>
      <c r="V1038" s="57" t="s">
        <v>59</v>
      </c>
      <c r="W1038" s="55" t="s">
        <v>2319</v>
      </c>
      <c r="X1038" s="54" t="s">
        <v>5047</v>
      </c>
      <c r="Y1038" s="52"/>
      <c r="Z1038" s="1" t="s">
        <v>61</v>
      </c>
      <c r="AA1038" s="3" t="s">
        <v>1009</v>
      </c>
      <c r="AB1038" s="3"/>
      <c r="AC1038" s="3"/>
      <c r="AD1038" s="3" t="s">
        <v>62</v>
      </c>
      <c r="AE1038" s="1" t="s">
        <v>251</v>
      </c>
      <c r="AF1038" s="1"/>
      <c r="AG1038" s="1" t="s">
        <v>2373</v>
      </c>
      <c r="AH1038" s="1"/>
      <c r="AI1038" s="1"/>
      <c r="AJ1038" s="1"/>
      <c r="AK1038" s="1"/>
      <c r="AL1038" s="1"/>
      <c r="AM1038" s="1"/>
      <c r="AN1038" s="1"/>
      <c r="AO1038" s="1"/>
      <c r="AP1038" s="1"/>
      <c r="AQ1038" s="1"/>
      <c r="AR1038" s="1"/>
      <c r="AS1038" s="1"/>
      <c r="AT1038" s="1"/>
      <c r="AU1038" s="1"/>
      <c r="AV1038" s="1"/>
      <c r="AW1038" s="1"/>
      <c r="AX1038" s="1"/>
      <c r="AY1038" s="1"/>
      <c r="AZ1038" s="1" t="s">
        <v>284</v>
      </c>
      <c r="BA1038" s="1"/>
      <c r="BB1038" s="1"/>
      <c r="BC1038" s="1"/>
    </row>
    <row r="1039" spans="1:55" s="78" customFormat="1" ht="15" customHeight="1" x14ac:dyDescent="0.25">
      <c r="A1039" s="52" t="s">
        <v>5048</v>
      </c>
      <c r="B1039" s="34" t="s">
        <v>59</v>
      </c>
      <c r="C1039" s="53">
        <v>2026</v>
      </c>
      <c r="D1039" s="53">
        <v>2026</v>
      </c>
      <c r="E1039" s="54" t="s">
        <v>3644</v>
      </c>
      <c r="F1039" s="55" t="s">
        <v>50</v>
      </c>
      <c r="G1039" s="55" t="s">
        <v>50</v>
      </c>
      <c r="H1039" s="45" t="s">
        <v>2375</v>
      </c>
      <c r="I1039" s="45" t="s">
        <v>52</v>
      </c>
      <c r="J1039" s="56"/>
      <c r="K1039" s="55" t="s">
        <v>71</v>
      </c>
      <c r="L1039" s="55" t="str">
        <f>IF(K1039="Mine or Quarry","Mine","")</f>
        <v/>
      </c>
      <c r="M1039" s="55"/>
      <c r="N1039" s="55" t="s">
        <v>55</v>
      </c>
      <c r="O1039" s="55" t="s">
        <v>249</v>
      </c>
      <c r="P1039" s="55" t="s">
        <v>73</v>
      </c>
      <c r="Q1039" s="55" t="s">
        <v>57</v>
      </c>
      <c r="R1039" s="55"/>
      <c r="S1039" s="56" t="s">
        <v>58</v>
      </c>
      <c r="T1039" s="55" t="str">
        <f>IF(ISNUMBER(SEARCH(",",N1039)),"Y","N")</f>
        <v>N</v>
      </c>
      <c r="U1039" s="57">
        <v>-999</v>
      </c>
      <c r="V1039" s="57" t="s">
        <v>59</v>
      </c>
      <c r="W1039" s="55" t="s">
        <v>2319</v>
      </c>
      <c r="X1039" s="54" t="s">
        <v>5048</v>
      </c>
      <c r="Y1039" s="52"/>
      <c r="Z1039" s="3" t="s">
        <v>61</v>
      </c>
      <c r="AA1039" s="3" t="s">
        <v>1009</v>
      </c>
      <c r="AB1039" s="3"/>
      <c r="AC1039" s="3"/>
      <c r="AD1039" s="3" t="s">
        <v>62</v>
      </c>
      <c r="AE1039" s="3" t="s">
        <v>251</v>
      </c>
      <c r="AF1039" s="3" t="s">
        <v>252</v>
      </c>
      <c r="AG1039" s="3" t="s">
        <v>253</v>
      </c>
      <c r="AH1039" s="58">
        <v>100</v>
      </c>
      <c r="AI1039" s="3"/>
      <c r="AJ1039" s="3"/>
      <c r="AK1039" s="3"/>
      <c r="AL1039" s="3"/>
      <c r="AM1039" s="3"/>
      <c r="AN1039" s="3"/>
      <c r="AO1039" s="3"/>
      <c r="AP1039" s="3"/>
      <c r="AQ1039" s="3"/>
      <c r="AR1039" s="3"/>
      <c r="AS1039" s="3"/>
      <c r="AT1039" s="3"/>
      <c r="AU1039" s="3"/>
      <c r="AV1039" s="3"/>
      <c r="AW1039" s="3"/>
      <c r="AX1039" s="3"/>
      <c r="AY1039" s="3"/>
      <c r="AZ1039" s="4" t="s">
        <v>2374</v>
      </c>
      <c r="BA1039" s="3"/>
      <c r="BB1039" s="1"/>
      <c r="BC1039" s="1"/>
    </row>
    <row r="1040" spans="1:55" s="78" customFormat="1" ht="15" customHeight="1" x14ac:dyDescent="0.25">
      <c r="A1040" s="52" t="s">
        <v>5049</v>
      </c>
      <c r="B1040" s="34" t="s">
        <v>59</v>
      </c>
      <c r="C1040" s="53">
        <v>2026</v>
      </c>
      <c r="D1040" s="53">
        <v>2026</v>
      </c>
      <c r="E1040" s="54" t="s">
        <v>3644</v>
      </c>
      <c r="F1040" s="55" t="s">
        <v>50</v>
      </c>
      <c r="G1040" s="55" t="s">
        <v>50</v>
      </c>
      <c r="H1040" s="45" t="s">
        <v>2375</v>
      </c>
      <c r="I1040" s="45" t="s">
        <v>52</v>
      </c>
      <c r="J1040" s="56"/>
      <c r="K1040" s="55" t="s">
        <v>74</v>
      </c>
      <c r="L1040" s="55" t="str">
        <f>IF(K1040="Mines and Quarries","Mine","")</f>
        <v/>
      </c>
      <c r="M1040" s="55"/>
      <c r="N1040" s="55" t="s">
        <v>249</v>
      </c>
      <c r="O1040" s="55"/>
      <c r="P1040" s="55" t="s">
        <v>75</v>
      </c>
      <c r="Q1040" s="56" t="s">
        <v>57</v>
      </c>
      <c r="R1040" s="55"/>
      <c r="S1040" s="56" t="s">
        <v>58</v>
      </c>
      <c r="T1040" s="55" t="str">
        <f>IF(ISNUMBER(SEARCH(",",N1040)),"Y","N")</f>
        <v>N</v>
      </c>
      <c r="U1040" s="57">
        <v>-999</v>
      </c>
      <c r="V1040" s="57" t="s">
        <v>59</v>
      </c>
      <c r="W1040" s="55" t="s">
        <v>2319</v>
      </c>
      <c r="X1040" s="54" t="s">
        <v>5049</v>
      </c>
      <c r="Y1040" s="52"/>
      <c r="Z1040" s="3" t="s">
        <v>61</v>
      </c>
      <c r="AA1040" s="3" t="s">
        <v>1009</v>
      </c>
      <c r="AB1040" s="3"/>
      <c r="AC1040" s="3"/>
      <c r="AD1040" s="3" t="s">
        <v>62</v>
      </c>
      <c r="AE1040" s="3" t="s">
        <v>251</v>
      </c>
      <c r="AF1040" s="3" t="s">
        <v>252</v>
      </c>
      <c r="AG1040" s="3" t="s">
        <v>253</v>
      </c>
      <c r="AH1040" s="58">
        <v>100</v>
      </c>
      <c r="AI1040" s="1"/>
      <c r="AJ1040" s="3"/>
      <c r="AK1040" s="3"/>
      <c r="AL1040" s="3"/>
      <c r="AM1040" s="3"/>
      <c r="AN1040" s="3"/>
      <c r="AO1040" s="3"/>
      <c r="AP1040" s="3"/>
      <c r="AQ1040" s="3"/>
      <c r="AR1040" s="3"/>
      <c r="AS1040" s="3"/>
      <c r="AT1040" s="3"/>
      <c r="AU1040" s="3"/>
      <c r="AV1040" s="3"/>
      <c r="AW1040" s="3"/>
      <c r="AX1040" s="3"/>
      <c r="AY1040" s="3"/>
      <c r="AZ1040" s="4" t="s">
        <v>2374</v>
      </c>
      <c r="BA1040" s="3"/>
      <c r="BB1040" s="1"/>
      <c r="BC1040" s="1"/>
    </row>
    <row r="1041" spans="1:55" s="78" customFormat="1" ht="15" customHeight="1" x14ac:dyDescent="0.25">
      <c r="A1041" s="52" t="s">
        <v>5050</v>
      </c>
      <c r="B1041" s="34" t="s">
        <v>59</v>
      </c>
      <c r="C1041" s="53">
        <v>2026</v>
      </c>
      <c r="D1041" s="53">
        <v>2026</v>
      </c>
      <c r="E1041" s="54" t="s">
        <v>3645</v>
      </c>
      <c r="F1041" s="55" t="s">
        <v>50</v>
      </c>
      <c r="G1041" s="55" t="s">
        <v>50</v>
      </c>
      <c r="H1041" s="45" t="s">
        <v>3637</v>
      </c>
      <c r="I1041" s="56" t="s">
        <v>52</v>
      </c>
      <c r="J1041" s="56"/>
      <c r="K1041" s="56" t="s">
        <v>140</v>
      </c>
      <c r="L1041" s="55" t="str">
        <f>IF(K1041="Mine or Quarry","Mine","")</f>
        <v/>
      </c>
      <c r="M1041" s="55"/>
      <c r="N1041" s="56" t="s">
        <v>1348</v>
      </c>
      <c r="O1041" s="55"/>
      <c r="P1041" s="55" t="s">
        <v>142</v>
      </c>
      <c r="Q1041" s="55" t="s">
        <v>57</v>
      </c>
      <c r="R1041" s="55"/>
      <c r="S1041" s="56" t="s">
        <v>81</v>
      </c>
      <c r="T1041" s="55" t="s">
        <v>81</v>
      </c>
      <c r="U1041" s="57">
        <v>500</v>
      </c>
      <c r="V1041" s="57" t="s">
        <v>101</v>
      </c>
      <c r="W1041" s="55" t="s">
        <v>2319</v>
      </c>
      <c r="X1041" s="54" t="s">
        <v>5050</v>
      </c>
      <c r="Y1041" s="52"/>
      <c r="Z1041" s="1" t="s">
        <v>61</v>
      </c>
      <c r="AA1041" s="3" t="s">
        <v>1009</v>
      </c>
      <c r="AB1041" s="3"/>
      <c r="AC1041" s="3"/>
      <c r="AD1041" s="3" t="s">
        <v>62</v>
      </c>
      <c r="AE1041" s="1" t="s">
        <v>251</v>
      </c>
      <c r="AF1041" s="1"/>
      <c r="AG1041" s="1" t="s">
        <v>1226</v>
      </c>
      <c r="AH1041" s="2">
        <v>100</v>
      </c>
      <c r="AI1041" s="3"/>
      <c r="AJ1041" s="3"/>
      <c r="AK1041" s="3"/>
      <c r="AL1041" s="3"/>
      <c r="AM1041" s="3"/>
      <c r="AN1041" s="3"/>
      <c r="AO1041" s="3"/>
      <c r="AP1041" s="3"/>
      <c r="AQ1041" s="3"/>
      <c r="AR1041" s="3"/>
      <c r="AS1041" s="3"/>
      <c r="AT1041" s="3"/>
      <c r="AU1041" s="3"/>
      <c r="AV1041" s="3"/>
      <c r="AW1041" s="3"/>
      <c r="AX1041" s="3"/>
      <c r="AY1041" s="3"/>
      <c r="AZ1041" s="4" t="s">
        <v>2362</v>
      </c>
      <c r="BA1041" s="3"/>
      <c r="BB1041" s="1"/>
      <c r="BC1041" s="1"/>
    </row>
    <row r="1042" spans="1:55" s="78" customFormat="1" ht="15" customHeight="1" x14ac:dyDescent="0.25">
      <c r="A1042" s="52" t="s">
        <v>5051</v>
      </c>
      <c r="B1042" s="34" t="s">
        <v>59</v>
      </c>
      <c r="C1042" s="53">
        <v>2026</v>
      </c>
      <c r="D1042" s="53">
        <v>2026</v>
      </c>
      <c r="E1042" s="54" t="s">
        <v>3646</v>
      </c>
      <c r="F1042" s="55" t="s">
        <v>50</v>
      </c>
      <c r="G1042" s="55" t="s">
        <v>50</v>
      </c>
      <c r="H1042" s="45" t="s">
        <v>3638</v>
      </c>
      <c r="I1042" s="56" t="s">
        <v>52</v>
      </c>
      <c r="J1042" s="56"/>
      <c r="K1042" s="56" t="s">
        <v>346</v>
      </c>
      <c r="L1042" s="55" t="str">
        <f>IF(K1042="Mine or Quarry","Mine","")</f>
        <v/>
      </c>
      <c r="M1042" s="55"/>
      <c r="N1042" s="56" t="s">
        <v>788</v>
      </c>
      <c r="O1042" s="56" t="s">
        <v>789</v>
      </c>
      <c r="P1042" s="56" t="s">
        <v>89</v>
      </c>
      <c r="Q1042" s="56" t="s">
        <v>89</v>
      </c>
      <c r="R1042" s="55"/>
      <c r="S1042" s="56" t="s">
        <v>81</v>
      </c>
      <c r="T1042" s="55" t="str">
        <f>IF(ISNUMBER(SEARCH(",",N1042)),"Y","N")</f>
        <v>N</v>
      </c>
      <c r="U1042" s="57">
        <v>5000</v>
      </c>
      <c r="V1042" s="57" t="s">
        <v>101</v>
      </c>
      <c r="W1042" s="55" t="s">
        <v>2319</v>
      </c>
      <c r="X1042" s="54" t="s">
        <v>5051</v>
      </c>
      <c r="Y1042" s="52"/>
      <c r="Z1042" s="2" t="s">
        <v>61</v>
      </c>
      <c r="AA1042" s="1" t="s">
        <v>2376</v>
      </c>
      <c r="AB1042" s="1"/>
      <c r="AC1042" s="1"/>
      <c r="AD1042" s="3" t="s">
        <v>62</v>
      </c>
      <c r="AE1042" s="2" t="s">
        <v>605</v>
      </c>
      <c r="AF1042" s="2"/>
      <c r="AG1042" s="1" t="s">
        <v>821</v>
      </c>
      <c r="AH1042" s="2">
        <v>100</v>
      </c>
      <c r="AI1042" s="1"/>
      <c r="AJ1042" s="1"/>
      <c r="AK1042" s="1"/>
      <c r="AL1042" s="1"/>
      <c r="AM1042" s="1"/>
      <c r="AN1042" s="1"/>
      <c r="AO1042" s="1"/>
      <c r="AP1042" s="1"/>
      <c r="AQ1042" s="1"/>
      <c r="AR1042" s="1"/>
      <c r="AS1042" s="1"/>
      <c r="AT1042" s="1"/>
      <c r="AU1042" s="1"/>
      <c r="AV1042" s="1"/>
      <c r="AW1042" s="1"/>
      <c r="AX1042" s="1"/>
      <c r="AY1042" s="1"/>
      <c r="AZ1042" s="4" t="s">
        <v>2309</v>
      </c>
      <c r="BA1042" s="1"/>
      <c r="BB1042" s="1"/>
      <c r="BC1042" s="1"/>
    </row>
    <row r="1043" spans="1:55" s="78" customFormat="1" ht="15" customHeight="1" x14ac:dyDescent="0.25">
      <c r="A1043" s="52" t="s">
        <v>5052</v>
      </c>
      <c r="B1043" s="34" t="s">
        <v>59</v>
      </c>
      <c r="C1043" s="53">
        <v>2026</v>
      </c>
      <c r="D1043" s="53">
        <v>2026</v>
      </c>
      <c r="E1043" s="54" t="s">
        <v>3647</v>
      </c>
      <c r="F1043" s="55" t="s">
        <v>50</v>
      </c>
      <c r="G1043" s="55" t="s">
        <v>50</v>
      </c>
      <c r="H1043" s="45" t="s">
        <v>2378</v>
      </c>
      <c r="I1043" s="56" t="s">
        <v>52</v>
      </c>
      <c r="J1043" s="56"/>
      <c r="K1043" s="55" t="s">
        <v>831</v>
      </c>
      <c r="L1043" s="55" t="s">
        <v>54</v>
      </c>
      <c r="M1043" s="55" t="s">
        <v>113</v>
      </c>
      <c r="N1043" s="55" t="s">
        <v>55</v>
      </c>
      <c r="O1043" s="55"/>
      <c r="P1043" s="55" t="s">
        <v>832</v>
      </c>
      <c r="Q1043" s="55" t="s">
        <v>57</v>
      </c>
      <c r="R1043" s="55"/>
      <c r="S1043" s="56" t="s">
        <v>58</v>
      </c>
      <c r="T1043" s="55" t="s">
        <v>81</v>
      </c>
      <c r="U1043" s="57">
        <v>-999</v>
      </c>
      <c r="V1043" s="57" t="s">
        <v>59</v>
      </c>
      <c r="W1043" s="55" t="s">
        <v>2319</v>
      </c>
      <c r="X1043" s="54" t="s">
        <v>5052</v>
      </c>
      <c r="Y1043" s="52"/>
      <c r="Z1043" s="3" t="s">
        <v>514</v>
      </c>
      <c r="AA1043" s="3" t="s">
        <v>2379</v>
      </c>
      <c r="AB1043" s="3"/>
      <c r="AC1043" s="3"/>
      <c r="AD1043" s="3" t="s">
        <v>62</v>
      </c>
      <c r="AE1043" s="3" t="s">
        <v>464</v>
      </c>
      <c r="AF1043" s="3"/>
      <c r="AG1043" s="3" t="s">
        <v>2380</v>
      </c>
      <c r="AH1043" s="58">
        <v>100</v>
      </c>
      <c r="AI1043" s="3"/>
      <c r="AJ1043" s="3"/>
      <c r="AK1043" s="3"/>
      <c r="AL1043" s="3"/>
      <c r="AM1043" s="3"/>
      <c r="AN1043" s="3"/>
      <c r="AO1043" s="3"/>
      <c r="AP1043" s="3"/>
      <c r="AQ1043" s="3"/>
      <c r="AR1043" s="3"/>
      <c r="AS1043" s="3"/>
      <c r="AT1043" s="3"/>
      <c r="AU1043" s="3"/>
      <c r="AV1043" s="3"/>
      <c r="AW1043" s="3"/>
      <c r="AX1043" s="3"/>
      <c r="AY1043" s="3"/>
      <c r="AZ1043" s="4" t="s">
        <v>2377</v>
      </c>
      <c r="BA1043" s="3"/>
      <c r="BB1043" s="1"/>
      <c r="BC1043" s="1"/>
    </row>
    <row r="1044" spans="1:55" s="78" customFormat="1" ht="15" customHeight="1" x14ac:dyDescent="0.25">
      <c r="A1044" s="52" t="s">
        <v>5053</v>
      </c>
      <c r="B1044" s="34" t="s">
        <v>59</v>
      </c>
      <c r="C1044" s="53">
        <v>2026</v>
      </c>
      <c r="D1044" s="53">
        <v>2026</v>
      </c>
      <c r="E1044" s="54" t="s">
        <v>3647</v>
      </c>
      <c r="F1044" s="55" t="s">
        <v>50</v>
      </c>
      <c r="G1044" s="55" t="s">
        <v>50</v>
      </c>
      <c r="H1044" s="45" t="s">
        <v>2378</v>
      </c>
      <c r="I1044" s="56" t="s">
        <v>52</v>
      </c>
      <c r="J1044" s="56"/>
      <c r="K1044" s="55" t="s">
        <v>71</v>
      </c>
      <c r="L1044" s="55" t="s">
        <v>54</v>
      </c>
      <c r="M1044" s="55" t="s">
        <v>113</v>
      </c>
      <c r="N1044" s="55" t="s">
        <v>55</v>
      </c>
      <c r="O1044" s="55"/>
      <c r="P1044" s="55" t="s">
        <v>73</v>
      </c>
      <c r="Q1044" s="55" t="s">
        <v>57</v>
      </c>
      <c r="R1044" s="55"/>
      <c r="S1044" s="56" t="s">
        <v>58</v>
      </c>
      <c r="T1044" s="55" t="s">
        <v>81</v>
      </c>
      <c r="U1044" s="57">
        <v>-999</v>
      </c>
      <c r="V1044" s="57" t="s">
        <v>59</v>
      </c>
      <c r="W1044" s="55" t="s">
        <v>2319</v>
      </c>
      <c r="X1044" s="54" t="s">
        <v>5053</v>
      </c>
      <c r="Y1044" s="52"/>
      <c r="Z1044" s="3" t="s">
        <v>514</v>
      </c>
      <c r="AA1044" s="3" t="s">
        <v>2379</v>
      </c>
      <c r="AB1044" s="3"/>
      <c r="AC1044" s="3"/>
      <c r="AD1044" s="3" t="s">
        <v>62</v>
      </c>
      <c r="AE1044" s="3" t="s">
        <v>464</v>
      </c>
      <c r="AF1044" s="3"/>
      <c r="AG1044" s="3" t="s">
        <v>2380</v>
      </c>
      <c r="AH1044" s="58">
        <v>100</v>
      </c>
      <c r="AI1044" s="3"/>
      <c r="AJ1044" s="3"/>
      <c r="AK1044" s="3"/>
      <c r="AL1044" s="3"/>
      <c r="AM1044" s="3"/>
      <c r="AN1044" s="3"/>
      <c r="AO1044" s="3"/>
      <c r="AP1044" s="3"/>
      <c r="AQ1044" s="3"/>
      <c r="AR1044" s="3"/>
      <c r="AS1044" s="3"/>
      <c r="AT1044" s="3"/>
      <c r="AU1044" s="3"/>
      <c r="AV1044" s="3"/>
      <c r="AW1044" s="3"/>
      <c r="AX1044" s="3"/>
      <c r="AY1044" s="3"/>
      <c r="AZ1044" s="4" t="s">
        <v>2377</v>
      </c>
      <c r="BA1044" s="3"/>
      <c r="BB1044" s="1"/>
      <c r="BC1044" s="1"/>
    </row>
    <row r="1045" spans="1:55" s="78" customFormat="1" ht="15" customHeight="1" x14ac:dyDescent="0.25">
      <c r="A1045" s="52" t="s">
        <v>5054</v>
      </c>
      <c r="B1045" s="34" t="s">
        <v>59</v>
      </c>
      <c r="C1045" s="53">
        <v>2026</v>
      </c>
      <c r="D1045" s="53">
        <v>2026</v>
      </c>
      <c r="E1045" s="54" t="s">
        <v>3647</v>
      </c>
      <c r="F1045" s="55" t="s">
        <v>50</v>
      </c>
      <c r="G1045" s="55" t="s">
        <v>50</v>
      </c>
      <c r="H1045" s="45" t="s">
        <v>2378</v>
      </c>
      <c r="I1045" s="56" t="s">
        <v>52</v>
      </c>
      <c r="J1045" s="56"/>
      <c r="K1045" s="55" t="s">
        <v>120</v>
      </c>
      <c r="L1045" s="55" t="s">
        <v>54</v>
      </c>
      <c r="M1045" s="55" t="s">
        <v>113</v>
      </c>
      <c r="N1045" s="55" t="s">
        <v>55</v>
      </c>
      <c r="O1045" s="55"/>
      <c r="P1045" s="55" t="s">
        <v>121</v>
      </c>
      <c r="Q1045" s="55" t="s">
        <v>57</v>
      </c>
      <c r="R1045" s="55"/>
      <c r="S1045" s="56" t="s">
        <v>58</v>
      </c>
      <c r="T1045" s="55" t="s">
        <v>81</v>
      </c>
      <c r="U1045" s="57">
        <v>-999</v>
      </c>
      <c r="V1045" s="57" t="s">
        <v>59</v>
      </c>
      <c r="W1045" s="55" t="s">
        <v>2319</v>
      </c>
      <c r="X1045" s="54" t="s">
        <v>5054</v>
      </c>
      <c r="Y1045" s="52"/>
      <c r="Z1045" s="3" t="s">
        <v>514</v>
      </c>
      <c r="AA1045" s="3" t="s">
        <v>2379</v>
      </c>
      <c r="AB1045" s="3"/>
      <c r="AC1045" s="3"/>
      <c r="AD1045" s="3" t="s">
        <v>62</v>
      </c>
      <c r="AE1045" s="3" t="s">
        <v>464</v>
      </c>
      <c r="AF1045" s="3"/>
      <c r="AG1045" s="3" t="s">
        <v>2380</v>
      </c>
      <c r="AH1045" s="58">
        <v>100</v>
      </c>
      <c r="AI1045" s="3"/>
      <c r="AJ1045" s="3"/>
      <c r="AK1045" s="3"/>
      <c r="AL1045" s="3"/>
      <c r="AM1045" s="3"/>
      <c r="AN1045" s="3"/>
      <c r="AO1045" s="3"/>
      <c r="AP1045" s="3"/>
      <c r="AQ1045" s="3"/>
      <c r="AR1045" s="3"/>
      <c r="AS1045" s="3"/>
      <c r="AT1045" s="3"/>
      <c r="AU1045" s="3"/>
      <c r="AV1045" s="3"/>
      <c r="AW1045" s="3"/>
      <c r="AX1045" s="3"/>
      <c r="AY1045" s="3"/>
      <c r="AZ1045" s="4" t="s">
        <v>1557</v>
      </c>
      <c r="BA1045" s="3"/>
      <c r="BB1045" s="1"/>
      <c r="BC1045" s="1"/>
    </row>
    <row r="1046" spans="1:55" s="78" customFormat="1" ht="15" customHeight="1" x14ac:dyDescent="0.25">
      <c r="A1046" s="52" t="s">
        <v>5055</v>
      </c>
      <c r="B1046" s="34" t="s">
        <v>59</v>
      </c>
      <c r="C1046" s="53">
        <v>2026</v>
      </c>
      <c r="D1046" s="53">
        <v>2026</v>
      </c>
      <c r="E1046" s="54" t="s">
        <v>3647</v>
      </c>
      <c r="F1046" s="55" t="s">
        <v>50</v>
      </c>
      <c r="G1046" s="55" t="s">
        <v>50</v>
      </c>
      <c r="H1046" s="45" t="s">
        <v>2378</v>
      </c>
      <c r="I1046" s="56" t="s">
        <v>52</v>
      </c>
      <c r="J1046" s="45" t="s">
        <v>65</v>
      </c>
      <c r="K1046" s="55" t="s">
        <v>66</v>
      </c>
      <c r="L1046" s="55" t="s">
        <v>54</v>
      </c>
      <c r="M1046" s="55" t="s">
        <v>113</v>
      </c>
      <c r="N1046" s="56" t="s">
        <v>55</v>
      </c>
      <c r="O1046" s="56"/>
      <c r="P1046" s="56" t="s">
        <v>67</v>
      </c>
      <c r="Q1046" s="55" t="s">
        <v>57</v>
      </c>
      <c r="R1046" s="55"/>
      <c r="S1046" s="56" t="s">
        <v>58</v>
      </c>
      <c r="T1046" s="55" t="str">
        <f>IF(ISNUMBER(SEARCH(",",N1046)),"Y","N")</f>
        <v>N</v>
      </c>
      <c r="U1046" s="73">
        <v>0.3</v>
      </c>
      <c r="V1046" s="57" t="s">
        <v>101</v>
      </c>
      <c r="W1046" s="55" t="s">
        <v>2319</v>
      </c>
      <c r="X1046" s="54" t="s">
        <v>5055</v>
      </c>
      <c r="Y1046" s="52"/>
      <c r="Z1046" s="1" t="s">
        <v>514</v>
      </c>
      <c r="AA1046" s="1" t="s">
        <v>2379</v>
      </c>
      <c r="AB1046" s="1"/>
      <c r="AC1046" s="1"/>
      <c r="AD1046" s="3" t="s">
        <v>62</v>
      </c>
      <c r="AE1046" s="3" t="s">
        <v>464</v>
      </c>
      <c r="AF1046" s="1"/>
      <c r="AG1046" s="3" t="s">
        <v>2380</v>
      </c>
      <c r="AH1046" s="2">
        <v>100</v>
      </c>
      <c r="AI1046" s="1"/>
      <c r="AJ1046" s="1"/>
      <c r="AK1046" s="1"/>
      <c r="AL1046" s="1"/>
      <c r="AM1046" s="1"/>
      <c r="AN1046" s="1"/>
      <c r="AO1046" s="1"/>
      <c r="AP1046" s="1"/>
      <c r="AQ1046" s="1"/>
      <c r="AR1046" s="1"/>
      <c r="AS1046" s="1"/>
      <c r="AT1046" s="1"/>
      <c r="AU1046" s="1"/>
      <c r="AV1046" s="1"/>
      <c r="AW1046" s="1"/>
      <c r="AX1046" s="1"/>
      <c r="AY1046" s="1"/>
      <c r="AZ1046" s="4" t="s">
        <v>2381</v>
      </c>
      <c r="BA1046" s="1"/>
      <c r="BB1046" s="1"/>
      <c r="BC1046" s="1"/>
    </row>
    <row r="1047" spans="1:55" s="78" customFormat="1" ht="15" customHeight="1" x14ac:dyDescent="0.25">
      <c r="A1047" s="52" t="s">
        <v>5056</v>
      </c>
      <c r="B1047" s="34" t="s">
        <v>59</v>
      </c>
      <c r="C1047" s="53">
        <v>2026</v>
      </c>
      <c r="D1047" s="53">
        <v>2026</v>
      </c>
      <c r="E1047" s="54" t="s">
        <v>3647</v>
      </c>
      <c r="F1047" s="55" t="s">
        <v>50</v>
      </c>
      <c r="G1047" s="55" t="s">
        <v>50</v>
      </c>
      <c r="H1047" s="45" t="s">
        <v>2378</v>
      </c>
      <c r="I1047" s="56" t="s">
        <v>52</v>
      </c>
      <c r="J1047" s="56" t="s">
        <v>65</v>
      </c>
      <c r="K1047" s="55" t="s">
        <v>68</v>
      </c>
      <c r="L1047" s="55" t="s">
        <v>54</v>
      </c>
      <c r="M1047" s="55" t="s">
        <v>113</v>
      </c>
      <c r="N1047" s="56" t="s">
        <v>55</v>
      </c>
      <c r="O1047" s="56"/>
      <c r="P1047" s="55" t="s">
        <v>69</v>
      </c>
      <c r="Q1047" s="55" t="s">
        <v>57</v>
      </c>
      <c r="R1047" s="55"/>
      <c r="S1047" s="56" t="s">
        <v>58</v>
      </c>
      <c r="T1047" s="55" t="str">
        <f>IF(ISNUMBER(SEARCH(",",N1047)),"Y","N")</f>
        <v>N</v>
      </c>
      <c r="U1047" s="73">
        <v>3.1</v>
      </c>
      <c r="V1047" s="57" t="s">
        <v>101</v>
      </c>
      <c r="W1047" s="55" t="s">
        <v>2319</v>
      </c>
      <c r="X1047" s="54" t="s">
        <v>5056</v>
      </c>
      <c r="Y1047" s="52"/>
      <c r="Z1047" s="1" t="s">
        <v>514</v>
      </c>
      <c r="AA1047" s="1" t="s">
        <v>2379</v>
      </c>
      <c r="AB1047" s="1"/>
      <c r="AC1047" s="1"/>
      <c r="AD1047" s="3" t="s">
        <v>62</v>
      </c>
      <c r="AE1047" s="3" t="s">
        <v>464</v>
      </c>
      <c r="AF1047" s="1"/>
      <c r="AG1047" s="3" t="s">
        <v>2380</v>
      </c>
      <c r="AH1047" s="2">
        <v>100</v>
      </c>
      <c r="AI1047" s="1"/>
      <c r="AJ1047" s="1"/>
      <c r="AK1047" s="1"/>
      <c r="AL1047" s="1"/>
      <c r="AM1047" s="1"/>
      <c r="AN1047" s="1"/>
      <c r="AO1047" s="1"/>
      <c r="AP1047" s="1"/>
      <c r="AQ1047" s="1"/>
      <c r="AR1047" s="1"/>
      <c r="AS1047" s="1"/>
      <c r="AT1047" s="1"/>
      <c r="AU1047" s="1"/>
      <c r="AV1047" s="1"/>
      <c r="AW1047" s="1"/>
      <c r="AX1047" s="1"/>
      <c r="AY1047" s="1"/>
      <c r="AZ1047" s="4" t="s">
        <v>2381</v>
      </c>
      <c r="BA1047" s="1"/>
      <c r="BB1047" s="1"/>
      <c r="BC1047" s="1"/>
    </row>
    <row r="1048" spans="1:55" s="78" customFormat="1" ht="15" customHeight="1" x14ac:dyDescent="0.25">
      <c r="A1048" s="52" t="s">
        <v>5057</v>
      </c>
      <c r="B1048" s="34" t="s">
        <v>59</v>
      </c>
      <c r="C1048" s="53">
        <v>2026</v>
      </c>
      <c r="D1048" s="53">
        <v>2026</v>
      </c>
      <c r="E1048" s="54" t="s">
        <v>3648</v>
      </c>
      <c r="F1048" s="55" t="s">
        <v>50</v>
      </c>
      <c r="G1048" s="55" t="s">
        <v>50</v>
      </c>
      <c r="H1048" s="45" t="s">
        <v>2383</v>
      </c>
      <c r="I1048" s="56" t="s">
        <v>52</v>
      </c>
      <c r="J1048" s="56" t="s">
        <v>65</v>
      </c>
      <c r="K1048" s="55" t="s">
        <v>68</v>
      </c>
      <c r="L1048" s="55" t="s">
        <v>54</v>
      </c>
      <c r="M1048" s="55" t="s">
        <v>113</v>
      </c>
      <c r="N1048" s="56" t="s">
        <v>55</v>
      </c>
      <c r="O1048" s="56"/>
      <c r="P1048" s="55" t="s">
        <v>69</v>
      </c>
      <c r="Q1048" s="55" t="s">
        <v>57</v>
      </c>
      <c r="R1048" s="55"/>
      <c r="S1048" s="56" t="s">
        <v>58</v>
      </c>
      <c r="T1048" s="55" t="str">
        <f>IF(ISNUMBER(SEARCH(",",N1048)),"Y","N")</f>
        <v>N</v>
      </c>
      <c r="U1048" s="57">
        <v>-999</v>
      </c>
      <c r="V1048" s="57" t="s">
        <v>59</v>
      </c>
      <c r="W1048" s="55" t="s">
        <v>2319</v>
      </c>
      <c r="X1048" s="54" t="s">
        <v>5057</v>
      </c>
      <c r="Y1048" s="52"/>
      <c r="Z1048" s="1" t="s">
        <v>61</v>
      </c>
      <c r="AA1048" s="1" t="s">
        <v>2384</v>
      </c>
      <c r="AB1048" s="1"/>
      <c r="AC1048" s="1"/>
      <c r="AD1048" s="3" t="s">
        <v>62</v>
      </c>
      <c r="AE1048" s="1" t="s">
        <v>464</v>
      </c>
      <c r="AF1048" s="1" t="s">
        <v>2385</v>
      </c>
      <c r="AG1048" s="1" t="s">
        <v>2386</v>
      </c>
      <c r="AH1048" s="2">
        <v>100</v>
      </c>
      <c r="AI1048" s="1"/>
      <c r="AJ1048" s="1"/>
      <c r="AK1048" s="1"/>
      <c r="AL1048" s="1"/>
      <c r="AM1048" s="1"/>
      <c r="AN1048" s="1"/>
      <c r="AO1048" s="1"/>
      <c r="AP1048" s="1"/>
      <c r="AQ1048" s="1"/>
      <c r="AR1048" s="1"/>
      <c r="AS1048" s="1"/>
      <c r="AT1048" s="1"/>
      <c r="AU1048" s="1"/>
      <c r="AV1048" s="1"/>
      <c r="AW1048" s="1"/>
      <c r="AX1048" s="1"/>
      <c r="AY1048" s="1"/>
      <c r="AZ1048" s="4" t="s">
        <v>2382</v>
      </c>
      <c r="BA1048" s="1"/>
      <c r="BB1048" s="1"/>
      <c r="BC1048" s="1"/>
    </row>
    <row r="1049" spans="1:55" s="78" customFormat="1" ht="15" customHeight="1" x14ac:dyDescent="0.25">
      <c r="A1049" s="52" t="s">
        <v>5058</v>
      </c>
      <c r="B1049" s="34" t="s">
        <v>59</v>
      </c>
      <c r="C1049" s="53">
        <v>2026</v>
      </c>
      <c r="D1049" s="53">
        <v>2026</v>
      </c>
      <c r="E1049" s="54" t="s">
        <v>3648</v>
      </c>
      <c r="F1049" s="55" t="s">
        <v>50</v>
      </c>
      <c r="G1049" s="55" t="s">
        <v>50</v>
      </c>
      <c r="H1049" s="45" t="s">
        <v>2383</v>
      </c>
      <c r="I1049" s="56" t="s">
        <v>52</v>
      </c>
      <c r="J1049" s="45" t="s">
        <v>65</v>
      </c>
      <c r="K1049" s="55" t="s">
        <v>66</v>
      </c>
      <c r="L1049" s="55" t="s">
        <v>54</v>
      </c>
      <c r="M1049" s="55" t="s">
        <v>113</v>
      </c>
      <c r="N1049" s="56" t="s">
        <v>55</v>
      </c>
      <c r="O1049" s="56"/>
      <c r="P1049" s="56" t="s">
        <v>67</v>
      </c>
      <c r="Q1049" s="55" t="s">
        <v>57</v>
      </c>
      <c r="R1049" s="55"/>
      <c r="S1049" s="56" t="s">
        <v>58</v>
      </c>
      <c r="T1049" s="55" t="str">
        <f>IF(ISNUMBER(SEARCH(",",N1049)),"Y","N")</f>
        <v>N</v>
      </c>
      <c r="U1049" s="57">
        <v>-999</v>
      </c>
      <c r="V1049" s="57" t="s">
        <v>59</v>
      </c>
      <c r="W1049" s="55" t="s">
        <v>2319</v>
      </c>
      <c r="X1049" s="54" t="s">
        <v>5058</v>
      </c>
      <c r="Y1049" s="52"/>
      <c r="Z1049" s="1" t="s">
        <v>61</v>
      </c>
      <c r="AA1049" s="1" t="s">
        <v>2384</v>
      </c>
      <c r="AB1049" s="1"/>
      <c r="AC1049" s="1"/>
      <c r="AD1049" s="3" t="s">
        <v>62</v>
      </c>
      <c r="AE1049" s="1" t="s">
        <v>464</v>
      </c>
      <c r="AF1049" s="1" t="s">
        <v>2385</v>
      </c>
      <c r="AG1049" s="1" t="s">
        <v>2386</v>
      </c>
      <c r="AH1049" s="2">
        <v>100</v>
      </c>
      <c r="AI1049" s="1"/>
      <c r="AJ1049" s="1"/>
      <c r="AK1049" s="1"/>
      <c r="AL1049" s="1"/>
      <c r="AM1049" s="1"/>
      <c r="AN1049" s="1"/>
      <c r="AO1049" s="1"/>
      <c r="AP1049" s="1"/>
      <c r="AQ1049" s="1"/>
      <c r="AR1049" s="1"/>
      <c r="AS1049" s="1"/>
      <c r="AT1049" s="1"/>
      <c r="AU1049" s="1"/>
      <c r="AV1049" s="1"/>
      <c r="AW1049" s="1"/>
      <c r="AX1049" s="1"/>
      <c r="AY1049" s="1"/>
      <c r="AZ1049" s="4" t="s">
        <v>2382</v>
      </c>
      <c r="BA1049" s="1"/>
      <c r="BB1049" s="1"/>
      <c r="BC1049" s="1"/>
    </row>
    <row r="1050" spans="1:55" s="78" customFormat="1" ht="15" customHeight="1" x14ac:dyDescent="0.25">
      <c r="A1050" s="52" t="s">
        <v>5059</v>
      </c>
      <c r="B1050" s="34" t="s">
        <v>59</v>
      </c>
      <c r="C1050" s="53">
        <v>2026</v>
      </c>
      <c r="D1050" s="53">
        <v>2026</v>
      </c>
      <c r="E1050" s="54" t="s">
        <v>3649</v>
      </c>
      <c r="F1050" s="55" t="s">
        <v>50</v>
      </c>
      <c r="G1050" s="55" t="s">
        <v>50</v>
      </c>
      <c r="H1050" s="45" t="s">
        <v>2388</v>
      </c>
      <c r="I1050" s="56" t="s">
        <v>52</v>
      </c>
      <c r="J1050" s="56"/>
      <c r="K1050" s="55" t="s">
        <v>582</v>
      </c>
      <c r="L1050" s="55"/>
      <c r="M1050" s="55"/>
      <c r="N1050" s="55" t="s">
        <v>400</v>
      </c>
      <c r="O1050" s="55"/>
      <c r="P1050" s="61" t="s">
        <v>583</v>
      </c>
      <c r="Q1050" s="61" t="s">
        <v>57</v>
      </c>
      <c r="R1050" s="55"/>
      <c r="S1050" s="56" t="s">
        <v>81</v>
      </c>
      <c r="T1050" s="55" t="str">
        <f>IF(ISNUMBER(SEARCH(",",N1050)),"Y","N")</f>
        <v>N</v>
      </c>
      <c r="U1050" s="57">
        <v>-999</v>
      </c>
      <c r="V1050" s="57" t="s">
        <v>59</v>
      </c>
      <c r="W1050" s="55" t="s">
        <v>2319</v>
      </c>
      <c r="X1050" s="54" t="s">
        <v>5059</v>
      </c>
      <c r="Y1050" s="52"/>
      <c r="Z1050" s="3" t="s">
        <v>61</v>
      </c>
      <c r="AA1050" s="3" t="s">
        <v>2389</v>
      </c>
      <c r="AB1050" s="3"/>
      <c r="AC1050" s="3"/>
      <c r="AD1050" s="3" t="s">
        <v>62</v>
      </c>
      <c r="AE1050" s="3" t="s">
        <v>780</v>
      </c>
      <c r="AF1050" s="3"/>
      <c r="AG1050" s="3" t="s">
        <v>2390</v>
      </c>
      <c r="AH1050" s="58">
        <v>100</v>
      </c>
      <c r="AI1050" s="3"/>
      <c r="AJ1050" s="3"/>
      <c r="AK1050" s="3"/>
      <c r="AL1050" s="3"/>
      <c r="AM1050" s="3"/>
      <c r="AN1050" s="3"/>
      <c r="AO1050" s="3"/>
      <c r="AP1050" s="3"/>
      <c r="AQ1050" s="3"/>
      <c r="AR1050" s="3"/>
      <c r="AS1050" s="3"/>
      <c r="AT1050" s="3"/>
      <c r="AU1050" s="3"/>
      <c r="AV1050" s="3"/>
      <c r="AW1050" s="3"/>
      <c r="AX1050" s="3"/>
      <c r="AY1050" s="3"/>
      <c r="AZ1050" s="4" t="s">
        <v>2387</v>
      </c>
      <c r="BA1050" s="3"/>
      <c r="BB1050" s="1"/>
      <c r="BC1050" s="1"/>
    </row>
    <row r="1051" spans="1:55" s="78" customFormat="1" ht="15" customHeight="1" x14ac:dyDescent="0.25">
      <c r="A1051" s="52" t="s">
        <v>5060</v>
      </c>
      <c r="B1051" s="34" t="s">
        <v>59</v>
      </c>
      <c r="C1051" s="53">
        <v>2026</v>
      </c>
      <c r="D1051" s="53">
        <v>2026</v>
      </c>
      <c r="E1051" s="54" t="s">
        <v>3650</v>
      </c>
      <c r="F1051" s="55" t="s">
        <v>50</v>
      </c>
      <c r="G1051" s="55" t="s">
        <v>50</v>
      </c>
      <c r="H1051" s="45" t="s">
        <v>2391</v>
      </c>
      <c r="I1051" s="56" t="s">
        <v>52</v>
      </c>
      <c r="J1051" s="56" t="s">
        <v>316</v>
      </c>
      <c r="K1051" s="55" t="s">
        <v>316</v>
      </c>
      <c r="L1051" s="55" t="s">
        <v>317</v>
      </c>
      <c r="M1051" s="55" t="s">
        <v>113</v>
      </c>
      <c r="N1051" s="55" t="s">
        <v>55</v>
      </c>
      <c r="O1051" s="56" t="s">
        <v>699</v>
      </c>
      <c r="P1051" s="55" t="s">
        <v>318</v>
      </c>
      <c r="Q1051" s="55" t="s">
        <v>57</v>
      </c>
      <c r="R1051" s="55"/>
      <c r="S1051" s="56" t="s">
        <v>81</v>
      </c>
      <c r="T1051" s="55" t="s">
        <v>81</v>
      </c>
      <c r="U1051" s="57">
        <v>40000</v>
      </c>
      <c r="V1051" s="57" t="s">
        <v>101</v>
      </c>
      <c r="W1051" s="55" t="s">
        <v>2319</v>
      </c>
      <c r="X1051" s="54" t="s">
        <v>5060</v>
      </c>
      <c r="Y1051" s="52"/>
      <c r="Z1051" s="2" t="s">
        <v>61</v>
      </c>
      <c r="AA1051" s="1" t="s">
        <v>2392</v>
      </c>
      <c r="AB1051" s="1"/>
      <c r="AC1051" s="1"/>
      <c r="AD1051" s="3" t="s">
        <v>62</v>
      </c>
      <c r="AE1051" s="2" t="s">
        <v>131</v>
      </c>
      <c r="AF1051" s="2"/>
      <c r="AG1051" s="1" t="s">
        <v>796</v>
      </c>
      <c r="AH1051" s="2">
        <v>100</v>
      </c>
      <c r="AI1051" s="1"/>
      <c r="AJ1051" s="1"/>
      <c r="AK1051" s="1"/>
      <c r="AL1051" s="1"/>
      <c r="AM1051" s="1"/>
      <c r="AN1051" s="1"/>
      <c r="AO1051" s="1"/>
      <c r="AP1051" s="1"/>
      <c r="AQ1051" s="1"/>
      <c r="AR1051" s="1"/>
      <c r="AS1051" s="1"/>
      <c r="AT1051" s="1"/>
      <c r="AU1051" s="1"/>
      <c r="AV1051" s="1"/>
      <c r="AW1051" s="1"/>
      <c r="AX1051" s="1"/>
      <c r="AY1051" s="1"/>
      <c r="AZ1051" s="4" t="s">
        <v>1812</v>
      </c>
      <c r="BA1051" s="1"/>
      <c r="BB1051" s="1"/>
      <c r="BC1051" s="1"/>
    </row>
    <row r="1052" spans="1:55" s="78" customFormat="1" ht="15" customHeight="1" x14ac:dyDescent="0.25">
      <c r="A1052" s="52" t="s">
        <v>5061</v>
      </c>
      <c r="B1052" s="34" t="s">
        <v>59</v>
      </c>
      <c r="C1052" s="53">
        <v>2026</v>
      </c>
      <c r="D1052" s="53">
        <v>2026</v>
      </c>
      <c r="E1052" s="54" t="s">
        <v>3651</v>
      </c>
      <c r="F1052" s="55" t="s">
        <v>50</v>
      </c>
      <c r="G1052" s="55" t="s">
        <v>50</v>
      </c>
      <c r="H1052" s="45" t="s">
        <v>2394</v>
      </c>
      <c r="I1052" s="61" t="s">
        <v>52</v>
      </c>
      <c r="J1052" s="56"/>
      <c r="K1052" s="55" t="s">
        <v>71</v>
      </c>
      <c r="L1052" s="55" t="s">
        <v>317</v>
      </c>
      <c r="M1052" s="55" t="s">
        <v>113</v>
      </c>
      <c r="N1052" s="55" t="s">
        <v>55</v>
      </c>
      <c r="O1052" s="55"/>
      <c r="P1052" s="55" t="s">
        <v>73</v>
      </c>
      <c r="Q1052" s="55" t="s">
        <v>57</v>
      </c>
      <c r="R1052" s="55"/>
      <c r="S1052" s="56" t="s">
        <v>58</v>
      </c>
      <c r="T1052" s="55" t="str">
        <f t="shared" ref="T1052:T1058" si="18">IF(ISNUMBER(SEARCH(",",N1052)),"Y","N")</f>
        <v>N</v>
      </c>
      <c r="U1052" s="57">
        <v>-999</v>
      </c>
      <c r="V1052" s="57" t="s">
        <v>59</v>
      </c>
      <c r="W1052" s="55" t="s">
        <v>2319</v>
      </c>
      <c r="X1052" s="54" t="s">
        <v>5061</v>
      </c>
      <c r="Y1052" s="52"/>
      <c r="Z1052" s="3" t="s">
        <v>61</v>
      </c>
      <c r="AA1052" s="3" t="s">
        <v>2395</v>
      </c>
      <c r="AB1052" s="3"/>
      <c r="AC1052" s="3"/>
      <c r="AD1052" s="3" t="s">
        <v>62</v>
      </c>
      <c r="AE1052" s="3" t="s">
        <v>605</v>
      </c>
      <c r="AF1052" s="3"/>
      <c r="AG1052" s="3" t="s">
        <v>2396</v>
      </c>
      <c r="AH1052" s="58">
        <v>100</v>
      </c>
      <c r="AI1052" s="3"/>
      <c r="AJ1052" s="3"/>
      <c r="AK1052" s="3"/>
      <c r="AL1052" s="3"/>
      <c r="AM1052" s="3"/>
      <c r="AN1052" s="3"/>
      <c r="AO1052" s="3"/>
      <c r="AP1052" s="3"/>
      <c r="AQ1052" s="3"/>
      <c r="AR1052" s="3"/>
      <c r="AS1052" s="3"/>
      <c r="AT1052" s="3"/>
      <c r="AU1052" s="3"/>
      <c r="AV1052" s="3"/>
      <c r="AW1052" s="3"/>
      <c r="AX1052" s="3"/>
      <c r="AY1052" s="3"/>
      <c r="AZ1052" s="4" t="s">
        <v>2393</v>
      </c>
      <c r="BA1052" s="3"/>
      <c r="BB1052" s="1"/>
      <c r="BC1052" s="1"/>
    </row>
    <row r="1053" spans="1:55" s="78" customFormat="1" ht="15" customHeight="1" x14ac:dyDescent="0.25">
      <c r="A1053" s="52" t="s">
        <v>5062</v>
      </c>
      <c r="B1053" s="34" t="s">
        <v>59</v>
      </c>
      <c r="C1053" s="53">
        <v>2026</v>
      </c>
      <c r="D1053" s="53">
        <v>2026</v>
      </c>
      <c r="E1053" s="54" t="s">
        <v>3651</v>
      </c>
      <c r="F1053" s="55" t="s">
        <v>50</v>
      </c>
      <c r="G1053" s="55" t="s">
        <v>50</v>
      </c>
      <c r="H1053" s="45" t="s">
        <v>2394</v>
      </c>
      <c r="I1053" s="61" t="s">
        <v>52</v>
      </c>
      <c r="J1053" s="56" t="s">
        <v>65</v>
      </c>
      <c r="K1053" s="55" t="s">
        <v>66</v>
      </c>
      <c r="L1053" s="55" t="s">
        <v>317</v>
      </c>
      <c r="M1053" s="55" t="s">
        <v>113</v>
      </c>
      <c r="N1053" s="55" t="s">
        <v>55</v>
      </c>
      <c r="O1053" s="55"/>
      <c r="P1053" s="55" t="s">
        <v>67</v>
      </c>
      <c r="Q1053" s="55" t="s">
        <v>57</v>
      </c>
      <c r="R1053" s="55"/>
      <c r="S1053" s="56" t="s">
        <v>58</v>
      </c>
      <c r="T1053" s="55" t="str">
        <f t="shared" si="18"/>
        <v>N</v>
      </c>
      <c r="U1053" s="57">
        <v>-999</v>
      </c>
      <c r="V1053" s="57" t="s">
        <v>59</v>
      </c>
      <c r="W1053" s="55" t="s">
        <v>2319</v>
      </c>
      <c r="X1053" s="54" t="s">
        <v>5062</v>
      </c>
      <c r="Y1053" s="52"/>
      <c r="Z1053" s="3" t="s">
        <v>61</v>
      </c>
      <c r="AA1053" s="3" t="s">
        <v>2395</v>
      </c>
      <c r="AB1053" s="3"/>
      <c r="AC1053" s="3"/>
      <c r="AD1053" s="3" t="s">
        <v>62</v>
      </c>
      <c r="AE1053" s="3" t="s">
        <v>605</v>
      </c>
      <c r="AF1053" s="3"/>
      <c r="AG1053" s="3" t="s">
        <v>2396</v>
      </c>
      <c r="AH1053" s="58">
        <v>100</v>
      </c>
      <c r="AI1053" s="3"/>
      <c r="AJ1053" s="3"/>
      <c r="AK1053" s="3"/>
      <c r="AL1053" s="3"/>
      <c r="AM1053" s="3"/>
      <c r="AN1053" s="3"/>
      <c r="AO1053" s="3"/>
      <c r="AP1053" s="3"/>
      <c r="AQ1053" s="3"/>
      <c r="AR1053" s="3"/>
      <c r="AS1053" s="3"/>
      <c r="AT1053" s="3"/>
      <c r="AU1053" s="3"/>
      <c r="AV1053" s="3"/>
      <c r="AW1053" s="3"/>
      <c r="AX1053" s="3"/>
      <c r="AY1053" s="3"/>
      <c r="AZ1053" s="4" t="s">
        <v>2393</v>
      </c>
      <c r="BA1053" s="3"/>
      <c r="BB1053" s="1"/>
      <c r="BC1053" s="1"/>
    </row>
    <row r="1054" spans="1:55" s="78" customFormat="1" ht="15" customHeight="1" x14ac:dyDescent="0.25">
      <c r="A1054" s="52" t="s">
        <v>5063</v>
      </c>
      <c r="B1054" s="34" t="s">
        <v>59</v>
      </c>
      <c r="C1054" s="53">
        <v>2026</v>
      </c>
      <c r="D1054" s="53">
        <v>2026</v>
      </c>
      <c r="E1054" s="54" t="s">
        <v>3651</v>
      </c>
      <c r="F1054" s="55" t="s">
        <v>50</v>
      </c>
      <c r="G1054" s="55" t="s">
        <v>50</v>
      </c>
      <c r="H1054" s="45" t="s">
        <v>2394</v>
      </c>
      <c r="I1054" s="61" t="s">
        <v>52</v>
      </c>
      <c r="J1054" s="56" t="s">
        <v>65</v>
      </c>
      <c r="K1054" s="55" t="s">
        <v>68</v>
      </c>
      <c r="L1054" s="55" t="s">
        <v>317</v>
      </c>
      <c r="M1054" s="55" t="s">
        <v>113</v>
      </c>
      <c r="N1054" s="55" t="s">
        <v>55</v>
      </c>
      <c r="O1054" s="55"/>
      <c r="P1054" s="55" t="s">
        <v>69</v>
      </c>
      <c r="Q1054" s="55" t="s">
        <v>57</v>
      </c>
      <c r="R1054" s="55"/>
      <c r="S1054" s="56" t="s">
        <v>58</v>
      </c>
      <c r="T1054" s="55" t="str">
        <f t="shared" si="18"/>
        <v>N</v>
      </c>
      <c r="U1054" s="57">
        <v>-999</v>
      </c>
      <c r="V1054" s="57" t="s">
        <v>59</v>
      </c>
      <c r="W1054" s="55" t="s">
        <v>2319</v>
      </c>
      <c r="X1054" s="54" t="s">
        <v>5063</v>
      </c>
      <c r="Y1054" s="52"/>
      <c r="Z1054" s="3" t="s">
        <v>61</v>
      </c>
      <c r="AA1054" s="3" t="s">
        <v>2395</v>
      </c>
      <c r="AB1054" s="3"/>
      <c r="AC1054" s="3"/>
      <c r="AD1054" s="3" t="s">
        <v>62</v>
      </c>
      <c r="AE1054" s="3" t="s">
        <v>605</v>
      </c>
      <c r="AF1054" s="3"/>
      <c r="AG1054" s="3" t="s">
        <v>2396</v>
      </c>
      <c r="AH1054" s="58">
        <v>100</v>
      </c>
      <c r="AI1054" s="3"/>
      <c r="AJ1054" s="3"/>
      <c r="AK1054" s="3"/>
      <c r="AL1054" s="3"/>
      <c r="AM1054" s="3"/>
      <c r="AN1054" s="3"/>
      <c r="AO1054" s="3"/>
      <c r="AP1054" s="3"/>
      <c r="AQ1054" s="3"/>
      <c r="AR1054" s="3"/>
      <c r="AS1054" s="3"/>
      <c r="AT1054" s="3"/>
      <c r="AU1054" s="3"/>
      <c r="AV1054" s="3"/>
      <c r="AW1054" s="3"/>
      <c r="AX1054" s="3"/>
      <c r="AY1054" s="3"/>
      <c r="AZ1054" s="4" t="s">
        <v>2393</v>
      </c>
      <c r="BA1054" s="3"/>
      <c r="BB1054" s="1"/>
      <c r="BC1054" s="1"/>
    </row>
    <row r="1055" spans="1:55" s="78" customFormat="1" ht="15" customHeight="1" x14ac:dyDescent="0.25">
      <c r="A1055" s="52" t="s">
        <v>5064</v>
      </c>
      <c r="B1055" s="34" t="s">
        <v>59</v>
      </c>
      <c r="C1055" s="53">
        <v>2026</v>
      </c>
      <c r="D1055" s="53">
        <v>2026</v>
      </c>
      <c r="E1055" s="54" t="s">
        <v>3651</v>
      </c>
      <c r="F1055" s="55" t="s">
        <v>50</v>
      </c>
      <c r="G1055" s="55" t="s">
        <v>50</v>
      </c>
      <c r="H1055" s="45" t="s">
        <v>2394</v>
      </c>
      <c r="I1055" s="61" t="s">
        <v>52</v>
      </c>
      <c r="J1055" s="56"/>
      <c r="K1055" s="55" t="s">
        <v>120</v>
      </c>
      <c r="L1055" s="55" t="s">
        <v>317</v>
      </c>
      <c r="M1055" s="55" t="s">
        <v>113</v>
      </c>
      <c r="N1055" s="55" t="s">
        <v>55</v>
      </c>
      <c r="O1055" s="55"/>
      <c r="P1055" s="55" t="s">
        <v>121</v>
      </c>
      <c r="Q1055" s="55" t="s">
        <v>57</v>
      </c>
      <c r="R1055" s="55"/>
      <c r="S1055" s="56" t="s">
        <v>58</v>
      </c>
      <c r="T1055" s="55" t="str">
        <f t="shared" si="18"/>
        <v>N</v>
      </c>
      <c r="U1055" s="57">
        <v>-999</v>
      </c>
      <c r="V1055" s="57" t="s">
        <v>59</v>
      </c>
      <c r="W1055" s="55" t="s">
        <v>2319</v>
      </c>
      <c r="X1055" s="54" t="s">
        <v>5064</v>
      </c>
      <c r="Y1055" s="52"/>
      <c r="Z1055" s="3" t="s">
        <v>61</v>
      </c>
      <c r="AA1055" s="3" t="s">
        <v>2395</v>
      </c>
      <c r="AB1055" s="3"/>
      <c r="AC1055" s="3"/>
      <c r="AD1055" s="3" t="s">
        <v>62</v>
      </c>
      <c r="AE1055" s="3" t="s">
        <v>605</v>
      </c>
      <c r="AF1055" s="3"/>
      <c r="AG1055" s="3" t="s">
        <v>2396</v>
      </c>
      <c r="AH1055" s="58">
        <v>100</v>
      </c>
      <c r="AI1055" s="3"/>
      <c r="AJ1055" s="3"/>
      <c r="AK1055" s="3"/>
      <c r="AL1055" s="3"/>
      <c r="AM1055" s="3"/>
      <c r="AN1055" s="3"/>
      <c r="AO1055" s="3"/>
      <c r="AP1055" s="3"/>
      <c r="AQ1055" s="3"/>
      <c r="AR1055" s="3"/>
      <c r="AS1055" s="3"/>
      <c r="AT1055" s="3"/>
      <c r="AU1055" s="3"/>
      <c r="AV1055" s="3"/>
      <c r="AW1055" s="3"/>
      <c r="AX1055" s="3"/>
      <c r="AY1055" s="3"/>
      <c r="AZ1055" s="4" t="s">
        <v>2393</v>
      </c>
      <c r="BA1055" s="3"/>
      <c r="BB1055" s="1"/>
      <c r="BC1055" s="1"/>
    </row>
    <row r="1056" spans="1:55" s="78" customFormat="1" ht="15" customHeight="1" x14ac:dyDescent="0.25">
      <c r="A1056" s="52" t="s">
        <v>5065</v>
      </c>
      <c r="B1056" s="34" t="s">
        <v>59</v>
      </c>
      <c r="C1056" s="53">
        <v>2026</v>
      </c>
      <c r="D1056" s="53">
        <v>2026</v>
      </c>
      <c r="E1056" s="54" t="s">
        <v>3651</v>
      </c>
      <c r="F1056" s="55" t="s">
        <v>50</v>
      </c>
      <c r="G1056" s="55" t="s">
        <v>50</v>
      </c>
      <c r="H1056" s="45" t="s">
        <v>2394</v>
      </c>
      <c r="I1056" s="61" t="s">
        <v>52</v>
      </c>
      <c r="J1056" s="56" t="s">
        <v>65</v>
      </c>
      <c r="K1056" s="55" t="s">
        <v>890</v>
      </c>
      <c r="L1056" s="55" t="s">
        <v>317</v>
      </c>
      <c r="M1056" s="55" t="s">
        <v>113</v>
      </c>
      <c r="N1056" s="55" t="s">
        <v>55</v>
      </c>
      <c r="O1056" s="55"/>
      <c r="P1056" s="55" t="s">
        <v>892</v>
      </c>
      <c r="Q1056" s="55" t="s">
        <v>57</v>
      </c>
      <c r="R1056" s="55"/>
      <c r="S1056" s="56" t="s">
        <v>58</v>
      </c>
      <c r="T1056" s="55" t="str">
        <f t="shared" si="18"/>
        <v>N</v>
      </c>
      <c r="U1056" s="57">
        <v>-999</v>
      </c>
      <c r="V1056" s="57" t="s">
        <v>59</v>
      </c>
      <c r="W1056" s="55" t="s">
        <v>2319</v>
      </c>
      <c r="X1056" s="54" t="s">
        <v>5065</v>
      </c>
      <c r="Y1056" s="52"/>
      <c r="Z1056" s="3" t="s">
        <v>61</v>
      </c>
      <c r="AA1056" s="3" t="s">
        <v>2395</v>
      </c>
      <c r="AB1056" s="3"/>
      <c r="AC1056" s="3"/>
      <c r="AD1056" s="3" t="s">
        <v>62</v>
      </c>
      <c r="AE1056" s="3" t="s">
        <v>605</v>
      </c>
      <c r="AF1056" s="3"/>
      <c r="AG1056" s="3" t="s">
        <v>2396</v>
      </c>
      <c r="AH1056" s="58">
        <v>100</v>
      </c>
      <c r="AI1056" s="3"/>
      <c r="AJ1056" s="3"/>
      <c r="AK1056" s="3"/>
      <c r="AL1056" s="3"/>
      <c r="AM1056" s="3"/>
      <c r="AN1056" s="3"/>
      <c r="AO1056" s="3"/>
      <c r="AP1056" s="3"/>
      <c r="AQ1056" s="3"/>
      <c r="AR1056" s="3"/>
      <c r="AS1056" s="3"/>
      <c r="AT1056" s="3"/>
      <c r="AU1056" s="3"/>
      <c r="AV1056" s="3"/>
      <c r="AW1056" s="3"/>
      <c r="AX1056" s="3"/>
      <c r="AY1056" s="3"/>
      <c r="AZ1056" s="4" t="s">
        <v>2393</v>
      </c>
      <c r="BA1056" s="3"/>
      <c r="BB1056" s="1"/>
      <c r="BC1056" s="1"/>
    </row>
    <row r="1057" spans="1:55" s="78" customFormat="1" ht="15" customHeight="1" x14ac:dyDescent="0.25">
      <c r="A1057" s="52" t="s">
        <v>5066</v>
      </c>
      <c r="B1057" s="34" t="s">
        <v>59</v>
      </c>
      <c r="C1057" s="53">
        <v>2026</v>
      </c>
      <c r="D1057" s="53">
        <v>2026</v>
      </c>
      <c r="E1057" s="54" t="s">
        <v>3651</v>
      </c>
      <c r="F1057" s="55" t="s">
        <v>50</v>
      </c>
      <c r="G1057" s="55" t="s">
        <v>50</v>
      </c>
      <c r="H1057" s="45" t="s">
        <v>2394</v>
      </c>
      <c r="I1057" s="61" t="s">
        <v>52</v>
      </c>
      <c r="J1057" s="56"/>
      <c r="K1057" s="55" t="s">
        <v>74</v>
      </c>
      <c r="L1057" s="55" t="s">
        <v>317</v>
      </c>
      <c r="M1057" s="55" t="s">
        <v>113</v>
      </c>
      <c r="N1057" s="55" t="s">
        <v>55</v>
      </c>
      <c r="O1057" s="55"/>
      <c r="P1057" s="55" t="s">
        <v>75</v>
      </c>
      <c r="Q1057" s="56" t="s">
        <v>57</v>
      </c>
      <c r="R1057" s="55"/>
      <c r="S1057" s="56" t="s">
        <v>58</v>
      </c>
      <c r="T1057" s="55" t="str">
        <f t="shared" si="18"/>
        <v>N</v>
      </c>
      <c r="U1057" s="57">
        <v>-999</v>
      </c>
      <c r="V1057" s="57" t="s">
        <v>59</v>
      </c>
      <c r="W1057" s="55" t="s">
        <v>2319</v>
      </c>
      <c r="X1057" s="54" t="s">
        <v>5066</v>
      </c>
      <c r="Y1057" s="52"/>
      <c r="Z1057" s="3" t="s">
        <v>61</v>
      </c>
      <c r="AA1057" s="3" t="s">
        <v>2395</v>
      </c>
      <c r="AB1057" s="3"/>
      <c r="AC1057" s="3"/>
      <c r="AD1057" s="3" t="s">
        <v>62</v>
      </c>
      <c r="AE1057" s="3" t="s">
        <v>605</v>
      </c>
      <c r="AF1057" s="3"/>
      <c r="AG1057" s="3" t="s">
        <v>2396</v>
      </c>
      <c r="AH1057" s="58">
        <v>100</v>
      </c>
      <c r="AI1057" s="1"/>
      <c r="AJ1057" s="3"/>
      <c r="AK1057" s="3"/>
      <c r="AL1057" s="3"/>
      <c r="AM1057" s="3"/>
      <c r="AN1057" s="3"/>
      <c r="AO1057" s="3"/>
      <c r="AP1057" s="3"/>
      <c r="AQ1057" s="3"/>
      <c r="AR1057" s="3"/>
      <c r="AS1057" s="3"/>
      <c r="AT1057" s="3"/>
      <c r="AU1057" s="3"/>
      <c r="AV1057" s="3"/>
      <c r="AW1057" s="3"/>
      <c r="AX1057" s="3"/>
      <c r="AY1057" s="3"/>
      <c r="AZ1057" s="4" t="s">
        <v>2393</v>
      </c>
      <c r="BA1057" s="3"/>
      <c r="BB1057" s="1"/>
      <c r="BC1057" s="1"/>
    </row>
    <row r="1058" spans="1:55" s="78" customFormat="1" ht="15" customHeight="1" x14ac:dyDescent="0.25">
      <c r="A1058" s="52" t="s">
        <v>5067</v>
      </c>
      <c r="B1058" s="34" t="s">
        <v>59</v>
      </c>
      <c r="C1058" s="53">
        <v>2026</v>
      </c>
      <c r="D1058" s="53">
        <v>2026</v>
      </c>
      <c r="E1058" s="54" t="s">
        <v>3652</v>
      </c>
      <c r="F1058" s="55" t="s">
        <v>50</v>
      </c>
      <c r="G1058" s="55" t="s">
        <v>50</v>
      </c>
      <c r="H1058" s="45" t="s">
        <v>3639</v>
      </c>
      <c r="I1058" s="56" t="s">
        <v>52</v>
      </c>
      <c r="J1058" s="56"/>
      <c r="K1058" s="56" t="s">
        <v>633</v>
      </c>
      <c r="L1058" s="55" t="str">
        <f>IF(K1058="Mine or Quarry","Mine","")</f>
        <v/>
      </c>
      <c r="M1058" s="55"/>
      <c r="N1058" s="56" t="s">
        <v>2398</v>
      </c>
      <c r="O1058" s="56"/>
      <c r="P1058" s="55" t="s">
        <v>89</v>
      </c>
      <c r="Q1058" s="55" t="s">
        <v>89</v>
      </c>
      <c r="R1058" s="55"/>
      <c r="S1058" s="56" t="s">
        <v>81</v>
      </c>
      <c r="T1058" s="55" t="str">
        <f t="shared" si="18"/>
        <v>N</v>
      </c>
      <c r="U1058" s="57">
        <v>140000</v>
      </c>
      <c r="V1058" s="57" t="s">
        <v>101</v>
      </c>
      <c r="W1058" s="55" t="s">
        <v>2319</v>
      </c>
      <c r="X1058" s="54" t="s">
        <v>5067</v>
      </c>
      <c r="Y1058" s="52"/>
      <c r="Z1058" s="2" t="s">
        <v>61</v>
      </c>
      <c r="AA1058" s="1" t="s">
        <v>2399</v>
      </c>
      <c r="AB1058" s="1"/>
      <c r="AC1058" s="1"/>
      <c r="AD1058" s="3" t="s">
        <v>62</v>
      </c>
      <c r="AE1058" s="2" t="s">
        <v>206</v>
      </c>
      <c r="AF1058" s="2" t="s">
        <v>2400</v>
      </c>
      <c r="AG1058" s="1" t="s">
        <v>2401</v>
      </c>
      <c r="AH1058" s="1" t="s">
        <v>2402</v>
      </c>
      <c r="AI1058" s="1"/>
      <c r="AJ1058" s="1"/>
      <c r="AK1058" s="1"/>
      <c r="AL1058" s="1"/>
      <c r="AM1058" s="1"/>
      <c r="AN1058" s="1"/>
      <c r="AO1058" s="1"/>
      <c r="AP1058" s="1"/>
      <c r="AQ1058" s="1"/>
      <c r="AR1058" s="1"/>
      <c r="AS1058" s="1"/>
      <c r="AT1058" s="1"/>
      <c r="AU1058" s="1"/>
      <c r="AV1058" s="1"/>
      <c r="AW1058" s="1"/>
      <c r="AX1058" s="1"/>
      <c r="AY1058" s="1"/>
      <c r="AZ1058" s="4" t="s">
        <v>2397</v>
      </c>
      <c r="BA1058" s="1"/>
      <c r="BB1058" s="1"/>
      <c r="BC1058" s="1"/>
    </row>
    <row r="1059" spans="1:55" s="78" customFormat="1" ht="15" customHeight="1" x14ac:dyDescent="0.25">
      <c r="A1059" s="52" t="s">
        <v>5068</v>
      </c>
      <c r="B1059" s="34" t="s">
        <v>59</v>
      </c>
      <c r="C1059" s="53">
        <v>2026</v>
      </c>
      <c r="D1059" s="53">
        <v>2026</v>
      </c>
      <c r="E1059" s="54" t="s">
        <v>3653</v>
      </c>
      <c r="F1059" s="55" t="s">
        <v>50</v>
      </c>
      <c r="G1059" s="55" t="s">
        <v>50</v>
      </c>
      <c r="H1059" s="45" t="s">
        <v>4006</v>
      </c>
      <c r="I1059" s="56" t="s">
        <v>52</v>
      </c>
      <c r="J1059" s="55" t="s">
        <v>384</v>
      </c>
      <c r="K1059" s="56" t="s">
        <v>384</v>
      </c>
      <c r="L1059" s="55" t="s">
        <v>54</v>
      </c>
      <c r="M1059" s="45"/>
      <c r="N1059" s="55" t="s">
        <v>400</v>
      </c>
      <c r="O1059" s="55" t="s">
        <v>4007</v>
      </c>
      <c r="P1059" s="55" t="s">
        <v>385</v>
      </c>
      <c r="Q1059" s="55" t="s">
        <v>5353</v>
      </c>
      <c r="R1059" s="45"/>
      <c r="S1059" s="56" t="s">
        <v>58</v>
      </c>
      <c r="T1059" s="55" t="s">
        <v>81</v>
      </c>
      <c r="U1059" s="57">
        <v>3000</v>
      </c>
      <c r="V1059" s="57" t="s">
        <v>101</v>
      </c>
      <c r="W1059" s="45"/>
      <c r="X1059" s="54" t="s">
        <v>5068</v>
      </c>
      <c r="Y1059" s="59"/>
      <c r="Z1059" s="2" t="s">
        <v>154</v>
      </c>
      <c r="AA1059" s="3" t="s">
        <v>4008</v>
      </c>
      <c r="AB1059" s="2"/>
      <c r="AC1059" s="2"/>
      <c r="AD1059" s="3" t="s">
        <v>62</v>
      </c>
      <c r="AE1059" s="3" t="s">
        <v>184</v>
      </c>
      <c r="AF1059" s="2"/>
      <c r="AG1059" s="3" t="s">
        <v>4009</v>
      </c>
      <c r="AH1059" s="59">
        <v>100</v>
      </c>
      <c r="AI1059" s="2"/>
      <c r="AJ1059" s="2"/>
      <c r="AK1059" s="2"/>
      <c r="AL1059" s="59"/>
      <c r="AM1059" s="2"/>
      <c r="AN1059" s="59"/>
      <c r="AO1059" s="2"/>
      <c r="AP1059" s="59"/>
      <c r="AQ1059" s="2"/>
      <c r="AR1059" s="59"/>
      <c r="AS1059" s="2"/>
      <c r="AT1059" s="59"/>
      <c r="AU1059" s="2"/>
      <c r="AV1059" s="59"/>
      <c r="AW1059" s="2"/>
      <c r="AX1059" s="59"/>
      <c r="AY1059" s="2"/>
      <c r="AZ1059" s="4" t="s">
        <v>1273</v>
      </c>
      <c r="BA1059" s="2"/>
      <c r="BB1059" s="2"/>
      <c r="BC1059" s="2"/>
    </row>
    <row r="1060" spans="1:55" s="78" customFormat="1" ht="15" customHeight="1" x14ac:dyDescent="0.25">
      <c r="A1060" s="52" t="s">
        <v>5069</v>
      </c>
      <c r="B1060" s="34" t="s">
        <v>59</v>
      </c>
      <c r="C1060" s="53">
        <v>2026</v>
      </c>
      <c r="D1060" s="53">
        <v>2026</v>
      </c>
      <c r="E1060" s="54" t="s">
        <v>3653</v>
      </c>
      <c r="F1060" s="55" t="s">
        <v>50</v>
      </c>
      <c r="G1060" s="55" t="s">
        <v>50</v>
      </c>
      <c r="H1060" s="45" t="s">
        <v>4006</v>
      </c>
      <c r="I1060" s="56" t="s">
        <v>52</v>
      </c>
      <c r="J1060" s="55" t="s">
        <v>384</v>
      </c>
      <c r="K1060" s="56" t="s">
        <v>384</v>
      </c>
      <c r="L1060" s="55" t="s">
        <v>54</v>
      </c>
      <c r="M1060" s="45"/>
      <c r="N1060" s="55" t="s">
        <v>400</v>
      </c>
      <c r="O1060" s="55" t="s">
        <v>5363</v>
      </c>
      <c r="P1060" s="56" t="s">
        <v>385</v>
      </c>
      <c r="Q1060" s="55" t="s">
        <v>5353</v>
      </c>
      <c r="R1060" s="45"/>
      <c r="S1060" s="56" t="s">
        <v>58</v>
      </c>
      <c r="T1060" s="55" t="s">
        <v>81</v>
      </c>
      <c r="U1060" s="45">
        <v>5000</v>
      </c>
      <c r="V1060" s="57" t="s">
        <v>101</v>
      </c>
      <c r="W1060" s="45"/>
      <c r="X1060" s="54" t="s">
        <v>5069</v>
      </c>
      <c r="Y1060" s="59"/>
      <c r="Z1060" s="3" t="s">
        <v>154</v>
      </c>
      <c r="AA1060" s="1" t="s">
        <v>4008</v>
      </c>
      <c r="AB1060" s="2"/>
      <c r="AC1060" s="2"/>
      <c r="AD1060" s="3" t="s">
        <v>62</v>
      </c>
      <c r="AE1060" s="3" t="s">
        <v>184</v>
      </c>
      <c r="AF1060" s="2"/>
      <c r="AG1060" s="1" t="s">
        <v>4009</v>
      </c>
      <c r="AH1060" s="59">
        <v>100</v>
      </c>
      <c r="AI1060" s="2"/>
      <c r="AJ1060" s="2"/>
      <c r="AK1060" s="2"/>
      <c r="AL1060" s="59"/>
      <c r="AM1060" s="2"/>
      <c r="AN1060" s="59"/>
      <c r="AO1060" s="2"/>
      <c r="AP1060" s="59"/>
      <c r="AQ1060" s="2"/>
      <c r="AR1060" s="59"/>
      <c r="AS1060" s="2"/>
      <c r="AT1060" s="59"/>
      <c r="AU1060" s="2"/>
      <c r="AV1060" s="59"/>
      <c r="AW1060" s="2"/>
      <c r="AX1060" s="59"/>
      <c r="AY1060" s="2"/>
      <c r="AZ1060" s="4" t="s">
        <v>1273</v>
      </c>
      <c r="BA1060" s="2"/>
      <c r="BB1060" s="2"/>
      <c r="BC1060" s="2"/>
    </row>
    <row r="1061" spans="1:55" s="78" customFormat="1" ht="15" customHeight="1" x14ac:dyDescent="0.25">
      <c r="A1061" s="52" t="s">
        <v>5070</v>
      </c>
      <c r="B1061" s="34" t="s">
        <v>59</v>
      </c>
      <c r="C1061" s="53">
        <v>2026</v>
      </c>
      <c r="D1061" s="53">
        <v>2026</v>
      </c>
      <c r="E1061" s="54" t="s">
        <v>3654</v>
      </c>
      <c r="F1061" s="55" t="s">
        <v>50</v>
      </c>
      <c r="G1061" s="55" t="s">
        <v>50</v>
      </c>
      <c r="H1061" s="45" t="s">
        <v>2404</v>
      </c>
      <c r="I1061" s="56" t="s">
        <v>52</v>
      </c>
      <c r="J1061" s="56"/>
      <c r="K1061" s="55" t="s">
        <v>582</v>
      </c>
      <c r="L1061" s="55" t="s">
        <v>317</v>
      </c>
      <c r="M1061" s="55" t="s">
        <v>113</v>
      </c>
      <c r="N1061" s="55" t="s">
        <v>55</v>
      </c>
      <c r="O1061" s="55"/>
      <c r="P1061" s="61" t="s">
        <v>583</v>
      </c>
      <c r="Q1061" s="61" t="s">
        <v>57</v>
      </c>
      <c r="R1061" s="55"/>
      <c r="S1061" s="56" t="s">
        <v>58</v>
      </c>
      <c r="T1061" s="55" t="str">
        <f>IF(ISNUMBER(SEARCH(",",N1061)),"Y","N")</f>
        <v>N</v>
      </c>
      <c r="U1061" s="57">
        <v>-999</v>
      </c>
      <c r="V1061" s="57" t="s">
        <v>59</v>
      </c>
      <c r="W1061" s="55" t="s">
        <v>2319</v>
      </c>
      <c r="X1061" s="54" t="s">
        <v>5070</v>
      </c>
      <c r="Y1061" s="52"/>
      <c r="Z1061" s="3" t="s">
        <v>61</v>
      </c>
      <c r="AA1061" s="3" t="s">
        <v>2405</v>
      </c>
      <c r="AB1061" s="3"/>
      <c r="AC1061" s="3"/>
      <c r="AD1061" s="3" t="s">
        <v>62</v>
      </c>
      <c r="AE1061" s="3" t="s">
        <v>214</v>
      </c>
      <c r="AF1061" s="3"/>
      <c r="AG1061" s="3" t="s">
        <v>2406</v>
      </c>
      <c r="AH1061" s="58">
        <v>100</v>
      </c>
      <c r="AI1061" s="3"/>
      <c r="AJ1061" s="3"/>
      <c r="AK1061" s="3"/>
      <c r="AL1061" s="3"/>
      <c r="AM1061" s="3"/>
      <c r="AN1061" s="3"/>
      <c r="AO1061" s="3"/>
      <c r="AP1061" s="3"/>
      <c r="AQ1061" s="3"/>
      <c r="AR1061" s="3"/>
      <c r="AS1061" s="3"/>
      <c r="AT1061" s="3"/>
      <c r="AU1061" s="3"/>
      <c r="AV1061" s="3"/>
      <c r="AW1061" s="3"/>
      <c r="AX1061" s="3"/>
      <c r="AY1061" s="3"/>
      <c r="AZ1061" s="4" t="s">
        <v>2403</v>
      </c>
      <c r="BA1061" s="3"/>
      <c r="BB1061" s="1"/>
      <c r="BC1061" s="1"/>
    </row>
    <row r="1062" spans="1:55" s="78" customFormat="1" ht="15" customHeight="1" x14ac:dyDescent="0.25">
      <c r="A1062" s="52" t="s">
        <v>5071</v>
      </c>
      <c r="B1062" s="34" t="s">
        <v>59</v>
      </c>
      <c r="C1062" s="53">
        <v>2026</v>
      </c>
      <c r="D1062" s="53">
        <v>2026</v>
      </c>
      <c r="E1062" s="54" t="s">
        <v>3655</v>
      </c>
      <c r="F1062" s="55" t="s">
        <v>50</v>
      </c>
      <c r="G1062" s="55" t="s">
        <v>50</v>
      </c>
      <c r="H1062" s="45" t="s">
        <v>2886</v>
      </c>
      <c r="I1062" s="56" t="s">
        <v>52</v>
      </c>
      <c r="J1062" s="56"/>
      <c r="K1062" s="56" t="s">
        <v>87</v>
      </c>
      <c r="L1062" s="55" t="str">
        <f>IF(K1062="Mine or Quarry","Mine","")</f>
        <v/>
      </c>
      <c r="M1062" s="55"/>
      <c r="N1062" s="56"/>
      <c r="O1062" s="56" t="s">
        <v>2893</v>
      </c>
      <c r="P1062" s="56" t="s">
        <v>89</v>
      </c>
      <c r="Q1062" s="56" t="s">
        <v>89</v>
      </c>
      <c r="R1062" s="55"/>
      <c r="S1062" s="56" t="s">
        <v>81</v>
      </c>
      <c r="T1062" s="55" t="str">
        <f>IF(ISNUMBER(SEARCH(",",N1062)),"Y","N")</f>
        <v>N</v>
      </c>
      <c r="U1062" s="57">
        <v>-999</v>
      </c>
      <c r="V1062" s="57" t="s">
        <v>59</v>
      </c>
      <c r="W1062" s="55" t="s">
        <v>2319</v>
      </c>
      <c r="X1062" s="54" t="s">
        <v>5071</v>
      </c>
      <c r="Y1062" s="52"/>
      <c r="Z1062" s="1" t="s">
        <v>61</v>
      </c>
      <c r="AA1062" s="1" t="s">
        <v>2407</v>
      </c>
      <c r="AB1062" s="1"/>
      <c r="AC1062" s="1"/>
      <c r="AD1062" s="3" t="s">
        <v>62</v>
      </c>
      <c r="AE1062" s="1" t="s">
        <v>306</v>
      </c>
      <c r="AF1062" s="1"/>
      <c r="AG1062" s="1" t="s">
        <v>2054</v>
      </c>
      <c r="AH1062" s="1"/>
      <c r="AI1062" s="1"/>
      <c r="AJ1062" s="1"/>
      <c r="AK1062" s="1"/>
      <c r="AL1062" s="1"/>
      <c r="AM1062" s="1"/>
      <c r="AN1062" s="1"/>
      <c r="AO1062" s="1"/>
      <c r="AP1062" s="1"/>
      <c r="AQ1062" s="1"/>
      <c r="AR1062" s="1"/>
      <c r="AS1062" s="1"/>
      <c r="AT1062" s="1"/>
      <c r="AU1062" s="1"/>
      <c r="AV1062" s="1"/>
      <c r="AW1062" s="1"/>
      <c r="AX1062" s="1"/>
      <c r="AY1062" s="1"/>
      <c r="AZ1062" s="5" t="s">
        <v>2073</v>
      </c>
      <c r="BA1062" s="5"/>
      <c r="BB1062" s="1"/>
      <c r="BC1062" s="1"/>
    </row>
    <row r="1063" spans="1:55" s="78" customFormat="1" ht="15" customHeight="1" x14ac:dyDescent="0.25">
      <c r="A1063" s="52" t="s">
        <v>5072</v>
      </c>
      <c r="B1063" s="34" t="s">
        <v>59</v>
      </c>
      <c r="C1063" s="53">
        <v>2026</v>
      </c>
      <c r="D1063" s="53">
        <v>2026</v>
      </c>
      <c r="E1063" s="54" t="s">
        <v>3656</v>
      </c>
      <c r="F1063" s="55" t="s">
        <v>50</v>
      </c>
      <c r="G1063" s="55" t="s">
        <v>50</v>
      </c>
      <c r="H1063" s="45" t="s">
        <v>2408</v>
      </c>
      <c r="I1063" s="45" t="s">
        <v>52</v>
      </c>
      <c r="J1063" s="56" t="s">
        <v>316</v>
      </c>
      <c r="K1063" s="45" t="s">
        <v>316</v>
      </c>
      <c r="L1063" s="55" t="s">
        <v>317</v>
      </c>
      <c r="M1063" s="55"/>
      <c r="N1063" s="55" t="s">
        <v>55</v>
      </c>
      <c r="O1063" s="45" t="s">
        <v>2409</v>
      </c>
      <c r="P1063" s="55" t="s">
        <v>318</v>
      </c>
      <c r="Q1063" s="55" t="s">
        <v>57</v>
      </c>
      <c r="R1063" s="55"/>
      <c r="S1063" s="56" t="s">
        <v>81</v>
      </c>
      <c r="T1063" s="55" t="str">
        <f>IF(ISNUMBER(SEARCH(",",N1063)),"Y","N")</f>
        <v>N</v>
      </c>
      <c r="U1063" s="57">
        <v>220000</v>
      </c>
      <c r="V1063" s="57" t="s">
        <v>101</v>
      </c>
      <c r="W1063" s="55" t="s">
        <v>2319</v>
      </c>
      <c r="X1063" s="54" t="s">
        <v>5072</v>
      </c>
      <c r="Y1063" s="52"/>
      <c r="Z1063" s="1" t="s">
        <v>61</v>
      </c>
      <c r="AA1063" s="2" t="s">
        <v>2410</v>
      </c>
      <c r="AB1063" s="2"/>
      <c r="AC1063" s="2"/>
      <c r="AD1063" s="3" t="s">
        <v>62</v>
      </c>
      <c r="AE1063" s="2" t="s">
        <v>257</v>
      </c>
      <c r="AF1063" s="2"/>
      <c r="AG1063" s="3" t="s">
        <v>1328</v>
      </c>
      <c r="AH1063" s="58">
        <v>100</v>
      </c>
      <c r="AI1063" s="2"/>
      <c r="AJ1063" s="2"/>
      <c r="AK1063" s="2"/>
      <c r="AL1063" s="2"/>
      <c r="AM1063" s="2"/>
      <c r="AN1063" s="2"/>
      <c r="AO1063" s="2"/>
      <c r="AP1063" s="2"/>
      <c r="AQ1063" s="2"/>
      <c r="AR1063" s="2"/>
      <c r="AS1063" s="2"/>
      <c r="AT1063" s="2"/>
      <c r="AU1063" s="2"/>
      <c r="AV1063" s="2"/>
      <c r="AW1063" s="2"/>
      <c r="AX1063" s="2"/>
      <c r="AY1063" s="2"/>
      <c r="AZ1063" s="2" t="s">
        <v>3928</v>
      </c>
      <c r="BA1063" s="2" t="s">
        <v>3889</v>
      </c>
      <c r="BB1063" s="1"/>
      <c r="BC1063" s="1"/>
    </row>
    <row r="1064" spans="1:55" s="78" customFormat="1" ht="15" customHeight="1" x14ac:dyDescent="0.25">
      <c r="A1064" s="52" t="s">
        <v>5073</v>
      </c>
      <c r="B1064" s="34" t="s">
        <v>59</v>
      </c>
      <c r="C1064" s="53">
        <v>2026</v>
      </c>
      <c r="D1064" s="53">
        <v>2026</v>
      </c>
      <c r="E1064" s="54" t="s">
        <v>3657</v>
      </c>
      <c r="F1064" s="55" t="s">
        <v>50</v>
      </c>
      <c r="G1064" s="55" t="s">
        <v>50</v>
      </c>
      <c r="H1064" s="45" t="s">
        <v>2412</v>
      </c>
      <c r="I1064" s="56" t="s">
        <v>52</v>
      </c>
      <c r="J1064" s="56"/>
      <c r="K1064" s="56" t="s">
        <v>173</v>
      </c>
      <c r="L1064" s="55"/>
      <c r="M1064" s="55"/>
      <c r="N1064" s="56" t="s">
        <v>55</v>
      </c>
      <c r="O1064" s="56"/>
      <c r="P1064" s="55" t="s">
        <v>444</v>
      </c>
      <c r="Q1064" s="55" t="s">
        <v>57</v>
      </c>
      <c r="R1064" s="55"/>
      <c r="S1064" s="56" t="s">
        <v>81</v>
      </c>
      <c r="T1064" s="55" t="s">
        <v>81</v>
      </c>
      <c r="U1064" s="57">
        <v>20000</v>
      </c>
      <c r="V1064" s="57" t="s">
        <v>101</v>
      </c>
      <c r="W1064" s="55" t="s">
        <v>2319</v>
      </c>
      <c r="X1064" s="54" t="s">
        <v>5073</v>
      </c>
      <c r="Y1064" s="52"/>
      <c r="Z1064" s="1" t="s">
        <v>2005</v>
      </c>
      <c r="AA1064" s="1" t="s">
        <v>2413</v>
      </c>
      <c r="AB1064" s="1"/>
      <c r="AC1064" s="1"/>
      <c r="AD1064" s="3" t="s">
        <v>62</v>
      </c>
      <c r="AE1064" s="1" t="s">
        <v>131</v>
      </c>
      <c r="AF1064" s="1"/>
      <c r="AG1064" s="1" t="s">
        <v>177</v>
      </c>
      <c r="AH1064" s="2">
        <v>100</v>
      </c>
      <c r="AI1064" s="1"/>
      <c r="AJ1064" s="1"/>
      <c r="AK1064" s="1"/>
      <c r="AL1064" s="1"/>
      <c r="AM1064" s="1"/>
      <c r="AN1064" s="1"/>
      <c r="AO1064" s="1"/>
      <c r="AP1064" s="1"/>
      <c r="AQ1064" s="1"/>
      <c r="AR1064" s="1"/>
      <c r="AS1064" s="1"/>
      <c r="AT1064" s="1"/>
      <c r="AU1064" s="1"/>
      <c r="AV1064" s="1"/>
      <c r="AW1064" s="1"/>
      <c r="AX1064" s="1"/>
      <c r="AY1064" s="1"/>
      <c r="AZ1064" s="4" t="s">
        <v>2411</v>
      </c>
      <c r="BA1064" s="1"/>
      <c r="BB1064" s="1"/>
      <c r="BC1064" s="1"/>
    </row>
    <row r="1065" spans="1:55" s="78" customFormat="1" ht="15" customHeight="1" x14ac:dyDescent="0.25">
      <c r="A1065" s="52" t="s">
        <v>5074</v>
      </c>
      <c r="B1065" s="34" t="s">
        <v>59</v>
      </c>
      <c r="C1065" s="53">
        <v>2026</v>
      </c>
      <c r="D1065" s="53">
        <v>2026</v>
      </c>
      <c r="E1065" s="54" t="s">
        <v>3658</v>
      </c>
      <c r="F1065" s="55" t="s">
        <v>50</v>
      </c>
      <c r="G1065" s="55" t="s">
        <v>50</v>
      </c>
      <c r="H1065" s="45" t="s">
        <v>2415</v>
      </c>
      <c r="I1065" s="56" t="s">
        <v>52</v>
      </c>
      <c r="J1065" s="45" t="s">
        <v>65</v>
      </c>
      <c r="K1065" s="55" t="s">
        <v>68</v>
      </c>
      <c r="L1065" s="55" t="s">
        <v>54</v>
      </c>
      <c r="M1065" s="55" t="s">
        <v>113</v>
      </c>
      <c r="N1065" s="56" t="s">
        <v>55</v>
      </c>
      <c r="O1065" s="56"/>
      <c r="P1065" s="55" t="s">
        <v>69</v>
      </c>
      <c r="Q1065" s="55" t="s">
        <v>57</v>
      </c>
      <c r="R1065" s="55"/>
      <c r="S1065" s="56" t="s">
        <v>58</v>
      </c>
      <c r="T1065" s="55" t="str">
        <f>IF(ISNUMBER(SEARCH(",",N1065)),"Y","N")</f>
        <v>N</v>
      </c>
      <c r="U1065" s="57">
        <v>-999</v>
      </c>
      <c r="V1065" s="57" t="s">
        <v>59</v>
      </c>
      <c r="W1065" s="55" t="s">
        <v>2319</v>
      </c>
      <c r="X1065" s="54" t="s">
        <v>5074</v>
      </c>
      <c r="Y1065" s="52"/>
      <c r="Z1065" s="1" t="s">
        <v>61</v>
      </c>
      <c r="AA1065" s="1" t="s">
        <v>2416</v>
      </c>
      <c r="AB1065" s="1"/>
      <c r="AC1065" s="1"/>
      <c r="AD1065" s="3" t="s">
        <v>62</v>
      </c>
      <c r="AE1065" s="1" t="s">
        <v>353</v>
      </c>
      <c r="AF1065" s="1"/>
      <c r="AG1065" s="1" t="s">
        <v>2011</v>
      </c>
      <c r="AH1065" s="2">
        <v>100</v>
      </c>
      <c r="AI1065" s="1"/>
      <c r="AJ1065" s="1"/>
      <c r="AK1065" s="1"/>
      <c r="AL1065" s="1"/>
      <c r="AM1065" s="1"/>
      <c r="AN1065" s="1"/>
      <c r="AO1065" s="1"/>
      <c r="AP1065" s="1"/>
      <c r="AQ1065" s="1"/>
      <c r="AR1065" s="1"/>
      <c r="AS1065" s="1"/>
      <c r="AT1065" s="1"/>
      <c r="AU1065" s="1"/>
      <c r="AV1065" s="1"/>
      <c r="AW1065" s="1"/>
      <c r="AX1065" s="1"/>
      <c r="AY1065" s="1"/>
      <c r="AZ1065" s="4" t="s">
        <v>2414</v>
      </c>
      <c r="BA1065" s="4"/>
      <c r="BB1065" s="1"/>
      <c r="BC1065" s="1"/>
    </row>
    <row r="1066" spans="1:55" s="78" customFormat="1" ht="15" customHeight="1" x14ac:dyDescent="0.25">
      <c r="A1066" s="52" t="s">
        <v>5075</v>
      </c>
      <c r="B1066" s="34" t="s">
        <v>59</v>
      </c>
      <c r="C1066" s="53">
        <v>2026</v>
      </c>
      <c r="D1066" s="53">
        <v>2026</v>
      </c>
      <c r="E1066" s="54" t="s">
        <v>3658</v>
      </c>
      <c r="F1066" s="55" t="s">
        <v>50</v>
      </c>
      <c r="G1066" s="55" t="s">
        <v>50</v>
      </c>
      <c r="H1066" s="45" t="s">
        <v>2415</v>
      </c>
      <c r="I1066" s="56" t="s">
        <v>52</v>
      </c>
      <c r="J1066" s="45" t="s">
        <v>65</v>
      </c>
      <c r="K1066" s="55" t="s">
        <v>66</v>
      </c>
      <c r="L1066" s="55" t="s">
        <v>54</v>
      </c>
      <c r="M1066" s="55" t="s">
        <v>113</v>
      </c>
      <c r="N1066" s="56" t="s">
        <v>55</v>
      </c>
      <c r="O1066" s="56"/>
      <c r="P1066" s="56" t="s">
        <v>67</v>
      </c>
      <c r="Q1066" s="55" t="s">
        <v>57</v>
      </c>
      <c r="R1066" s="55"/>
      <c r="S1066" s="56" t="s">
        <v>58</v>
      </c>
      <c r="T1066" s="55" t="str">
        <f>IF(ISNUMBER(SEARCH(",",N1066)),"Y","N")</f>
        <v>N</v>
      </c>
      <c r="U1066" s="57">
        <v>-999</v>
      </c>
      <c r="V1066" s="57" t="s">
        <v>59</v>
      </c>
      <c r="W1066" s="55"/>
      <c r="X1066" s="54" t="s">
        <v>5075</v>
      </c>
      <c r="Y1066" s="52"/>
      <c r="Z1066" s="1" t="s">
        <v>61</v>
      </c>
      <c r="AA1066" s="1" t="s">
        <v>2416</v>
      </c>
      <c r="AB1066" s="1"/>
      <c r="AC1066" s="1"/>
      <c r="AD1066" s="3" t="s">
        <v>62</v>
      </c>
      <c r="AE1066" s="1" t="s">
        <v>353</v>
      </c>
      <c r="AF1066" s="1"/>
      <c r="AG1066" s="1" t="s">
        <v>2011</v>
      </c>
      <c r="AH1066" s="2">
        <v>100</v>
      </c>
      <c r="AI1066" s="1"/>
      <c r="AJ1066" s="1"/>
      <c r="AK1066" s="1"/>
      <c r="AL1066" s="1"/>
      <c r="AM1066" s="1"/>
      <c r="AN1066" s="1"/>
      <c r="AO1066" s="1"/>
      <c r="AP1066" s="1"/>
      <c r="AQ1066" s="1"/>
      <c r="AR1066" s="1"/>
      <c r="AS1066" s="1"/>
      <c r="AT1066" s="1"/>
      <c r="AU1066" s="1"/>
      <c r="AV1066" s="1"/>
      <c r="AW1066" s="1"/>
      <c r="AX1066" s="1"/>
      <c r="AY1066" s="1"/>
      <c r="AZ1066" s="4" t="s">
        <v>2414</v>
      </c>
      <c r="BA1066" s="4"/>
      <c r="BB1066" s="1"/>
      <c r="BC1066" s="1"/>
    </row>
    <row r="1067" spans="1:55" s="78" customFormat="1" ht="15" customHeight="1" x14ac:dyDescent="0.25">
      <c r="A1067" s="52" t="s">
        <v>5076</v>
      </c>
      <c r="B1067" s="34" t="s">
        <v>59</v>
      </c>
      <c r="C1067" s="53">
        <v>2026</v>
      </c>
      <c r="D1067" s="53">
        <v>2026</v>
      </c>
      <c r="E1067" s="54" t="s">
        <v>3659</v>
      </c>
      <c r="F1067" s="55" t="s">
        <v>50</v>
      </c>
      <c r="G1067" s="55" t="s">
        <v>50</v>
      </c>
      <c r="H1067" s="45" t="s">
        <v>2418</v>
      </c>
      <c r="I1067" s="45" t="s">
        <v>78</v>
      </c>
      <c r="J1067" s="45"/>
      <c r="K1067" s="55" t="s">
        <v>715</v>
      </c>
      <c r="L1067" s="55"/>
      <c r="M1067" s="55"/>
      <c r="N1067" s="55" t="s">
        <v>1289</v>
      </c>
      <c r="O1067" s="55"/>
      <c r="P1067" s="55" t="s">
        <v>716</v>
      </c>
      <c r="Q1067" s="55" t="s">
        <v>5353</v>
      </c>
      <c r="R1067" s="55"/>
      <c r="S1067" s="56" t="s">
        <v>58</v>
      </c>
      <c r="T1067" s="55" t="s">
        <v>81</v>
      </c>
      <c r="U1067" s="57">
        <v>109650</v>
      </c>
      <c r="V1067" s="57" t="s">
        <v>101</v>
      </c>
      <c r="W1067" s="55"/>
      <c r="X1067" s="54" t="s">
        <v>5076</v>
      </c>
      <c r="Y1067" s="52"/>
      <c r="Z1067" s="3" t="s">
        <v>154</v>
      </c>
      <c r="AA1067" s="3" t="s">
        <v>946</v>
      </c>
      <c r="AB1067" s="3"/>
      <c r="AC1067" s="3"/>
      <c r="AD1067" s="3" t="s">
        <v>62</v>
      </c>
      <c r="AE1067" s="3" t="s">
        <v>251</v>
      </c>
      <c r="AF1067" s="3"/>
      <c r="AG1067" s="3" t="s">
        <v>2419</v>
      </c>
      <c r="AH1067" s="58">
        <v>100</v>
      </c>
      <c r="AI1067" s="3"/>
      <c r="AJ1067" s="3"/>
      <c r="AK1067" s="3"/>
      <c r="AL1067" s="3"/>
      <c r="AM1067" s="3"/>
      <c r="AN1067" s="3"/>
      <c r="AO1067" s="3"/>
      <c r="AP1067" s="3"/>
      <c r="AQ1067" s="3"/>
      <c r="AR1067" s="3"/>
      <c r="AS1067" s="3"/>
      <c r="AT1067" s="3"/>
      <c r="AU1067" s="3"/>
      <c r="AV1067" s="3"/>
      <c r="AW1067" s="3"/>
      <c r="AX1067" s="3"/>
      <c r="AY1067" s="3"/>
      <c r="AZ1067" s="4" t="s">
        <v>2417</v>
      </c>
      <c r="BA1067" s="3"/>
      <c r="BB1067" s="1"/>
      <c r="BC1067" s="1"/>
    </row>
    <row r="1068" spans="1:55" s="78" customFormat="1" ht="15" customHeight="1" x14ac:dyDescent="0.25">
      <c r="A1068" s="52" t="s">
        <v>5077</v>
      </c>
      <c r="B1068" s="34" t="s">
        <v>59</v>
      </c>
      <c r="C1068" s="53">
        <v>2026</v>
      </c>
      <c r="D1068" s="53">
        <v>2026</v>
      </c>
      <c r="E1068" s="54" t="s">
        <v>3660</v>
      </c>
      <c r="F1068" s="55" t="s">
        <v>50</v>
      </c>
      <c r="G1068" s="55" t="s">
        <v>50</v>
      </c>
      <c r="H1068" s="45" t="s">
        <v>2420</v>
      </c>
      <c r="I1068" s="45" t="s">
        <v>52</v>
      </c>
      <c r="J1068" s="45"/>
      <c r="K1068" s="55" t="s">
        <v>715</v>
      </c>
      <c r="L1068" s="55"/>
      <c r="M1068" s="55"/>
      <c r="N1068" s="55" t="s">
        <v>358</v>
      </c>
      <c r="O1068" s="55" t="s">
        <v>1992</v>
      </c>
      <c r="P1068" s="55" t="s">
        <v>716</v>
      </c>
      <c r="Q1068" s="55" t="s">
        <v>5353</v>
      </c>
      <c r="R1068" s="55"/>
      <c r="S1068" s="56" t="s">
        <v>58</v>
      </c>
      <c r="T1068" s="55" t="s">
        <v>81</v>
      </c>
      <c r="U1068" s="57">
        <v>109650</v>
      </c>
      <c r="V1068" s="57" t="s">
        <v>101</v>
      </c>
      <c r="W1068" s="55"/>
      <c r="X1068" s="54" t="s">
        <v>5077</v>
      </c>
      <c r="Y1068" s="52"/>
      <c r="Z1068" s="3" t="s">
        <v>154</v>
      </c>
      <c r="AA1068" s="3" t="s">
        <v>946</v>
      </c>
      <c r="AB1068" s="3"/>
      <c r="AC1068" s="3"/>
      <c r="AD1068" s="3" t="s">
        <v>62</v>
      </c>
      <c r="AE1068" s="3" t="s">
        <v>251</v>
      </c>
      <c r="AF1068" s="3"/>
      <c r="AG1068" s="3" t="s">
        <v>2419</v>
      </c>
      <c r="AH1068" s="58">
        <v>100</v>
      </c>
      <c r="AI1068" s="3"/>
      <c r="AJ1068" s="3"/>
      <c r="AK1068" s="3"/>
      <c r="AL1068" s="3"/>
      <c r="AM1068" s="3"/>
      <c r="AN1068" s="3"/>
      <c r="AO1068" s="3"/>
      <c r="AP1068" s="3"/>
      <c r="AQ1068" s="3"/>
      <c r="AR1068" s="3"/>
      <c r="AS1068" s="3"/>
      <c r="AT1068" s="3"/>
      <c r="AU1068" s="3"/>
      <c r="AV1068" s="3"/>
      <c r="AW1068" s="3"/>
      <c r="AX1068" s="3"/>
      <c r="AY1068" s="3"/>
      <c r="AZ1068" s="4" t="s">
        <v>2417</v>
      </c>
      <c r="BA1068" s="3"/>
      <c r="BB1068" s="1"/>
      <c r="BC1068" s="1"/>
    </row>
    <row r="1069" spans="1:55" s="78" customFormat="1" ht="15" customHeight="1" x14ac:dyDescent="0.25">
      <c r="A1069" s="52" t="s">
        <v>5078</v>
      </c>
      <c r="B1069" s="34" t="s">
        <v>59</v>
      </c>
      <c r="C1069" s="53">
        <v>2026</v>
      </c>
      <c r="D1069" s="53">
        <v>2026</v>
      </c>
      <c r="E1069" s="54" t="s">
        <v>3661</v>
      </c>
      <c r="F1069" s="55" t="s">
        <v>50</v>
      </c>
      <c r="G1069" s="55" t="s">
        <v>50</v>
      </c>
      <c r="H1069" s="45" t="s">
        <v>3018</v>
      </c>
      <c r="I1069" s="45" t="s">
        <v>78</v>
      </c>
      <c r="J1069" s="45"/>
      <c r="K1069" s="55" t="s">
        <v>74</v>
      </c>
      <c r="L1069" s="55"/>
      <c r="M1069" s="55"/>
      <c r="N1069" s="55" t="s">
        <v>181</v>
      </c>
      <c r="O1069" s="55"/>
      <c r="P1069" s="55" t="s">
        <v>75</v>
      </c>
      <c r="Q1069" s="55" t="s">
        <v>57</v>
      </c>
      <c r="R1069" s="55"/>
      <c r="S1069" s="56" t="s">
        <v>81</v>
      </c>
      <c r="T1069" s="55" t="s">
        <v>81</v>
      </c>
      <c r="U1069" s="57">
        <v>52.078000000000003</v>
      </c>
      <c r="V1069" s="57" t="s">
        <v>101</v>
      </c>
      <c r="W1069" s="55"/>
      <c r="X1069" s="54" t="s">
        <v>5078</v>
      </c>
      <c r="Y1069" s="52"/>
      <c r="Z1069" s="3" t="s">
        <v>2005</v>
      </c>
      <c r="AA1069" s="3" t="s">
        <v>2422</v>
      </c>
      <c r="AB1069" s="3"/>
      <c r="AC1069" s="3"/>
      <c r="AD1069" s="3" t="s">
        <v>62</v>
      </c>
      <c r="AE1069" s="3" t="s">
        <v>184</v>
      </c>
      <c r="AF1069" s="3"/>
      <c r="AG1069" s="3" t="s">
        <v>2281</v>
      </c>
      <c r="AH1069" s="58">
        <v>100</v>
      </c>
      <c r="AI1069" s="3"/>
      <c r="AJ1069" s="3"/>
      <c r="AK1069" s="3"/>
      <c r="AL1069" s="3"/>
      <c r="AM1069" s="3"/>
      <c r="AN1069" s="3"/>
      <c r="AO1069" s="3"/>
      <c r="AP1069" s="3"/>
      <c r="AQ1069" s="3"/>
      <c r="AR1069" s="3"/>
      <c r="AS1069" s="3"/>
      <c r="AT1069" s="3"/>
      <c r="AU1069" s="3"/>
      <c r="AV1069" s="3"/>
      <c r="AW1069" s="3"/>
      <c r="AX1069" s="3"/>
      <c r="AY1069" s="3"/>
      <c r="AZ1069" s="4" t="s">
        <v>2421</v>
      </c>
      <c r="BA1069" s="3"/>
      <c r="BB1069" s="1"/>
      <c r="BC1069" s="1"/>
    </row>
    <row r="1070" spans="1:55" s="78" customFormat="1" ht="15" customHeight="1" x14ac:dyDescent="0.25">
      <c r="A1070" s="52" t="s">
        <v>5079</v>
      </c>
      <c r="B1070" s="34" t="s">
        <v>59</v>
      </c>
      <c r="C1070" s="53">
        <v>2026</v>
      </c>
      <c r="D1070" s="53">
        <v>2026</v>
      </c>
      <c r="E1070" s="54" t="s">
        <v>3662</v>
      </c>
      <c r="F1070" s="55" t="s">
        <v>50</v>
      </c>
      <c r="G1070" s="55" t="s">
        <v>50</v>
      </c>
      <c r="H1070" s="45" t="s">
        <v>3017</v>
      </c>
      <c r="I1070" s="56" t="s">
        <v>52</v>
      </c>
      <c r="J1070" s="56"/>
      <c r="K1070" s="55" t="s">
        <v>74</v>
      </c>
      <c r="L1070" s="55" t="str">
        <f>IF(K1070="Mines and Quarries","Mine","")</f>
        <v/>
      </c>
      <c r="M1070" s="55"/>
      <c r="N1070" s="55" t="s">
        <v>110</v>
      </c>
      <c r="O1070" s="56" t="s">
        <v>296</v>
      </c>
      <c r="P1070" s="55" t="s">
        <v>75</v>
      </c>
      <c r="Q1070" s="56" t="s">
        <v>57</v>
      </c>
      <c r="R1070" s="55"/>
      <c r="S1070" s="56" t="s">
        <v>81</v>
      </c>
      <c r="T1070" s="55" t="str">
        <f>IF(ISNUMBER(SEARCH(",",N1070)),"Y","N")</f>
        <v>N</v>
      </c>
      <c r="U1070" s="57">
        <v>52.078000000000003</v>
      </c>
      <c r="V1070" s="57" t="s">
        <v>101</v>
      </c>
      <c r="W1070" s="55"/>
      <c r="X1070" s="54" t="s">
        <v>5079</v>
      </c>
      <c r="Y1070" s="52"/>
      <c r="Z1070" s="3" t="s">
        <v>2005</v>
      </c>
      <c r="AA1070" s="3" t="s">
        <v>2422</v>
      </c>
      <c r="AB1070" s="3"/>
      <c r="AC1070" s="3"/>
      <c r="AD1070" s="3" t="s">
        <v>62</v>
      </c>
      <c r="AE1070" s="3" t="s">
        <v>184</v>
      </c>
      <c r="AF1070" s="3"/>
      <c r="AG1070" s="3" t="s">
        <v>2281</v>
      </c>
      <c r="AH1070" s="58">
        <v>100</v>
      </c>
      <c r="AI1070" s="1"/>
      <c r="AJ1070" s="3"/>
      <c r="AK1070" s="3"/>
      <c r="AL1070" s="3"/>
      <c r="AM1070" s="3"/>
      <c r="AN1070" s="3"/>
      <c r="AO1070" s="3"/>
      <c r="AP1070" s="3"/>
      <c r="AQ1070" s="3"/>
      <c r="AR1070" s="3"/>
      <c r="AS1070" s="3"/>
      <c r="AT1070" s="3"/>
      <c r="AU1070" s="3"/>
      <c r="AV1070" s="3"/>
      <c r="AW1070" s="3"/>
      <c r="AX1070" s="3"/>
      <c r="AY1070" s="3"/>
      <c r="AZ1070" s="4" t="s">
        <v>2421</v>
      </c>
      <c r="BA1070" s="3"/>
      <c r="BB1070" s="1"/>
      <c r="BC1070" s="1"/>
    </row>
    <row r="1071" spans="1:55" s="78" customFormat="1" ht="15" customHeight="1" x14ac:dyDescent="0.25">
      <c r="A1071" s="52" t="s">
        <v>5080</v>
      </c>
      <c r="B1071" s="34" t="s">
        <v>59</v>
      </c>
      <c r="C1071" s="53">
        <v>2026</v>
      </c>
      <c r="D1071" s="53">
        <v>2026</v>
      </c>
      <c r="E1071" s="54" t="s">
        <v>3663</v>
      </c>
      <c r="F1071" s="55" t="s">
        <v>50</v>
      </c>
      <c r="G1071" s="55" t="s">
        <v>50</v>
      </c>
      <c r="H1071" s="45" t="s">
        <v>2424</v>
      </c>
      <c r="I1071" s="45" t="s">
        <v>52</v>
      </c>
      <c r="J1071" s="56"/>
      <c r="K1071" s="55" t="s">
        <v>53</v>
      </c>
      <c r="L1071" s="55" t="s">
        <v>317</v>
      </c>
      <c r="M1071" s="55"/>
      <c r="N1071" s="55" t="s">
        <v>276</v>
      </c>
      <c r="O1071" s="55"/>
      <c r="P1071" s="55" t="s">
        <v>56</v>
      </c>
      <c r="Q1071" s="55" t="s">
        <v>57</v>
      </c>
      <c r="R1071" s="55"/>
      <c r="S1071" s="56" t="s">
        <v>81</v>
      </c>
      <c r="T1071" s="55" t="str">
        <f>IF(ISNUMBER(SEARCH(",",N1071)),"Y","N")</f>
        <v>N</v>
      </c>
      <c r="U1071" s="57">
        <v>50000</v>
      </c>
      <c r="V1071" s="57" t="s">
        <v>101</v>
      </c>
      <c r="W1071" s="55" t="s">
        <v>2319</v>
      </c>
      <c r="X1071" s="54" t="s">
        <v>5080</v>
      </c>
      <c r="Y1071" s="52"/>
      <c r="Z1071" s="3" t="s">
        <v>61</v>
      </c>
      <c r="AA1071" s="3" t="s">
        <v>2425</v>
      </c>
      <c r="AB1071" s="3"/>
      <c r="AC1071" s="3"/>
      <c r="AD1071" s="3" t="s">
        <v>62</v>
      </c>
      <c r="AE1071" s="3" t="s">
        <v>288</v>
      </c>
      <c r="AF1071" s="3"/>
      <c r="AG1071" s="3" t="s">
        <v>2426</v>
      </c>
      <c r="AH1071" s="58">
        <v>100</v>
      </c>
      <c r="AI1071" s="3"/>
      <c r="AJ1071" s="3"/>
      <c r="AK1071" s="3"/>
      <c r="AL1071" s="3"/>
      <c r="AM1071" s="3"/>
      <c r="AN1071" s="3"/>
      <c r="AO1071" s="3"/>
      <c r="AP1071" s="3"/>
      <c r="AQ1071" s="3"/>
      <c r="AR1071" s="3"/>
      <c r="AS1071" s="3"/>
      <c r="AT1071" s="3"/>
      <c r="AU1071" s="3"/>
      <c r="AV1071" s="3"/>
      <c r="AW1071" s="3"/>
      <c r="AX1071" s="3"/>
      <c r="AY1071" s="3"/>
      <c r="AZ1071" s="4" t="s">
        <v>2423</v>
      </c>
      <c r="BA1071" s="3"/>
      <c r="BB1071" s="1"/>
      <c r="BC1071" s="1"/>
    </row>
    <row r="1072" spans="1:55" s="78" customFormat="1" ht="15" customHeight="1" x14ac:dyDescent="0.25">
      <c r="A1072" s="52" t="s">
        <v>5081</v>
      </c>
      <c r="B1072" s="34" t="s">
        <v>59</v>
      </c>
      <c r="C1072" s="53">
        <v>2026</v>
      </c>
      <c r="D1072" s="53">
        <v>2026</v>
      </c>
      <c r="E1072" s="54" t="s">
        <v>3664</v>
      </c>
      <c r="F1072" s="55" t="s">
        <v>50</v>
      </c>
      <c r="G1072" s="55" t="s">
        <v>50</v>
      </c>
      <c r="H1072" s="45" t="s">
        <v>2427</v>
      </c>
      <c r="I1072" s="56" t="s">
        <v>52</v>
      </c>
      <c r="J1072" s="56"/>
      <c r="K1072" s="56" t="s">
        <v>1019</v>
      </c>
      <c r="L1072" s="55" t="str">
        <f>IF(K1072="Mine or Quarry","Mine","")</f>
        <v/>
      </c>
      <c r="M1072" s="55"/>
      <c r="N1072" s="56"/>
      <c r="O1072" s="56" t="s">
        <v>1470</v>
      </c>
      <c r="P1072" s="56" t="s">
        <v>89</v>
      </c>
      <c r="Q1072" s="56" t="s">
        <v>89</v>
      </c>
      <c r="R1072" s="55"/>
      <c r="S1072" s="56" t="s">
        <v>81</v>
      </c>
      <c r="T1072" s="55" t="s">
        <v>81</v>
      </c>
      <c r="U1072" s="57">
        <v>-999</v>
      </c>
      <c r="V1072" s="57" t="s">
        <v>59</v>
      </c>
      <c r="W1072" s="55" t="s">
        <v>2319</v>
      </c>
      <c r="X1072" s="54" t="s">
        <v>5081</v>
      </c>
      <c r="Y1072" s="52"/>
      <c r="Z1072" s="1" t="s">
        <v>61</v>
      </c>
      <c r="AA1072" s="1" t="s">
        <v>2428</v>
      </c>
      <c r="AB1072" s="1"/>
      <c r="AC1072" s="1"/>
      <c r="AD1072" s="3" t="s">
        <v>62</v>
      </c>
      <c r="AE1072" s="1" t="s">
        <v>184</v>
      </c>
      <c r="AF1072" s="1" t="s">
        <v>1889</v>
      </c>
      <c r="AG1072" s="1" t="s">
        <v>1543</v>
      </c>
      <c r="AH1072" s="2">
        <v>100</v>
      </c>
      <c r="AI1072" s="1"/>
      <c r="AJ1072" s="1"/>
      <c r="AK1072" s="1"/>
      <c r="AL1072" s="1"/>
      <c r="AM1072" s="1"/>
      <c r="AN1072" s="1"/>
      <c r="AO1072" s="1"/>
      <c r="AP1072" s="1"/>
      <c r="AQ1072" s="1"/>
      <c r="AR1072" s="1"/>
      <c r="AS1072" s="1"/>
      <c r="AT1072" s="1"/>
      <c r="AU1072" s="1"/>
      <c r="AV1072" s="1"/>
      <c r="AW1072" s="1"/>
      <c r="AX1072" s="1"/>
      <c r="AY1072" s="1"/>
      <c r="AZ1072" s="4" t="s">
        <v>1017</v>
      </c>
      <c r="BA1072" s="1"/>
      <c r="BB1072" s="1"/>
      <c r="BC1072" s="1"/>
    </row>
    <row r="1073" spans="1:55" s="78" customFormat="1" ht="15" customHeight="1" x14ac:dyDescent="0.25">
      <c r="A1073" s="52" t="s">
        <v>5082</v>
      </c>
      <c r="B1073" s="34" t="s">
        <v>59</v>
      </c>
      <c r="C1073" s="53">
        <v>2026</v>
      </c>
      <c r="D1073" s="53">
        <v>2026</v>
      </c>
      <c r="E1073" s="54" t="s">
        <v>3665</v>
      </c>
      <c r="F1073" s="55" t="s">
        <v>50</v>
      </c>
      <c r="G1073" s="55" t="s">
        <v>50</v>
      </c>
      <c r="H1073" s="45" t="s">
        <v>2430</v>
      </c>
      <c r="I1073" s="61" t="s">
        <v>78</v>
      </c>
      <c r="J1073" s="56"/>
      <c r="K1073" s="45" t="s">
        <v>180</v>
      </c>
      <c r="L1073" s="55" t="str">
        <f>IF(K1073="Mine or Quarry","Mine","")</f>
        <v/>
      </c>
      <c r="M1073" s="55"/>
      <c r="N1073" s="55" t="s">
        <v>181</v>
      </c>
      <c r="O1073" s="55" t="s">
        <v>629</v>
      </c>
      <c r="P1073" s="55" t="s">
        <v>182</v>
      </c>
      <c r="Q1073" s="55" t="s">
        <v>5353</v>
      </c>
      <c r="R1073" s="55"/>
      <c r="S1073" s="56" t="s">
        <v>81</v>
      </c>
      <c r="T1073" s="55" t="str">
        <f>IF(ISNUMBER(SEARCH(",",N1073)),"Y","N")</f>
        <v>N</v>
      </c>
      <c r="U1073" s="57">
        <v>-999</v>
      </c>
      <c r="V1073" s="57" t="s">
        <v>59</v>
      </c>
      <c r="W1073" s="55"/>
      <c r="X1073" s="54" t="s">
        <v>5082</v>
      </c>
      <c r="Y1073" s="53"/>
      <c r="Z1073" s="3" t="s">
        <v>154</v>
      </c>
      <c r="AA1073" s="3" t="s">
        <v>1927</v>
      </c>
      <c r="AB1073" s="3"/>
      <c r="AC1073" s="3"/>
      <c r="AD1073" s="3" t="s">
        <v>62</v>
      </c>
      <c r="AE1073" s="3" t="s">
        <v>387</v>
      </c>
      <c r="AF1073" s="3"/>
      <c r="AG1073" s="3" t="s">
        <v>1646</v>
      </c>
      <c r="AH1073" s="58">
        <v>100</v>
      </c>
      <c r="AI1073" s="3"/>
      <c r="AJ1073" s="53"/>
      <c r="AK1073" s="3"/>
      <c r="AL1073" s="3"/>
      <c r="AM1073" s="3"/>
      <c r="AN1073" s="3"/>
      <c r="AO1073" s="3"/>
      <c r="AP1073" s="3"/>
      <c r="AQ1073" s="3"/>
      <c r="AR1073" s="3"/>
      <c r="AS1073" s="3"/>
      <c r="AT1073" s="3"/>
      <c r="AU1073" s="3"/>
      <c r="AV1073" s="3"/>
      <c r="AW1073" s="3"/>
      <c r="AX1073" s="3"/>
      <c r="AY1073" s="3"/>
      <c r="AZ1073" s="4" t="s">
        <v>2429</v>
      </c>
      <c r="BA1073" s="3"/>
      <c r="BB1073" s="1"/>
      <c r="BC1073" s="1"/>
    </row>
    <row r="1074" spans="1:55" s="78" customFormat="1" ht="15" customHeight="1" x14ac:dyDescent="0.25">
      <c r="A1074" s="52" t="s">
        <v>5083</v>
      </c>
      <c r="B1074" s="34" t="s">
        <v>59</v>
      </c>
      <c r="C1074" s="53">
        <v>2026</v>
      </c>
      <c r="D1074" s="53">
        <v>2026</v>
      </c>
      <c r="E1074" s="54" t="s">
        <v>3666</v>
      </c>
      <c r="F1074" s="55" t="s">
        <v>50</v>
      </c>
      <c r="G1074" s="55" t="s">
        <v>50</v>
      </c>
      <c r="H1074" s="45" t="s">
        <v>2431</v>
      </c>
      <c r="I1074" s="56" t="s">
        <v>78</v>
      </c>
      <c r="J1074" s="56"/>
      <c r="K1074" s="56" t="s">
        <v>79</v>
      </c>
      <c r="L1074" s="55" t="str">
        <f>IF(K1074="Mine or Quarry","Mine","")</f>
        <v/>
      </c>
      <c r="M1074" s="55"/>
      <c r="N1074" s="56" t="s">
        <v>80</v>
      </c>
      <c r="O1074" s="56"/>
      <c r="P1074" s="56" t="s">
        <v>89</v>
      </c>
      <c r="Q1074" s="56" t="s">
        <v>89</v>
      </c>
      <c r="R1074" s="55"/>
      <c r="S1074" s="56" t="s">
        <v>81</v>
      </c>
      <c r="T1074" s="55" t="str">
        <f>IF(ISNUMBER(SEARCH(",",N1074)),"Y","N")</f>
        <v>N</v>
      </c>
      <c r="U1074" s="57">
        <v>-999</v>
      </c>
      <c r="V1074" s="57" t="s">
        <v>59</v>
      </c>
      <c r="W1074" s="55" t="s">
        <v>2319</v>
      </c>
      <c r="X1074" s="54" t="s">
        <v>5083</v>
      </c>
      <c r="Y1074" s="52"/>
      <c r="Z1074" s="1" t="s">
        <v>61</v>
      </c>
      <c r="AA1074" s="1" t="s">
        <v>2432</v>
      </c>
      <c r="AB1074" s="1"/>
      <c r="AC1074" s="1"/>
      <c r="AD1074" s="3" t="s">
        <v>62</v>
      </c>
      <c r="AE1074" s="1" t="s">
        <v>221</v>
      </c>
      <c r="AF1074" s="1" t="s">
        <v>307</v>
      </c>
      <c r="AG1074" s="1" t="s">
        <v>308</v>
      </c>
      <c r="AH1074" s="1"/>
      <c r="AI1074" s="1"/>
      <c r="AJ1074" s="1"/>
      <c r="AK1074" s="1"/>
      <c r="AL1074" s="1"/>
      <c r="AM1074" s="1"/>
      <c r="AN1074" s="1"/>
      <c r="AO1074" s="1"/>
      <c r="AP1074" s="1"/>
      <c r="AQ1074" s="1"/>
      <c r="AR1074" s="1"/>
      <c r="AS1074" s="1"/>
      <c r="AT1074" s="1"/>
      <c r="AU1074" s="1"/>
      <c r="AV1074" s="1"/>
      <c r="AW1074" s="1"/>
      <c r="AX1074" s="1"/>
      <c r="AY1074" s="1"/>
      <c r="AZ1074" s="5" t="s">
        <v>2104</v>
      </c>
      <c r="BA1074" s="5"/>
      <c r="BB1074" s="1"/>
      <c r="BC1074" s="1"/>
    </row>
    <row r="1075" spans="1:55" s="78" customFormat="1" ht="15" customHeight="1" x14ac:dyDescent="0.25">
      <c r="A1075" s="52" t="s">
        <v>5084</v>
      </c>
      <c r="B1075" s="34" t="s">
        <v>59</v>
      </c>
      <c r="C1075" s="53">
        <v>2026</v>
      </c>
      <c r="D1075" s="53">
        <v>2026</v>
      </c>
      <c r="E1075" s="54" t="s">
        <v>3667</v>
      </c>
      <c r="F1075" s="55" t="s">
        <v>50</v>
      </c>
      <c r="G1075" s="55" t="s">
        <v>50</v>
      </c>
      <c r="H1075" s="45" t="s">
        <v>2433</v>
      </c>
      <c r="I1075" s="56" t="s">
        <v>52</v>
      </c>
      <c r="J1075" s="56"/>
      <c r="K1075" s="56" t="s">
        <v>392</v>
      </c>
      <c r="L1075" s="55"/>
      <c r="M1075" s="55"/>
      <c r="N1075" s="56"/>
      <c r="O1075" s="56"/>
      <c r="P1075" s="55" t="s">
        <v>394</v>
      </c>
      <c r="Q1075" s="55" t="s">
        <v>57</v>
      </c>
      <c r="R1075" s="55"/>
      <c r="S1075" s="56" t="s">
        <v>58</v>
      </c>
      <c r="T1075" s="55" t="s">
        <v>81</v>
      </c>
      <c r="U1075" s="57">
        <v>-999</v>
      </c>
      <c r="V1075" s="57" t="s">
        <v>59</v>
      </c>
      <c r="W1075" s="55" t="s">
        <v>2319</v>
      </c>
      <c r="X1075" s="54" t="s">
        <v>5084</v>
      </c>
      <c r="Y1075" s="52"/>
      <c r="Z1075" s="3" t="s">
        <v>2005</v>
      </c>
      <c r="AA1075" s="1" t="s">
        <v>2434</v>
      </c>
      <c r="AB1075" s="1"/>
      <c r="AC1075" s="1"/>
      <c r="AD1075" s="3" t="s">
        <v>62</v>
      </c>
      <c r="AE1075" s="3" t="s">
        <v>251</v>
      </c>
      <c r="AF1075" s="3"/>
      <c r="AG1075" s="3" t="s">
        <v>2435</v>
      </c>
      <c r="AH1075" s="58">
        <v>100</v>
      </c>
      <c r="AI1075" s="1"/>
      <c r="AJ1075" s="60"/>
      <c r="AK1075" s="1"/>
      <c r="AL1075" s="1"/>
      <c r="AM1075" s="1"/>
      <c r="AN1075" s="1"/>
      <c r="AO1075" s="1"/>
      <c r="AP1075" s="1"/>
      <c r="AQ1075" s="1"/>
      <c r="AR1075" s="1"/>
      <c r="AS1075" s="1"/>
      <c r="AT1075" s="1"/>
      <c r="AU1075" s="1"/>
      <c r="AV1075" s="1"/>
      <c r="AW1075" s="1"/>
      <c r="AX1075" s="1"/>
      <c r="AY1075" s="1"/>
      <c r="AZ1075" s="4" t="s">
        <v>3929</v>
      </c>
      <c r="BA1075" s="1" t="s">
        <v>3930</v>
      </c>
      <c r="BB1075" s="1"/>
      <c r="BC1075" s="1"/>
    </row>
    <row r="1076" spans="1:55" s="78" customFormat="1" ht="15" customHeight="1" x14ac:dyDescent="0.25">
      <c r="A1076" s="52" t="s">
        <v>5085</v>
      </c>
      <c r="B1076" s="34" t="s">
        <v>59</v>
      </c>
      <c r="C1076" s="53">
        <v>2026</v>
      </c>
      <c r="D1076" s="53">
        <v>2026</v>
      </c>
      <c r="E1076" s="54" t="s">
        <v>3667</v>
      </c>
      <c r="F1076" s="55" t="s">
        <v>50</v>
      </c>
      <c r="G1076" s="55" t="s">
        <v>50</v>
      </c>
      <c r="H1076" s="45" t="s">
        <v>2433</v>
      </c>
      <c r="I1076" s="56" t="s">
        <v>52</v>
      </c>
      <c r="J1076" s="56"/>
      <c r="K1076" s="56" t="s">
        <v>180</v>
      </c>
      <c r="L1076" s="55"/>
      <c r="M1076" s="55"/>
      <c r="N1076" s="56" t="s">
        <v>110</v>
      </c>
      <c r="O1076" s="55" t="s">
        <v>188</v>
      </c>
      <c r="P1076" s="55" t="s">
        <v>182</v>
      </c>
      <c r="Q1076" s="55" t="s">
        <v>5353</v>
      </c>
      <c r="R1076" s="55"/>
      <c r="S1076" s="56" t="s">
        <v>58</v>
      </c>
      <c r="T1076" s="55" t="s">
        <v>81</v>
      </c>
      <c r="U1076" s="57">
        <v>1360</v>
      </c>
      <c r="V1076" s="57" t="s">
        <v>101</v>
      </c>
      <c r="W1076" s="55" t="s">
        <v>2319</v>
      </c>
      <c r="X1076" s="54" t="s">
        <v>5085</v>
      </c>
      <c r="Y1076" s="52"/>
      <c r="Z1076" s="3" t="s">
        <v>2005</v>
      </c>
      <c r="AA1076" s="1" t="s">
        <v>2434</v>
      </c>
      <c r="AB1076" s="1"/>
      <c r="AC1076" s="1"/>
      <c r="AD1076" s="3" t="s">
        <v>62</v>
      </c>
      <c r="AE1076" s="3" t="s">
        <v>251</v>
      </c>
      <c r="AF1076" s="3"/>
      <c r="AG1076" s="3" t="s">
        <v>2435</v>
      </c>
      <c r="AH1076" s="58">
        <v>100</v>
      </c>
      <c r="AI1076" s="1"/>
      <c r="AJ1076" s="60"/>
      <c r="AK1076" s="1"/>
      <c r="AL1076" s="1"/>
      <c r="AM1076" s="1"/>
      <c r="AN1076" s="1"/>
      <c r="AO1076" s="1"/>
      <c r="AP1076" s="1"/>
      <c r="AQ1076" s="1"/>
      <c r="AR1076" s="1"/>
      <c r="AS1076" s="1"/>
      <c r="AT1076" s="1"/>
      <c r="AU1076" s="1"/>
      <c r="AV1076" s="1"/>
      <c r="AW1076" s="1"/>
      <c r="AX1076" s="1"/>
      <c r="AY1076" s="1"/>
      <c r="AZ1076" s="4" t="s">
        <v>3929</v>
      </c>
      <c r="BA1076" s="1" t="s">
        <v>3930</v>
      </c>
      <c r="BB1076" s="1"/>
      <c r="BC1076" s="1"/>
    </row>
    <row r="1077" spans="1:55" s="78" customFormat="1" ht="15" customHeight="1" x14ac:dyDescent="0.25">
      <c r="A1077" s="52" t="s">
        <v>5086</v>
      </c>
      <c r="B1077" s="34" t="s">
        <v>59</v>
      </c>
      <c r="C1077" s="53">
        <v>2026</v>
      </c>
      <c r="D1077" s="53">
        <v>2026</v>
      </c>
      <c r="E1077" s="54" t="s">
        <v>3668</v>
      </c>
      <c r="F1077" s="55" t="s">
        <v>50</v>
      </c>
      <c r="G1077" s="55" t="s">
        <v>50</v>
      </c>
      <c r="H1077" s="45" t="s">
        <v>2437</v>
      </c>
      <c r="I1077" s="45" t="s">
        <v>52</v>
      </c>
      <c r="J1077" s="56"/>
      <c r="K1077" s="55" t="s">
        <v>210</v>
      </c>
      <c r="L1077" s="55" t="s">
        <v>54</v>
      </c>
      <c r="M1077" s="55" t="s">
        <v>211</v>
      </c>
      <c r="N1077" s="55" t="s">
        <v>212</v>
      </c>
      <c r="O1077" s="55"/>
      <c r="P1077" s="55" t="s">
        <v>89</v>
      </c>
      <c r="Q1077" s="55" t="s">
        <v>89</v>
      </c>
      <c r="R1077" s="55"/>
      <c r="S1077" s="56" t="s">
        <v>81</v>
      </c>
      <c r="T1077" s="55" t="s">
        <v>81</v>
      </c>
      <c r="U1077" s="57">
        <v>195000</v>
      </c>
      <c r="V1077" s="57" t="s">
        <v>101</v>
      </c>
      <c r="W1077" s="55" t="s">
        <v>2319</v>
      </c>
      <c r="X1077" s="54" t="s">
        <v>5086</v>
      </c>
      <c r="Y1077" s="52"/>
      <c r="Z1077" s="3" t="s">
        <v>61</v>
      </c>
      <c r="AA1077" s="1" t="s">
        <v>2438</v>
      </c>
      <c r="AB1077" s="1"/>
      <c r="AC1077" s="1"/>
      <c r="AD1077" s="3" t="s">
        <v>62</v>
      </c>
      <c r="AE1077" s="3" t="s">
        <v>206</v>
      </c>
      <c r="AF1077" s="3"/>
      <c r="AG1077" s="1" t="s">
        <v>215</v>
      </c>
      <c r="AH1077" s="2">
        <v>100</v>
      </c>
      <c r="AI1077" s="1"/>
      <c r="AJ1077" s="2"/>
      <c r="AK1077" s="3"/>
      <c r="AL1077" s="3"/>
      <c r="AM1077" s="3"/>
      <c r="AN1077" s="3"/>
      <c r="AO1077" s="3"/>
      <c r="AP1077" s="3"/>
      <c r="AQ1077" s="3"/>
      <c r="AR1077" s="3"/>
      <c r="AS1077" s="3"/>
      <c r="AT1077" s="3"/>
      <c r="AU1077" s="3"/>
      <c r="AV1077" s="3"/>
      <c r="AW1077" s="3"/>
      <c r="AX1077" s="3"/>
      <c r="AY1077" s="3"/>
      <c r="AZ1077" s="4" t="s">
        <v>2436</v>
      </c>
      <c r="BA1077" s="3"/>
      <c r="BB1077" s="1"/>
      <c r="BC1077" s="1"/>
    </row>
    <row r="1078" spans="1:55" s="78" customFormat="1" ht="15" customHeight="1" x14ac:dyDescent="0.25">
      <c r="A1078" s="52" t="s">
        <v>5087</v>
      </c>
      <c r="B1078" s="34" t="s">
        <v>59</v>
      </c>
      <c r="C1078" s="53">
        <v>2026</v>
      </c>
      <c r="D1078" s="53">
        <v>2026</v>
      </c>
      <c r="E1078" s="54" t="s">
        <v>3669</v>
      </c>
      <c r="F1078" s="55" t="s">
        <v>50</v>
      </c>
      <c r="G1078" s="55" t="s">
        <v>50</v>
      </c>
      <c r="H1078" s="45" t="s">
        <v>2439</v>
      </c>
      <c r="I1078" s="56" t="s">
        <v>78</v>
      </c>
      <c r="J1078" s="56"/>
      <c r="K1078" s="56" t="s">
        <v>53</v>
      </c>
      <c r="L1078" s="55" t="s">
        <v>88</v>
      </c>
      <c r="M1078" s="55"/>
      <c r="N1078" s="56" t="s">
        <v>5386</v>
      </c>
      <c r="O1078" s="55"/>
      <c r="P1078" s="55" t="s">
        <v>56</v>
      </c>
      <c r="Q1078" s="55" t="s">
        <v>57</v>
      </c>
      <c r="R1078" s="55"/>
      <c r="S1078" s="56" t="s">
        <v>58</v>
      </c>
      <c r="T1078" s="55" t="str">
        <f>IF(ISNUMBER(SEARCH(",",N1078)),"Y","N")</f>
        <v>N</v>
      </c>
      <c r="U1078" s="57">
        <v>140000</v>
      </c>
      <c r="V1078" s="57" t="s">
        <v>101</v>
      </c>
      <c r="W1078" s="55"/>
      <c r="X1078" s="54" t="s">
        <v>5087</v>
      </c>
      <c r="Y1078" s="52"/>
      <c r="Z1078" s="1" t="s">
        <v>61</v>
      </c>
      <c r="AA1078" s="3" t="s">
        <v>107</v>
      </c>
      <c r="AB1078" s="3"/>
      <c r="AC1078" s="3"/>
      <c r="AD1078" s="3" t="s">
        <v>62</v>
      </c>
      <c r="AE1078" s="1" t="s">
        <v>108</v>
      </c>
      <c r="AF1078" s="1"/>
      <c r="AG1078" s="1" t="s">
        <v>109</v>
      </c>
      <c r="AH1078" s="2">
        <v>100</v>
      </c>
      <c r="AI1078" s="3"/>
      <c r="AJ1078" s="3"/>
      <c r="AK1078" s="3"/>
      <c r="AL1078" s="3"/>
      <c r="AM1078" s="3"/>
      <c r="AN1078" s="3"/>
      <c r="AO1078" s="3"/>
      <c r="AP1078" s="3"/>
      <c r="AQ1078" s="3"/>
      <c r="AR1078" s="3"/>
      <c r="AS1078" s="3"/>
      <c r="AT1078" s="3"/>
      <c r="AU1078" s="3"/>
      <c r="AV1078" s="3"/>
      <c r="AW1078" s="3"/>
      <c r="AX1078" s="3"/>
      <c r="AY1078" s="3"/>
      <c r="AZ1078" s="4" t="s">
        <v>799</v>
      </c>
      <c r="BA1078" s="3"/>
      <c r="BB1078" s="1"/>
      <c r="BC1078" s="1"/>
    </row>
    <row r="1079" spans="1:55" s="78" customFormat="1" ht="15" customHeight="1" x14ac:dyDescent="0.25">
      <c r="A1079" s="52" t="s">
        <v>5088</v>
      </c>
      <c r="B1079" s="34" t="s">
        <v>59</v>
      </c>
      <c r="C1079" s="53">
        <v>2026</v>
      </c>
      <c r="D1079" s="53">
        <v>2026</v>
      </c>
      <c r="E1079" s="54" t="s">
        <v>3669</v>
      </c>
      <c r="F1079" s="55" t="s">
        <v>50</v>
      </c>
      <c r="G1079" s="55" t="s">
        <v>50</v>
      </c>
      <c r="H1079" s="45" t="s">
        <v>2439</v>
      </c>
      <c r="I1079" s="56" t="s">
        <v>78</v>
      </c>
      <c r="J1079" s="56"/>
      <c r="K1079" s="55" t="s">
        <v>264</v>
      </c>
      <c r="L1079" s="55" t="s">
        <v>88</v>
      </c>
      <c r="M1079" s="55"/>
      <c r="N1079" s="55" t="s">
        <v>110</v>
      </c>
      <c r="O1079" s="55"/>
      <c r="P1079" s="55" t="s">
        <v>265</v>
      </c>
      <c r="Q1079" s="55" t="s">
        <v>57</v>
      </c>
      <c r="R1079" s="55"/>
      <c r="S1079" s="56" t="s">
        <v>58</v>
      </c>
      <c r="T1079" s="55" t="str">
        <f>IF(ISNUMBER(SEARCH(",",N1079)),"Y","N")</f>
        <v>N</v>
      </c>
      <c r="U1079" s="57">
        <v>9500</v>
      </c>
      <c r="V1079" s="57" t="s">
        <v>101</v>
      </c>
      <c r="W1079" s="55"/>
      <c r="X1079" s="54" t="s">
        <v>5088</v>
      </c>
      <c r="Y1079" s="52"/>
      <c r="Z1079" s="3" t="s">
        <v>61</v>
      </c>
      <c r="AA1079" s="3" t="s">
        <v>107</v>
      </c>
      <c r="AB1079" s="3"/>
      <c r="AC1079" s="3"/>
      <c r="AD1079" s="3" t="s">
        <v>62</v>
      </c>
      <c r="AE1079" s="1" t="s">
        <v>108</v>
      </c>
      <c r="AF1079" s="1"/>
      <c r="AG1079" s="1" t="s">
        <v>109</v>
      </c>
      <c r="AH1079" s="2">
        <v>100</v>
      </c>
      <c r="AI1079" s="3"/>
      <c r="AJ1079" s="3"/>
      <c r="AK1079" s="3"/>
      <c r="AL1079" s="3"/>
      <c r="AM1079" s="3"/>
      <c r="AN1079" s="3"/>
      <c r="AO1079" s="3"/>
      <c r="AP1079" s="3"/>
      <c r="AQ1079" s="3"/>
      <c r="AR1079" s="3"/>
      <c r="AS1079" s="3"/>
      <c r="AT1079" s="3"/>
      <c r="AU1079" s="3"/>
      <c r="AV1079" s="3"/>
      <c r="AW1079" s="3"/>
      <c r="AX1079" s="3"/>
      <c r="AY1079" s="3"/>
      <c r="AZ1079" s="4" t="s">
        <v>102</v>
      </c>
      <c r="BA1079" s="3"/>
      <c r="BB1079" s="1"/>
      <c r="BC1079" s="1"/>
    </row>
    <row r="1080" spans="1:55" s="78" customFormat="1" ht="15" customHeight="1" x14ac:dyDescent="0.25">
      <c r="A1080" s="52" t="s">
        <v>5089</v>
      </c>
      <c r="B1080" s="34" t="s">
        <v>59</v>
      </c>
      <c r="C1080" s="53">
        <v>2026</v>
      </c>
      <c r="D1080" s="53">
        <v>2026</v>
      </c>
      <c r="E1080" s="54" t="s">
        <v>3669</v>
      </c>
      <c r="F1080" s="55" t="s">
        <v>50</v>
      </c>
      <c r="G1080" s="55" t="s">
        <v>50</v>
      </c>
      <c r="H1080" s="45" t="s">
        <v>2439</v>
      </c>
      <c r="I1080" s="56" t="s">
        <v>78</v>
      </c>
      <c r="J1080" s="56"/>
      <c r="K1080" s="56" t="s">
        <v>74</v>
      </c>
      <c r="L1080" s="55" t="s">
        <v>88</v>
      </c>
      <c r="M1080" s="55"/>
      <c r="N1080" s="56" t="s">
        <v>110</v>
      </c>
      <c r="O1080" s="56"/>
      <c r="P1080" s="55" t="s">
        <v>75</v>
      </c>
      <c r="Q1080" s="56" t="s">
        <v>57</v>
      </c>
      <c r="R1080" s="55"/>
      <c r="S1080" s="56" t="s">
        <v>58</v>
      </c>
      <c r="T1080" s="55" t="s">
        <v>81</v>
      </c>
      <c r="U1080" s="57">
        <v>22.396000000000001</v>
      </c>
      <c r="V1080" s="57" t="s">
        <v>101</v>
      </c>
      <c r="W1080" s="55" t="s">
        <v>2319</v>
      </c>
      <c r="X1080" s="54" t="s">
        <v>5089</v>
      </c>
      <c r="Y1080" s="52"/>
      <c r="Z1080" s="1" t="s">
        <v>61</v>
      </c>
      <c r="AA1080" s="3" t="s">
        <v>107</v>
      </c>
      <c r="AB1080" s="3"/>
      <c r="AC1080" s="3"/>
      <c r="AD1080" s="3" t="s">
        <v>62</v>
      </c>
      <c r="AE1080" s="1" t="s">
        <v>108</v>
      </c>
      <c r="AF1080" s="1"/>
      <c r="AG1080" s="1" t="s">
        <v>109</v>
      </c>
      <c r="AH1080" s="59">
        <v>100</v>
      </c>
      <c r="AI1080" s="1"/>
      <c r="AJ1080" s="59"/>
      <c r="AK1080" s="1"/>
      <c r="AL1080" s="59"/>
      <c r="AM1080" s="1"/>
      <c r="AN1080" s="60"/>
      <c r="AO1080" s="1"/>
      <c r="AP1080" s="60"/>
      <c r="AQ1080" s="1"/>
      <c r="AR1080" s="60"/>
      <c r="AS1080" s="1"/>
      <c r="AT1080" s="60"/>
      <c r="AU1080" s="1"/>
      <c r="AV1080" s="60"/>
      <c r="AW1080" s="1"/>
      <c r="AX1080" s="60"/>
      <c r="AY1080" s="1"/>
      <c r="AZ1080" s="4" t="s">
        <v>799</v>
      </c>
      <c r="BA1080" s="1"/>
      <c r="BB1080" s="1"/>
      <c r="BC1080" s="1"/>
    </row>
    <row r="1081" spans="1:55" s="78" customFormat="1" ht="15" customHeight="1" x14ac:dyDescent="0.25">
      <c r="A1081" s="52" t="s">
        <v>5090</v>
      </c>
      <c r="B1081" s="34" t="s">
        <v>59</v>
      </c>
      <c r="C1081" s="53">
        <v>2026</v>
      </c>
      <c r="D1081" s="53">
        <v>2026</v>
      </c>
      <c r="E1081" s="54" t="s">
        <v>3669</v>
      </c>
      <c r="F1081" s="55" t="s">
        <v>50</v>
      </c>
      <c r="G1081" s="55" t="s">
        <v>50</v>
      </c>
      <c r="H1081" s="45" t="s">
        <v>2439</v>
      </c>
      <c r="I1081" s="56" t="s">
        <v>78</v>
      </c>
      <c r="J1081" s="56"/>
      <c r="K1081" s="56" t="s">
        <v>120</v>
      </c>
      <c r="L1081" s="55" t="s">
        <v>88</v>
      </c>
      <c r="M1081" s="55"/>
      <c r="N1081" s="56" t="s">
        <v>358</v>
      </c>
      <c r="O1081" s="56"/>
      <c r="P1081" s="55" t="s">
        <v>121</v>
      </c>
      <c r="Q1081" s="56" t="s">
        <v>57</v>
      </c>
      <c r="R1081" s="55"/>
      <c r="S1081" s="56" t="s">
        <v>58</v>
      </c>
      <c r="T1081" s="55" t="s">
        <v>81</v>
      </c>
      <c r="U1081" s="73">
        <v>9.2899999999999991</v>
      </c>
      <c r="V1081" s="57" t="s">
        <v>101</v>
      </c>
      <c r="W1081" s="55" t="s">
        <v>2319</v>
      </c>
      <c r="X1081" s="54" t="s">
        <v>5090</v>
      </c>
      <c r="Y1081" s="52"/>
      <c r="Z1081" s="1" t="s">
        <v>61</v>
      </c>
      <c r="AA1081" s="3" t="s">
        <v>107</v>
      </c>
      <c r="AB1081" s="3"/>
      <c r="AC1081" s="3"/>
      <c r="AD1081" s="3" t="s">
        <v>62</v>
      </c>
      <c r="AE1081" s="1" t="s">
        <v>108</v>
      </c>
      <c r="AF1081" s="1"/>
      <c r="AG1081" s="1" t="s">
        <v>109</v>
      </c>
      <c r="AH1081" s="59">
        <v>100</v>
      </c>
      <c r="AI1081" s="1"/>
      <c r="AJ1081" s="59"/>
      <c r="AK1081" s="1"/>
      <c r="AL1081" s="59"/>
      <c r="AM1081" s="1"/>
      <c r="AN1081" s="60"/>
      <c r="AO1081" s="1"/>
      <c r="AP1081" s="60"/>
      <c r="AQ1081" s="1"/>
      <c r="AR1081" s="60"/>
      <c r="AS1081" s="1"/>
      <c r="AT1081" s="60"/>
      <c r="AU1081" s="1"/>
      <c r="AV1081" s="60"/>
      <c r="AW1081" s="1"/>
      <c r="AX1081" s="60"/>
      <c r="AY1081" s="1"/>
      <c r="AZ1081" s="4" t="s">
        <v>3789</v>
      </c>
      <c r="BA1081" s="1"/>
      <c r="BB1081" s="1"/>
      <c r="BC1081" s="1"/>
    </row>
    <row r="1082" spans="1:55" s="78" customFormat="1" ht="15" customHeight="1" x14ac:dyDescent="0.25">
      <c r="A1082" s="52" t="s">
        <v>5344</v>
      </c>
      <c r="B1082" s="34" t="s">
        <v>59</v>
      </c>
      <c r="C1082" s="53">
        <v>2026</v>
      </c>
      <c r="D1082" s="53">
        <v>2026</v>
      </c>
      <c r="E1082" s="54" t="s">
        <v>3670</v>
      </c>
      <c r="F1082" s="55" t="s">
        <v>50</v>
      </c>
      <c r="G1082" s="55" t="s">
        <v>50</v>
      </c>
      <c r="H1082" s="45" t="s">
        <v>5343</v>
      </c>
      <c r="I1082" s="56" t="s">
        <v>52</v>
      </c>
      <c r="J1082" s="56"/>
      <c r="K1082" s="56" t="s">
        <v>264</v>
      </c>
      <c r="L1082" s="55" t="s">
        <v>54</v>
      </c>
      <c r="M1082" s="55"/>
      <c r="N1082" s="56" t="s">
        <v>358</v>
      </c>
      <c r="O1082" s="56" t="s">
        <v>400</v>
      </c>
      <c r="P1082" s="55" t="s">
        <v>265</v>
      </c>
      <c r="Q1082" s="56" t="s">
        <v>57</v>
      </c>
      <c r="R1082" s="55"/>
      <c r="S1082" s="56" t="s">
        <v>58</v>
      </c>
      <c r="T1082" s="55" t="s">
        <v>81</v>
      </c>
      <c r="U1082" s="57">
        <v>9500</v>
      </c>
      <c r="V1082" s="57" t="s">
        <v>101</v>
      </c>
      <c r="W1082" s="55" t="s">
        <v>2797</v>
      </c>
      <c r="X1082" s="54" t="s">
        <v>5346</v>
      </c>
      <c r="Y1082" s="52"/>
      <c r="Z1082" s="1" t="s">
        <v>61</v>
      </c>
      <c r="AA1082" s="3" t="s">
        <v>107</v>
      </c>
      <c r="AB1082" s="3"/>
      <c r="AC1082" s="3"/>
      <c r="AD1082" s="3" t="s">
        <v>62</v>
      </c>
      <c r="AE1082" s="1" t="s">
        <v>108</v>
      </c>
      <c r="AF1082" s="1"/>
      <c r="AG1082" s="1" t="s">
        <v>109</v>
      </c>
      <c r="AH1082" s="59">
        <v>100</v>
      </c>
      <c r="AI1082" s="1"/>
      <c r="AJ1082" s="59"/>
      <c r="AK1082" s="1"/>
      <c r="AL1082" s="59"/>
      <c r="AM1082" s="1"/>
      <c r="AN1082" s="60"/>
      <c r="AO1082" s="1"/>
      <c r="AP1082" s="60"/>
      <c r="AQ1082" s="1"/>
      <c r="AR1082" s="60"/>
      <c r="AS1082" s="1"/>
      <c r="AT1082" s="60"/>
      <c r="AU1082" s="1"/>
      <c r="AV1082" s="60"/>
      <c r="AW1082" s="1"/>
      <c r="AX1082" s="60"/>
      <c r="AY1082" s="1"/>
      <c r="AZ1082" s="4" t="s">
        <v>5342</v>
      </c>
      <c r="BA1082" s="1"/>
      <c r="BB1082" s="1"/>
      <c r="BC1082" s="1"/>
    </row>
    <row r="1083" spans="1:55" s="78" customFormat="1" ht="15" customHeight="1" x14ac:dyDescent="0.25">
      <c r="A1083" s="52" t="s">
        <v>5345</v>
      </c>
      <c r="B1083" s="34" t="s">
        <v>59</v>
      </c>
      <c r="C1083" s="53">
        <v>2026</v>
      </c>
      <c r="D1083" s="53">
        <v>2026</v>
      </c>
      <c r="E1083" s="54" t="s">
        <v>3670</v>
      </c>
      <c r="F1083" s="55" t="s">
        <v>50</v>
      </c>
      <c r="G1083" s="55" t="s">
        <v>50</v>
      </c>
      <c r="H1083" s="45" t="s">
        <v>5343</v>
      </c>
      <c r="I1083" s="56" t="s">
        <v>52</v>
      </c>
      <c r="J1083" s="56"/>
      <c r="K1083" s="56" t="s">
        <v>264</v>
      </c>
      <c r="L1083" s="55" t="s">
        <v>54</v>
      </c>
      <c r="M1083" s="55"/>
      <c r="N1083" s="56" t="s">
        <v>110</v>
      </c>
      <c r="O1083" s="56" t="s">
        <v>5308</v>
      </c>
      <c r="P1083" s="2" t="s">
        <v>5361</v>
      </c>
      <c r="Q1083" s="56"/>
      <c r="R1083" s="55"/>
      <c r="S1083" s="56" t="s">
        <v>58</v>
      </c>
      <c r="T1083" s="55" t="s">
        <v>58</v>
      </c>
      <c r="U1083" s="57">
        <v>9500</v>
      </c>
      <c r="V1083" s="57" t="s">
        <v>101</v>
      </c>
      <c r="W1083" s="55" t="s">
        <v>2797</v>
      </c>
      <c r="X1083" s="54" t="s">
        <v>5346</v>
      </c>
      <c r="Y1083" s="52"/>
      <c r="Z1083" s="1" t="s">
        <v>61</v>
      </c>
      <c r="AA1083" s="3" t="s">
        <v>107</v>
      </c>
      <c r="AB1083" s="3"/>
      <c r="AC1083" s="3"/>
      <c r="AD1083" s="3" t="s">
        <v>62</v>
      </c>
      <c r="AE1083" s="1" t="s">
        <v>108</v>
      </c>
      <c r="AF1083" s="1"/>
      <c r="AG1083" s="1" t="s">
        <v>109</v>
      </c>
      <c r="AH1083" s="59">
        <v>100</v>
      </c>
      <c r="AI1083" s="1"/>
      <c r="AJ1083" s="59"/>
      <c r="AK1083" s="1"/>
      <c r="AL1083" s="59"/>
      <c r="AM1083" s="1"/>
      <c r="AN1083" s="60"/>
      <c r="AO1083" s="1"/>
      <c r="AP1083" s="60"/>
      <c r="AQ1083" s="1"/>
      <c r="AR1083" s="60"/>
      <c r="AS1083" s="1"/>
      <c r="AT1083" s="60"/>
      <c r="AU1083" s="1"/>
      <c r="AV1083" s="60"/>
      <c r="AW1083" s="1"/>
      <c r="AX1083" s="60"/>
      <c r="AY1083" s="1"/>
      <c r="AZ1083" s="4" t="s">
        <v>5342</v>
      </c>
      <c r="BA1083" s="4" t="s">
        <v>5362</v>
      </c>
      <c r="BB1083" s="1"/>
      <c r="BC1083" s="1"/>
    </row>
    <row r="1084" spans="1:55" s="78" customFormat="1" ht="15" customHeight="1" x14ac:dyDescent="0.25">
      <c r="A1084" s="52" t="s">
        <v>5091</v>
      </c>
      <c r="B1084" s="34" t="s">
        <v>59</v>
      </c>
      <c r="C1084" s="53">
        <v>2026</v>
      </c>
      <c r="D1084" s="53">
        <v>2026</v>
      </c>
      <c r="E1084" s="54" t="s">
        <v>3670</v>
      </c>
      <c r="F1084" s="55" t="s">
        <v>50</v>
      </c>
      <c r="G1084" s="55" t="s">
        <v>50</v>
      </c>
      <c r="H1084" s="45" t="s">
        <v>5343</v>
      </c>
      <c r="I1084" s="56" t="s">
        <v>52</v>
      </c>
      <c r="J1084" s="56"/>
      <c r="K1084" s="55" t="s">
        <v>120</v>
      </c>
      <c r="L1084" s="55" t="s">
        <v>54</v>
      </c>
      <c r="M1084" s="55"/>
      <c r="N1084" s="56" t="s">
        <v>55</v>
      </c>
      <c r="O1084" s="56" t="s">
        <v>5308</v>
      </c>
      <c r="P1084" s="55" t="s">
        <v>121</v>
      </c>
      <c r="Q1084" s="55" t="s">
        <v>57</v>
      </c>
      <c r="R1084" s="55"/>
      <c r="S1084" s="56" t="s">
        <v>58</v>
      </c>
      <c r="T1084" s="55" t="s">
        <v>58</v>
      </c>
      <c r="U1084" s="57">
        <v>-999</v>
      </c>
      <c r="V1084" s="57" t="s">
        <v>59</v>
      </c>
      <c r="W1084" s="55"/>
      <c r="X1084" s="54" t="s">
        <v>5091</v>
      </c>
      <c r="Y1084" s="52"/>
      <c r="Z1084" s="2" t="s">
        <v>61</v>
      </c>
      <c r="AA1084" s="3" t="s">
        <v>107</v>
      </c>
      <c r="AB1084" s="1"/>
      <c r="AC1084" s="1"/>
      <c r="AD1084" s="3" t="s">
        <v>62</v>
      </c>
      <c r="AE1084" s="2" t="s">
        <v>108</v>
      </c>
      <c r="AF1084" s="1"/>
      <c r="AG1084" s="3" t="s">
        <v>109</v>
      </c>
      <c r="AH1084" s="58">
        <v>100</v>
      </c>
      <c r="AI1084" s="1"/>
      <c r="AJ1084" s="2"/>
      <c r="AK1084" s="1"/>
      <c r="AL1084" s="1"/>
      <c r="AM1084" s="1"/>
      <c r="AN1084" s="1"/>
      <c r="AO1084" s="1"/>
      <c r="AP1084" s="1"/>
      <c r="AQ1084" s="1"/>
      <c r="AR1084" s="1"/>
      <c r="AS1084" s="1"/>
      <c r="AT1084" s="1"/>
      <c r="AU1084" s="1"/>
      <c r="AV1084" s="1"/>
      <c r="AW1084" s="1"/>
      <c r="AX1084" s="1"/>
      <c r="AY1084" s="1"/>
      <c r="AZ1084" s="4" t="s">
        <v>5307</v>
      </c>
      <c r="BA1084" s="4" t="s">
        <v>5309</v>
      </c>
      <c r="BB1084" s="1"/>
      <c r="BC1084" s="1"/>
    </row>
    <row r="1085" spans="1:55" s="78" customFormat="1" ht="15" customHeight="1" x14ac:dyDescent="0.25">
      <c r="A1085" s="52" t="s">
        <v>5092</v>
      </c>
      <c r="B1085" s="34" t="s">
        <v>59</v>
      </c>
      <c r="C1085" s="53">
        <v>2026</v>
      </c>
      <c r="D1085" s="53">
        <v>2026</v>
      </c>
      <c r="E1085" s="54" t="s">
        <v>3671</v>
      </c>
      <c r="F1085" s="55" t="s">
        <v>50</v>
      </c>
      <c r="G1085" s="55" t="s">
        <v>50</v>
      </c>
      <c r="H1085" s="45" t="s">
        <v>2440</v>
      </c>
      <c r="I1085" s="56" t="s">
        <v>52</v>
      </c>
      <c r="J1085" s="56"/>
      <c r="K1085" s="56" t="s">
        <v>53</v>
      </c>
      <c r="L1085" s="55" t="str">
        <f>IF(K1085="Mine or Quarry","Mine","")</f>
        <v/>
      </c>
      <c r="M1085" s="55"/>
      <c r="N1085" s="55" t="s">
        <v>327</v>
      </c>
      <c r="O1085" s="55"/>
      <c r="P1085" s="55" t="s">
        <v>56</v>
      </c>
      <c r="Q1085" s="56" t="s">
        <v>57</v>
      </c>
      <c r="R1085" s="55"/>
      <c r="S1085" s="56" t="s">
        <v>58</v>
      </c>
      <c r="T1085" s="55" t="str">
        <f>IF(ISNUMBER(SEARCH(",",N1085)),"Y","N")</f>
        <v>N</v>
      </c>
      <c r="U1085" s="57">
        <v>2000</v>
      </c>
      <c r="V1085" s="57" t="s">
        <v>101</v>
      </c>
      <c r="W1085" s="55"/>
      <c r="X1085" s="54" t="s">
        <v>5092</v>
      </c>
      <c r="Y1085" s="52"/>
      <c r="Z1085" s="1" t="s">
        <v>61</v>
      </c>
      <c r="AA1085" s="3" t="s">
        <v>107</v>
      </c>
      <c r="AB1085" s="3"/>
      <c r="AC1085" s="3"/>
      <c r="AD1085" s="3" t="s">
        <v>62</v>
      </c>
      <c r="AE1085" s="1" t="s">
        <v>108</v>
      </c>
      <c r="AF1085" s="1"/>
      <c r="AG1085" s="1" t="s">
        <v>109</v>
      </c>
      <c r="AH1085" s="2">
        <v>100</v>
      </c>
      <c r="AI1085" s="3"/>
      <c r="AJ1085" s="3"/>
      <c r="AK1085" s="3"/>
      <c r="AL1085" s="3"/>
      <c r="AM1085" s="3"/>
      <c r="AN1085" s="3"/>
      <c r="AO1085" s="3"/>
      <c r="AP1085" s="3"/>
      <c r="AQ1085" s="3"/>
      <c r="AR1085" s="3"/>
      <c r="AS1085" s="3"/>
      <c r="AT1085" s="3"/>
      <c r="AU1085" s="3"/>
      <c r="AV1085" s="3"/>
      <c r="AW1085" s="3"/>
      <c r="AX1085" s="3"/>
      <c r="AY1085" s="3"/>
      <c r="AZ1085" s="4" t="s">
        <v>799</v>
      </c>
      <c r="BA1085" s="3"/>
      <c r="BB1085" s="1"/>
      <c r="BC1085" s="1"/>
    </row>
    <row r="1086" spans="1:55" s="78" customFormat="1" ht="15" customHeight="1" x14ac:dyDescent="0.25">
      <c r="A1086" s="52" t="s">
        <v>5093</v>
      </c>
      <c r="B1086" s="34" t="s">
        <v>59</v>
      </c>
      <c r="C1086" s="53">
        <v>2026</v>
      </c>
      <c r="D1086" s="53">
        <v>2026</v>
      </c>
      <c r="E1086" s="54" t="s">
        <v>3672</v>
      </c>
      <c r="F1086" s="55" t="s">
        <v>50</v>
      </c>
      <c r="G1086" s="55" t="s">
        <v>50</v>
      </c>
      <c r="H1086" s="45" t="s">
        <v>2441</v>
      </c>
      <c r="I1086" s="56" t="s">
        <v>78</v>
      </c>
      <c r="J1086" s="56"/>
      <c r="K1086" s="56" t="s">
        <v>53</v>
      </c>
      <c r="L1086" s="55" t="str">
        <f>IF(K1086="Mine or Quarry","Mine","")</f>
        <v/>
      </c>
      <c r="M1086" s="55"/>
      <c r="N1086" s="56" t="s">
        <v>5386</v>
      </c>
      <c r="O1086" s="56"/>
      <c r="P1086" s="55" t="s">
        <v>56</v>
      </c>
      <c r="Q1086" s="55" t="s">
        <v>57</v>
      </c>
      <c r="R1086" s="55"/>
      <c r="S1086" s="56" t="s">
        <v>81</v>
      </c>
      <c r="T1086" s="55" t="str">
        <f>IF(ISNUMBER(SEARCH(",",N1086)),"Y","N")</f>
        <v>N</v>
      </c>
      <c r="U1086" s="57">
        <v>25000</v>
      </c>
      <c r="V1086" s="57" t="s">
        <v>101</v>
      </c>
      <c r="W1086" s="55"/>
      <c r="X1086" s="54" t="s">
        <v>5093</v>
      </c>
      <c r="Y1086" s="60"/>
      <c r="Z1086" s="1" t="s">
        <v>61</v>
      </c>
      <c r="AA1086" s="3" t="s">
        <v>107</v>
      </c>
      <c r="AB1086" s="3"/>
      <c r="AC1086" s="3"/>
      <c r="AD1086" s="3" t="s">
        <v>62</v>
      </c>
      <c r="AE1086" s="1" t="s">
        <v>108</v>
      </c>
      <c r="AF1086" s="1"/>
      <c r="AG1086" s="3" t="s">
        <v>197</v>
      </c>
      <c r="AH1086" s="58">
        <v>100</v>
      </c>
      <c r="AI1086" s="1"/>
      <c r="AJ1086" s="1"/>
      <c r="AK1086" s="1"/>
      <c r="AL1086" s="1"/>
      <c r="AM1086" s="1"/>
      <c r="AN1086" s="1"/>
      <c r="AO1086" s="1"/>
      <c r="AP1086" s="1"/>
      <c r="AQ1086" s="1"/>
      <c r="AR1086" s="1"/>
      <c r="AS1086" s="1"/>
      <c r="AT1086" s="1"/>
      <c r="AU1086" s="1"/>
      <c r="AV1086" s="1"/>
      <c r="AW1086" s="1"/>
      <c r="AX1086" s="1"/>
      <c r="AY1086" s="1"/>
      <c r="AZ1086" s="4" t="s">
        <v>320</v>
      </c>
      <c r="BA1086" s="1"/>
      <c r="BB1086" s="1"/>
      <c r="BC1086" s="1"/>
    </row>
    <row r="1087" spans="1:55" s="78" customFormat="1" ht="15" customHeight="1" x14ac:dyDescent="0.25">
      <c r="A1087" s="52" t="s">
        <v>5094</v>
      </c>
      <c r="B1087" s="34" t="s">
        <v>59</v>
      </c>
      <c r="C1087" s="53">
        <v>2026</v>
      </c>
      <c r="D1087" s="53">
        <v>2026</v>
      </c>
      <c r="E1087" s="54" t="s">
        <v>3673</v>
      </c>
      <c r="F1087" s="55" t="s">
        <v>50</v>
      </c>
      <c r="G1087" s="55" t="s">
        <v>50</v>
      </c>
      <c r="H1087" s="45" t="s">
        <v>2442</v>
      </c>
      <c r="I1087" s="56" t="s">
        <v>52</v>
      </c>
      <c r="J1087" s="56"/>
      <c r="K1087" s="56" t="s">
        <v>53</v>
      </c>
      <c r="L1087" s="55" t="str">
        <f>IF(K1087="Mine or Quarry","Mine","")</f>
        <v/>
      </c>
      <c r="M1087" s="55"/>
      <c r="N1087" s="55" t="s">
        <v>327</v>
      </c>
      <c r="O1087" s="56"/>
      <c r="P1087" s="55" t="s">
        <v>56</v>
      </c>
      <c r="Q1087" s="55" t="s">
        <v>57</v>
      </c>
      <c r="R1087" s="55"/>
      <c r="S1087" s="56" t="s">
        <v>81</v>
      </c>
      <c r="T1087" s="55" t="str">
        <f>IF(ISNUMBER(SEARCH(",",N1087)),"Y","N")</f>
        <v>N</v>
      </c>
      <c r="U1087" s="57">
        <v>25000</v>
      </c>
      <c r="V1087" s="57" t="s">
        <v>101</v>
      </c>
      <c r="W1087" s="55"/>
      <c r="X1087" s="54" t="s">
        <v>5094</v>
      </c>
      <c r="Y1087" s="60"/>
      <c r="Z1087" s="2" t="s">
        <v>61</v>
      </c>
      <c r="AA1087" s="3" t="s">
        <v>107</v>
      </c>
      <c r="AB1087" s="3"/>
      <c r="AC1087" s="3"/>
      <c r="AD1087" s="3" t="s">
        <v>62</v>
      </c>
      <c r="AE1087" s="2" t="s">
        <v>108</v>
      </c>
      <c r="AF1087" s="2"/>
      <c r="AG1087" s="3" t="s">
        <v>197</v>
      </c>
      <c r="AH1087" s="58">
        <v>100</v>
      </c>
      <c r="AI1087" s="1"/>
      <c r="AJ1087" s="1"/>
      <c r="AK1087" s="1"/>
      <c r="AL1087" s="1"/>
      <c r="AM1087" s="1"/>
      <c r="AN1087" s="1"/>
      <c r="AO1087" s="1"/>
      <c r="AP1087" s="1"/>
      <c r="AQ1087" s="1"/>
      <c r="AR1087" s="1"/>
      <c r="AS1087" s="1"/>
      <c r="AT1087" s="1"/>
      <c r="AU1087" s="1"/>
      <c r="AV1087" s="1"/>
      <c r="AW1087" s="1"/>
      <c r="AX1087" s="1"/>
      <c r="AY1087" s="1"/>
      <c r="AZ1087" s="4" t="s">
        <v>320</v>
      </c>
      <c r="BA1087" s="1"/>
      <c r="BB1087" s="1"/>
      <c r="BC1087" s="1"/>
    </row>
    <row r="1088" spans="1:55" s="78" customFormat="1" ht="15" customHeight="1" x14ac:dyDescent="0.25">
      <c r="A1088" s="52" t="s">
        <v>5095</v>
      </c>
      <c r="B1088" s="34" t="s">
        <v>59</v>
      </c>
      <c r="C1088" s="53">
        <v>2026</v>
      </c>
      <c r="D1088" s="53">
        <v>2026</v>
      </c>
      <c r="E1088" s="54" t="s">
        <v>3674</v>
      </c>
      <c r="F1088" s="55" t="s">
        <v>50</v>
      </c>
      <c r="G1088" s="55" t="s">
        <v>50</v>
      </c>
      <c r="H1088" s="45" t="s">
        <v>2990</v>
      </c>
      <c r="I1088" s="61" t="s">
        <v>78</v>
      </c>
      <c r="J1088" s="56"/>
      <c r="K1088" s="55" t="s">
        <v>133</v>
      </c>
      <c r="L1088" s="55" t="s">
        <v>88</v>
      </c>
      <c r="M1088" s="55"/>
      <c r="N1088" s="55" t="s">
        <v>181</v>
      </c>
      <c r="O1088" s="55" t="s">
        <v>1289</v>
      </c>
      <c r="P1088" s="55" t="s">
        <v>134</v>
      </c>
      <c r="Q1088" s="55" t="s">
        <v>57</v>
      </c>
      <c r="R1088" s="55"/>
      <c r="S1088" s="56" t="s">
        <v>81</v>
      </c>
      <c r="T1088" s="55" t="s">
        <v>81</v>
      </c>
      <c r="U1088" s="57">
        <v>1600</v>
      </c>
      <c r="V1088" s="57" t="s">
        <v>101</v>
      </c>
      <c r="W1088" s="55"/>
      <c r="X1088" s="54" t="s">
        <v>5095</v>
      </c>
      <c r="Y1088" s="53"/>
      <c r="Z1088" s="3" t="s">
        <v>61</v>
      </c>
      <c r="AA1088" s="3" t="s">
        <v>2443</v>
      </c>
      <c r="AB1088" s="3"/>
      <c r="AC1088" s="3"/>
      <c r="AD1088" s="3" t="s">
        <v>62</v>
      </c>
      <c r="AE1088" s="3" t="s">
        <v>83</v>
      </c>
      <c r="AF1088" s="3"/>
      <c r="AG1088" s="1" t="s">
        <v>1523</v>
      </c>
      <c r="AH1088" s="58">
        <v>100</v>
      </c>
      <c r="AI1088" s="3"/>
      <c r="AJ1088" s="3"/>
      <c r="AK1088" s="3"/>
      <c r="AL1088" s="3"/>
      <c r="AM1088" s="3"/>
      <c r="AN1088" s="3"/>
      <c r="AO1088" s="3"/>
      <c r="AP1088" s="3"/>
      <c r="AQ1088" s="3"/>
      <c r="AR1088" s="3"/>
      <c r="AS1088" s="3"/>
      <c r="AT1088" s="3"/>
      <c r="AU1088" s="3"/>
      <c r="AV1088" s="3"/>
      <c r="AW1088" s="3"/>
      <c r="AX1088" s="3"/>
      <c r="AY1088" s="3"/>
      <c r="AZ1088" s="2" t="s">
        <v>3931</v>
      </c>
      <c r="BA1088" s="3" t="s">
        <v>3932</v>
      </c>
      <c r="BB1088" s="1"/>
      <c r="BC1088" s="1"/>
    </row>
    <row r="1089" spans="1:55" s="78" customFormat="1" ht="15" customHeight="1" x14ac:dyDescent="0.25">
      <c r="A1089" s="52" t="s">
        <v>5096</v>
      </c>
      <c r="B1089" s="34" t="s">
        <v>59</v>
      </c>
      <c r="C1089" s="53">
        <v>2026</v>
      </c>
      <c r="D1089" s="53">
        <v>2026</v>
      </c>
      <c r="E1089" s="54" t="s">
        <v>3675</v>
      </c>
      <c r="F1089" s="55" t="s">
        <v>50</v>
      </c>
      <c r="G1089" s="55" t="s">
        <v>50</v>
      </c>
      <c r="H1089" s="45" t="s">
        <v>2991</v>
      </c>
      <c r="I1089" s="56" t="s">
        <v>52</v>
      </c>
      <c r="J1089" s="56"/>
      <c r="K1089" s="56" t="s">
        <v>2444</v>
      </c>
      <c r="L1089" s="55" t="s">
        <v>54</v>
      </c>
      <c r="M1089" s="55"/>
      <c r="N1089" s="55" t="s">
        <v>2294</v>
      </c>
      <c r="O1089" s="55"/>
      <c r="P1089" s="55" t="s">
        <v>134</v>
      </c>
      <c r="Q1089" s="55" t="s">
        <v>57</v>
      </c>
      <c r="R1089" s="55"/>
      <c r="S1089" s="56" t="s">
        <v>81</v>
      </c>
      <c r="T1089" s="55" t="str">
        <f>IF(ISNUMBER(SEARCH(",",N1089)),"Y","N")</f>
        <v>Y</v>
      </c>
      <c r="U1089" s="57">
        <v>1600</v>
      </c>
      <c r="V1089" s="57" t="s">
        <v>101</v>
      </c>
      <c r="W1089" s="55"/>
      <c r="X1089" s="54" t="s">
        <v>5096</v>
      </c>
      <c r="Y1089" s="53"/>
      <c r="Z1089" s="2" t="s">
        <v>61</v>
      </c>
      <c r="AA1089" s="3" t="s">
        <v>2443</v>
      </c>
      <c r="AB1089" s="3"/>
      <c r="AC1089" s="3"/>
      <c r="AD1089" s="3" t="s">
        <v>62</v>
      </c>
      <c r="AE1089" s="2" t="s">
        <v>83</v>
      </c>
      <c r="AF1089" s="2"/>
      <c r="AG1089" s="1" t="s">
        <v>1523</v>
      </c>
      <c r="AH1089" s="58">
        <v>100</v>
      </c>
      <c r="AI1089" s="3"/>
      <c r="AJ1089" s="3"/>
      <c r="AK1089" s="3"/>
      <c r="AL1089" s="3"/>
      <c r="AM1089" s="3"/>
      <c r="AN1089" s="3"/>
      <c r="AO1089" s="3"/>
      <c r="AP1089" s="3"/>
      <c r="AQ1089" s="3"/>
      <c r="AR1089" s="3"/>
      <c r="AS1089" s="3"/>
      <c r="AT1089" s="3"/>
      <c r="AU1089" s="3"/>
      <c r="AV1089" s="3"/>
      <c r="AW1089" s="3"/>
      <c r="AX1089" s="3"/>
      <c r="AY1089" s="3"/>
      <c r="AZ1089" s="2" t="s">
        <v>3931</v>
      </c>
      <c r="BA1089" s="3" t="s">
        <v>3932</v>
      </c>
      <c r="BB1089" s="1"/>
      <c r="BC1089" s="1"/>
    </row>
    <row r="1090" spans="1:55" s="78" customFormat="1" ht="15" customHeight="1" x14ac:dyDescent="0.25">
      <c r="A1090" s="52" t="s">
        <v>5097</v>
      </c>
      <c r="B1090" s="34" t="s">
        <v>59</v>
      </c>
      <c r="C1090" s="53">
        <v>2026</v>
      </c>
      <c r="D1090" s="53">
        <v>2026</v>
      </c>
      <c r="E1090" s="54" t="s">
        <v>3676</v>
      </c>
      <c r="F1090" s="55" t="s">
        <v>50</v>
      </c>
      <c r="G1090" s="55" t="s">
        <v>50</v>
      </c>
      <c r="H1090" s="45" t="s">
        <v>2446</v>
      </c>
      <c r="I1090" s="56" t="s">
        <v>52</v>
      </c>
      <c r="J1090" s="55" t="s">
        <v>384</v>
      </c>
      <c r="K1090" s="55" t="s">
        <v>384</v>
      </c>
      <c r="L1090" s="55" t="s">
        <v>54</v>
      </c>
      <c r="M1090" s="55"/>
      <c r="N1090" s="56" t="s">
        <v>400</v>
      </c>
      <c r="O1090" s="56"/>
      <c r="P1090" s="56" t="s">
        <v>385</v>
      </c>
      <c r="Q1090" s="55" t="s">
        <v>5353</v>
      </c>
      <c r="R1090" s="55"/>
      <c r="S1090" s="56" t="s">
        <v>81</v>
      </c>
      <c r="T1090" s="55" t="s">
        <v>81</v>
      </c>
      <c r="U1090" s="57">
        <v>2000</v>
      </c>
      <c r="V1090" s="57" t="s">
        <v>101</v>
      </c>
      <c r="W1090" s="55"/>
      <c r="X1090" s="54" t="s">
        <v>5097</v>
      </c>
      <c r="Y1090" s="52"/>
      <c r="Z1090" s="2" t="s">
        <v>154</v>
      </c>
      <c r="AA1090" s="1" t="s">
        <v>2447</v>
      </c>
      <c r="AB1090" s="1"/>
      <c r="AC1090" s="1"/>
      <c r="AD1090" s="3" t="s">
        <v>62</v>
      </c>
      <c r="AE1090" s="2" t="s">
        <v>206</v>
      </c>
      <c r="AF1090" s="2"/>
      <c r="AG1090" s="3" t="s">
        <v>520</v>
      </c>
      <c r="AH1090" s="58">
        <v>100</v>
      </c>
      <c r="AI1090" s="1"/>
      <c r="AJ1090" s="1"/>
      <c r="AK1090" s="1"/>
      <c r="AL1090" s="1"/>
      <c r="AM1090" s="1"/>
      <c r="AN1090" s="1"/>
      <c r="AO1090" s="1"/>
      <c r="AP1090" s="1"/>
      <c r="AQ1090" s="1"/>
      <c r="AR1090" s="1"/>
      <c r="AS1090" s="1"/>
      <c r="AT1090" s="1"/>
      <c r="AU1090" s="1"/>
      <c r="AV1090" s="1"/>
      <c r="AW1090" s="1"/>
      <c r="AX1090" s="1"/>
      <c r="AY1090" s="1"/>
      <c r="AZ1090" s="4" t="s">
        <v>2445</v>
      </c>
      <c r="BA1090" s="1"/>
      <c r="BB1090" s="1"/>
      <c r="BC1090" s="1"/>
    </row>
    <row r="1091" spans="1:55" s="78" customFormat="1" ht="15" customHeight="1" x14ac:dyDescent="0.25">
      <c r="A1091" s="52" t="s">
        <v>5098</v>
      </c>
      <c r="B1091" s="34" t="s">
        <v>59</v>
      </c>
      <c r="C1091" s="53">
        <v>2026</v>
      </c>
      <c r="D1091" s="53">
        <v>2026</v>
      </c>
      <c r="E1091" s="54" t="s">
        <v>3677</v>
      </c>
      <c r="F1091" s="55" t="s">
        <v>50</v>
      </c>
      <c r="G1091" s="55" t="s">
        <v>50</v>
      </c>
      <c r="H1091" s="45" t="s">
        <v>2449</v>
      </c>
      <c r="I1091" s="61" t="s">
        <v>78</v>
      </c>
      <c r="J1091" s="56"/>
      <c r="K1091" s="45" t="s">
        <v>180</v>
      </c>
      <c r="L1091" s="55"/>
      <c r="M1091" s="55"/>
      <c r="N1091" s="55" t="s">
        <v>181</v>
      </c>
      <c r="O1091" s="55"/>
      <c r="P1091" s="55" t="s">
        <v>182</v>
      </c>
      <c r="Q1091" s="55" t="s">
        <v>5353</v>
      </c>
      <c r="R1091" s="55"/>
      <c r="S1091" s="56" t="s">
        <v>81</v>
      </c>
      <c r="T1091" s="55" t="str">
        <f>IF(ISNUMBER(SEARCH(",",N1091)),"Y","N")</f>
        <v>N</v>
      </c>
      <c r="U1091" s="57">
        <v>2500</v>
      </c>
      <c r="V1091" s="57" t="s">
        <v>101</v>
      </c>
      <c r="W1091" s="55" t="s">
        <v>2797</v>
      </c>
      <c r="X1091" s="62" t="s">
        <v>5339</v>
      </c>
      <c r="Y1091" s="53"/>
      <c r="Z1091" s="3" t="s">
        <v>2005</v>
      </c>
      <c r="AA1091" s="3" t="s">
        <v>2450</v>
      </c>
      <c r="AB1091" s="3"/>
      <c r="AC1091" s="3"/>
      <c r="AD1091" s="3" t="s">
        <v>62</v>
      </c>
      <c r="AE1091" s="3" t="s">
        <v>387</v>
      </c>
      <c r="AF1091" s="3"/>
      <c r="AG1091" s="3" t="s">
        <v>957</v>
      </c>
      <c r="AH1091" s="58">
        <v>100</v>
      </c>
      <c r="AI1091" s="3"/>
      <c r="AJ1091" s="53"/>
      <c r="AK1091" s="3"/>
      <c r="AL1091" s="3"/>
      <c r="AM1091" s="3"/>
      <c r="AN1091" s="3"/>
      <c r="AO1091" s="3"/>
      <c r="AP1091" s="3"/>
      <c r="AQ1091" s="3"/>
      <c r="AR1091" s="3"/>
      <c r="AS1091" s="3"/>
      <c r="AT1091" s="3"/>
      <c r="AU1091" s="3"/>
      <c r="AV1091" s="3"/>
      <c r="AW1091" s="3"/>
      <c r="AX1091" s="3"/>
      <c r="AY1091" s="3"/>
      <c r="AZ1091" s="4" t="s">
        <v>2448</v>
      </c>
      <c r="BA1091" s="3"/>
      <c r="BB1091" s="1"/>
      <c r="BC1091" s="1"/>
    </row>
    <row r="1092" spans="1:55" s="78" customFormat="1" ht="15" customHeight="1" x14ac:dyDescent="0.25">
      <c r="A1092" s="52" t="s">
        <v>5099</v>
      </c>
      <c r="B1092" s="34" t="s">
        <v>59</v>
      </c>
      <c r="C1092" s="53">
        <v>2026</v>
      </c>
      <c r="D1092" s="53">
        <v>2026</v>
      </c>
      <c r="E1092" s="54" t="s">
        <v>3678</v>
      </c>
      <c r="F1092" s="55" t="s">
        <v>50</v>
      </c>
      <c r="G1092" s="55" t="s">
        <v>50</v>
      </c>
      <c r="H1092" s="45" t="s">
        <v>2451</v>
      </c>
      <c r="I1092" s="61" t="s">
        <v>52</v>
      </c>
      <c r="J1092" s="56"/>
      <c r="K1092" s="45" t="s">
        <v>180</v>
      </c>
      <c r="L1092" s="55" t="str">
        <f>IF(K1092="Mine or Quarry","Mine","")</f>
        <v/>
      </c>
      <c r="M1092" s="55"/>
      <c r="N1092" s="55" t="s">
        <v>110</v>
      </c>
      <c r="O1092" s="55" t="s">
        <v>188</v>
      </c>
      <c r="P1092" s="55" t="s">
        <v>182</v>
      </c>
      <c r="Q1092" s="55" t="s">
        <v>5353</v>
      </c>
      <c r="R1092" s="55"/>
      <c r="S1092" s="56" t="s">
        <v>81</v>
      </c>
      <c r="T1092" s="55" t="str">
        <f>IF(ISNUMBER(SEARCH(",",N1092)),"Y","N")</f>
        <v>N</v>
      </c>
      <c r="U1092" s="57">
        <v>2500</v>
      </c>
      <c r="V1092" s="57" t="s">
        <v>101</v>
      </c>
      <c r="W1092" s="55"/>
      <c r="X1092" s="54" t="s">
        <v>5099</v>
      </c>
      <c r="Y1092" s="53"/>
      <c r="Z1092" s="3" t="s">
        <v>2005</v>
      </c>
      <c r="AA1092" s="3" t="s">
        <v>2450</v>
      </c>
      <c r="AB1092" s="3"/>
      <c r="AC1092" s="3"/>
      <c r="AD1092" s="3" t="s">
        <v>62</v>
      </c>
      <c r="AE1092" s="3" t="s">
        <v>387</v>
      </c>
      <c r="AF1092" s="3"/>
      <c r="AG1092" s="3" t="s">
        <v>957</v>
      </c>
      <c r="AH1092" s="58">
        <v>100</v>
      </c>
      <c r="AI1092" s="3"/>
      <c r="AJ1092" s="53"/>
      <c r="AK1092" s="3"/>
      <c r="AL1092" s="3"/>
      <c r="AM1092" s="3"/>
      <c r="AN1092" s="3"/>
      <c r="AO1092" s="3"/>
      <c r="AP1092" s="3"/>
      <c r="AQ1092" s="3"/>
      <c r="AR1092" s="3"/>
      <c r="AS1092" s="3"/>
      <c r="AT1092" s="3"/>
      <c r="AU1092" s="3"/>
      <c r="AV1092" s="3"/>
      <c r="AW1092" s="3"/>
      <c r="AX1092" s="3"/>
      <c r="AY1092" s="3"/>
      <c r="AZ1092" s="4" t="s">
        <v>2448</v>
      </c>
      <c r="BA1092" s="3"/>
      <c r="BB1092" s="1"/>
      <c r="BC1092" s="1"/>
    </row>
    <row r="1093" spans="1:55" s="78" customFormat="1" ht="15" customHeight="1" x14ac:dyDescent="0.25">
      <c r="A1093" s="52" t="s">
        <v>5100</v>
      </c>
      <c r="B1093" s="34" t="s">
        <v>59</v>
      </c>
      <c r="C1093" s="53">
        <v>2026</v>
      </c>
      <c r="D1093" s="53">
        <v>2026</v>
      </c>
      <c r="E1093" s="54" t="s">
        <v>3679</v>
      </c>
      <c r="F1093" s="55" t="s">
        <v>50</v>
      </c>
      <c r="G1093" s="55" t="s">
        <v>50</v>
      </c>
      <c r="H1093" s="45" t="s">
        <v>1034</v>
      </c>
      <c r="I1093" s="56" t="s">
        <v>78</v>
      </c>
      <c r="J1093" s="56" t="s">
        <v>291</v>
      </c>
      <c r="K1093" s="56" t="s">
        <v>292</v>
      </c>
      <c r="L1093" s="55" t="str">
        <f>IF(K1093="Mine or Quarry","Mine","")</f>
        <v/>
      </c>
      <c r="M1093" s="55"/>
      <c r="N1093" s="56" t="s">
        <v>110</v>
      </c>
      <c r="O1093" s="56"/>
      <c r="P1093" s="56" t="s">
        <v>293</v>
      </c>
      <c r="Q1093" s="55" t="s">
        <v>57</v>
      </c>
      <c r="R1093" s="55"/>
      <c r="S1093" s="56" t="s">
        <v>81</v>
      </c>
      <c r="T1093" s="55" t="str">
        <f>IF(ISNUMBER(SEARCH(",",N1093)),"Y","N")</f>
        <v>N</v>
      </c>
      <c r="U1093" s="57">
        <v>1700000</v>
      </c>
      <c r="V1093" s="57" t="s">
        <v>101</v>
      </c>
      <c r="W1093" s="55" t="s">
        <v>2319</v>
      </c>
      <c r="X1093" s="54" t="s">
        <v>5100</v>
      </c>
      <c r="Y1093" s="52"/>
      <c r="Z1093" s="1" t="s">
        <v>61</v>
      </c>
      <c r="AA1093" s="1" t="s">
        <v>2453</v>
      </c>
      <c r="AB1093" s="1"/>
      <c r="AC1093" s="1"/>
      <c r="AD1093" s="3" t="s">
        <v>62</v>
      </c>
      <c r="AE1093" s="1" t="s">
        <v>336</v>
      </c>
      <c r="AF1093" s="1"/>
      <c r="AG1093" s="3" t="s">
        <v>1036</v>
      </c>
      <c r="AH1093" s="2">
        <v>100</v>
      </c>
      <c r="AI1093" s="1"/>
      <c r="AJ1093" s="1"/>
      <c r="AK1093" s="1"/>
      <c r="AL1093" s="1"/>
      <c r="AM1093" s="1"/>
      <c r="AN1093" s="1"/>
      <c r="AO1093" s="1"/>
      <c r="AP1093" s="1"/>
      <c r="AQ1093" s="1"/>
      <c r="AR1093" s="1"/>
      <c r="AS1093" s="1"/>
      <c r="AT1093" s="1"/>
      <c r="AU1093" s="1"/>
      <c r="AV1093" s="1"/>
      <c r="AW1093" s="1"/>
      <c r="AX1093" s="1"/>
      <c r="AY1093" s="1"/>
      <c r="AZ1093" s="4" t="s">
        <v>2452</v>
      </c>
      <c r="BA1093" s="1"/>
      <c r="BB1093" s="1"/>
      <c r="BC1093" s="1"/>
    </row>
    <row r="1094" spans="1:55" s="78" customFormat="1" ht="15" customHeight="1" x14ac:dyDescent="0.25">
      <c r="A1094" s="52" t="s">
        <v>5101</v>
      </c>
      <c r="B1094" s="34" t="s">
        <v>59</v>
      </c>
      <c r="C1094" s="53">
        <v>2026</v>
      </c>
      <c r="D1094" s="53">
        <v>2026</v>
      </c>
      <c r="E1094" s="54" t="s">
        <v>3680</v>
      </c>
      <c r="F1094" s="55" t="s">
        <v>50</v>
      </c>
      <c r="G1094" s="55" t="s">
        <v>50</v>
      </c>
      <c r="H1094" s="45" t="s">
        <v>3008</v>
      </c>
      <c r="I1094" s="56" t="s">
        <v>78</v>
      </c>
      <c r="J1094" s="56"/>
      <c r="K1094" s="55" t="s">
        <v>71</v>
      </c>
      <c r="L1094" s="55"/>
      <c r="M1094" s="55"/>
      <c r="N1094" s="55" t="s">
        <v>181</v>
      </c>
      <c r="O1094" s="55"/>
      <c r="P1094" s="55" t="s">
        <v>73</v>
      </c>
      <c r="Q1094" s="55" t="s">
        <v>57</v>
      </c>
      <c r="R1094" s="55"/>
      <c r="S1094" s="56" t="s">
        <v>58</v>
      </c>
      <c r="T1094" s="55" t="s">
        <v>81</v>
      </c>
      <c r="U1094" s="57">
        <v>1.843</v>
      </c>
      <c r="V1094" s="57" t="s">
        <v>101</v>
      </c>
      <c r="W1094" s="55"/>
      <c r="X1094" s="54" t="s">
        <v>5101</v>
      </c>
      <c r="Y1094" s="52"/>
      <c r="Z1094" s="3" t="s">
        <v>61</v>
      </c>
      <c r="AA1094" s="3" t="s">
        <v>2455</v>
      </c>
      <c r="AB1094" s="3"/>
      <c r="AC1094" s="3"/>
      <c r="AD1094" s="3" t="s">
        <v>62</v>
      </c>
      <c r="AE1094" s="3" t="s">
        <v>464</v>
      </c>
      <c r="AF1094" s="3" t="s">
        <v>2456</v>
      </c>
      <c r="AG1094" s="3" t="s">
        <v>2457</v>
      </c>
      <c r="AH1094" s="58">
        <v>100</v>
      </c>
      <c r="AI1094" s="3"/>
      <c r="AJ1094" s="3"/>
      <c r="AK1094" s="3"/>
      <c r="AL1094" s="3"/>
      <c r="AM1094" s="3"/>
      <c r="AN1094" s="3"/>
      <c r="AO1094" s="3"/>
      <c r="AP1094" s="3"/>
      <c r="AQ1094" s="3"/>
      <c r="AR1094" s="3"/>
      <c r="AS1094" s="3"/>
      <c r="AT1094" s="3"/>
      <c r="AU1094" s="3"/>
      <c r="AV1094" s="3"/>
      <c r="AW1094" s="3"/>
      <c r="AX1094" s="3"/>
      <c r="AY1094" s="3"/>
      <c r="AZ1094" s="4" t="s">
        <v>2454</v>
      </c>
      <c r="BA1094" s="3"/>
      <c r="BB1094" s="1"/>
      <c r="BC1094" s="1"/>
    </row>
    <row r="1095" spans="1:55" s="78" customFormat="1" ht="15" customHeight="1" x14ac:dyDescent="0.25">
      <c r="A1095" s="52" t="s">
        <v>5102</v>
      </c>
      <c r="B1095" s="34" t="s">
        <v>59</v>
      </c>
      <c r="C1095" s="53">
        <v>2026</v>
      </c>
      <c r="D1095" s="53">
        <v>2026</v>
      </c>
      <c r="E1095" s="54" t="s">
        <v>3680</v>
      </c>
      <c r="F1095" s="55" t="s">
        <v>50</v>
      </c>
      <c r="G1095" s="55" t="s">
        <v>50</v>
      </c>
      <c r="H1095" s="45" t="s">
        <v>3008</v>
      </c>
      <c r="I1095" s="45" t="s">
        <v>78</v>
      </c>
      <c r="J1095" s="56"/>
      <c r="K1095" s="55" t="s">
        <v>74</v>
      </c>
      <c r="L1095" s="55"/>
      <c r="M1095" s="55"/>
      <c r="N1095" s="55" t="s">
        <v>181</v>
      </c>
      <c r="O1095" s="55"/>
      <c r="P1095" s="55" t="s">
        <v>75</v>
      </c>
      <c r="Q1095" s="56" t="s">
        <v>57</v>
      </c>
      <c r="R1095" s="55"/>
      <c r="S1095" s="56" t="s">
        <v>58</v>
      </c>
      <c r="T1095" s="55" t="s">
        <v>81</v>
      </c>
      <c r="U1095" s="57">
        <v>13.211</v>
      </c>
      <c r="V1095" s="57" t="s">
        <v>101</v>
      </c>
      <c r="W1095" s="55"/>
      <c r="X1095" s="54" t="s">
        <v>5102</v>
      </c>
      <c r="Y1095" s="52"/>
      <c r="Z1095" s="3" t="s">
        <v>61</v>
      </c>
      <c r="AA1095" s="3" t="s">
        <v>2455</v>
      </c>
      <c r="AB1095" s="3"/>
      <c r="AC1095" s="3"/>
      <c r="AD1095" s="3" t="s">
        <v>62</v>
      </c>
      <c r="AE1095" s="3" t="s">
        <v>464</v>
      </c>
      <c r="AF1095" s="3" t="s">
        <v>2456</v>
      </c>
      <c r="AG1095" s="3" t="s">
        <v>2457</v>
      </c>
      <c r="AH1095" s="58">
        <v>100</v>
      </c>
      <c r="AI1095" s="1"/>
      <c r="AJ1095" s="3"/>
      <c r="AK1095" s="3"/>
      <c r="AL1095" s="3"/>
      <c r="AM1095" s="3"/>
      <c r="AN1095" s="3"/>
      <c r="AO1095" s="3"/>
      <c r="AP1095" s="3"/>
      <c r="AQ1095" s="3"/>
      <c r="AR1095" s="3"/>
      <c r="AS1095" s="3"/>
      <c r="AT1095" s="3"/>
      <c r="AU1095" s="3"/>
      <c r="AV1095" s="3"/>
      <c r="AW1095" s="3"/>
      <c r="AX1095" s="3"/>
      <c r="AY1095" s="3"/>
      <c r="AZ1095" s="4" t="s">
        <v>2454</v>
      </c>
      <c r="BA1095" s="3"/>
      <c r="BB1095" s="1"/>
      <c r="BC1095" s="1"/>
    </row>
    <row r="1096" spans="1:55" s="78" customFormat="1" ht="15" customHeight="1" x14ac:dyDescent="0.25">
      <c r="A1096" s="52" t="s">
        <v>5103</v>
      </c>
      <c r="B1096" s="34" t="s">
        <v>59</v>
      </c>
      <c r="C1096" s="53">
        <v>2026</v>
      </c>
      <c r="D1096" s="53">
        <v>2026</v>
      </c>
      <c r="E1096" s="54" t="s">
        <v>3681</v>
      </c>
      <c r="F1096" s="55" t="s">
        <v>50</v>
      </c>
      <c r="G1096" s="55" t="s">
        <v>50</v>
      </c>
      <c r="H1096" s="45" t="s">
        <v>2458</v>
      </c>
      <c r="I1096" s="56" t="s">
        <v>52</v>
      </c>
      <c r="J1096" s="56"/>
      <c r="K1096" s="55" t="s">
        <v>71</v>
      </c>
      <c r="L1096" s="55" t="str">
        <f>IF(K1096="Mine or Quarry","Mine","")</f>
        <v/>
      </c>
      <c r="M1096" s="55"/>
      <c r="N1096" s="55" t="s">
        <v>110</v>
      </c>
      <c r="O1096" s="45" t="s">
        <v>296</v>
      </c>
      <c r="P1096" s="55" t="s">
        <v>73</v>
      </c>
      <c r="Q1096" s="55" t="s">
        <v>57</v>
      </c>
      <c r="R1096" s="55"/>
      <c r="S1096" s="56" t="s">
        <v>58</v>
      </c>
      <c r="T1096" s="55" t="str">
        <f>IF(ISNUMBER(SEARCH(",",N1096)),"Y","N")</f>
        <v>N</v>
      </c>
      <c r="U1096" s="57">
        <v>1.843</v>
      </c>
      <c r="V1096" s="57" t="s">
        <v>101</v>
      </c>
      <c r="W1096" s="55"/>
      <c r="X1096" s="54" t="s">
        <v>5103</v>
      </c>
      <c r="Y1096" s="52"/>
      <c r="Z1096" s="3" t="s">
        <v>61</v>
      </c>
      <c r="AA1096" s="3" t="s">
        <v>2455</v>
      </c>
      <c r="AB1096" s="3"/>
      <c r="AC1096" s="3"/>
      <c r="AD1096" s="3" t="s">
        <v>62</v>
      </c>
      <c r="AE1096" s="3" t="s">
        <v>464</v>
      </c>
      <c r="AF1096" s="3" t="s">
        <v>2456</v>
      </c>
      <c r="AG1096" s="3" t="s">
        <v>2457</v>
      </c>
      <c r="AH1096" s="58">
        <v>100</v>
      </c>
      <c r="AI1096" s="3"/>
      <c r="AJ1096" s="3"/>
      <c r="AK1096" s="3"/>
      <c r="AL1096" s="3"/>
      <c r="AM1096" s="3"/>
      <c r="AN1096" s="3"/>
      <c r="AO1096" s="3"/>
      <c r="AP1096" s="3"/>
      <c r="AQ1096" s="3"/>
      <c r="AR1096" s="3"/>
      <c r="AS1096" s="3"/>
      <c r="AT1096" s="3"/>
      <c r="AU1096" s="3"/>
      <c r="AV1096" s="3"/>
      <c r="AW1096" s="3"/>
      <c r="AX1096" s="3"/>
      <c r="AY1096" s="3"/>
      <c r="AZ1096" s="4" t="s">
        <v>2454</v>
      </c>
      <c r="BA1096" s="3"/>
      <c r="BB1096" s="1"/>
      <c r="BC1096" s="1"/>
    </row>
    <row r="1097" spans="1:55" s="78" customFormat="1" ht="15" customHeight="1" x14ac:dyDescent="0.25">
      <c r="A1097" s="52" t="s">
        <v>5104</v>
      </c>
      <c r="B1097" s="34" t="s">
        <v>59</v>
      </c>
      <c r="C1097" s="53">
        <v>2026</v>
      </c>
      <c r="D1097" s="53">
        <v>2026</v>
      </c>
      <c r="E1097" s="54" t="s">
        <v>3681</v>
      </c>
      <c r="F1097" s="55" t="s">
        <v>50</v>
      </c>
      <c r="G1097" s="55" t="s">
        <v>50</v>
      </c>
      <c r="H1097" s="45" t="s">
        <v>2458</v>
      </c>
      <c r="I1097" s="56" t="s">
        <v>52</v>
      </c>
      <c r="J1097" s="56"/>
      <c r="K1097" s="56" t="s">
        <v>74</v>
      </c>
      <c r="L1097" s="55" t="str">
        <f>IF(K1097="Mines and Quarries","Mine","")</f>
        <v/>
      </c>
      <c r="M1097" s="55"/>
      <c r="N1097" s="55" t="s">
        <v>110</v>
      </c>
      <c r="O1097" s="56" t="s">
        <v>296</v>
      </c>
      <c r="P1097" s="55" t="s">
        <v>75</v>
      </c>
      <c r="Q1097" s="56" t="s">
        <v>57</v>
      </c>
      <c r="R1097" s="55"/>
      <c r="S1097" s="56" t="s">
        <v>58</v>
      </c>
      <c r="T1097" s="55" t="str">
        <f>IF(ISNUMBER(SEARCH(",",N1097)),"Y","N")</f>
        <v>N</v>
      </c>
      <c r="U1097" s="57">
        <v>13.211</v>
      </c>
      <c r="V1097" s="57" t="s">
        <v>101</v>
      </c>
      <c r="W1097" s="55"/>
      <c r="X1097" s="54" t="s">
        <v>5104</v>
      </c>
      <c r="Y1097" s="52"/>
      <c r="Z1097" s="1" t="s">
        <v>61</v>
      </c>
      <c r="AA1097" s="3" t="s">
        <v>2455</v>
      </c>
      <c r="AB1097" s="3"/>
      <c r="AC1097" s="3"/>
      <c r="AD1097" s="3" t="s">
        <v>62</v>
      </c>
      <c r="AE1097" s="3" t="s">
        <v>464</v>
      </c>
      <c r="AF1097" s="3" t="s">
        <v>2456</v>
      </c>
      <c r="AG1097" s="3" t="s">
        <v>2457</v>
      </c>
      <c r="AH1097" s="58">
        <v>100</v>
      </c>
      <c r="AI1097" s="1"/>
      <c r="AJ1097" s="1"/>
      <c r="AK1097" s="1"/>
      <c r="AL1097" s="1"/>
      <c r="AM1097" s="1"/>
      <c r="AN1097" s="1"/>
      <c r="AO1097" s="1"/>
      <c r="AP1097" s="1"/>
      <c r="AQ1097" s="1"/>
      <c r="AR1097" s="1"/>
      <c r="AS1097" s="1"/>
      <c r="AT1097" s="1"/>
      <c r="AU1097" s="1"/>
      <c r="AV1097" s="1"/>
      <c r="AW1097" s="1"/>
      <c r="AX1097" s="1"/>
      <c r="AY1097" s="1"/>
      <c r="AZ1097" s="4" t="s">
        <v>2454</v>
      </c>
      <c r="BA1097" s="1"/>
      <c r="BB1097" s="1"/>
      <c r="BC1097" s="1"/>
    </row>
    <row r="1098" spans="1:55" s="78" customFormat="1" ht="15" customHeight="1" x14ac:dyDescent="0.25">
      <c r="A1098" s="52" t="s">
        <v>5105</v>
      </c>
      <c r="B1098" s="34" t="s">
        <v>59</v>
      </c>
      <c r="C1098" s="53">
        <v>2026</v>
      </c>
      <c r="D1098" s="53">
        <v>2026</v>
      </c>
      <c r="E1098" s="54" t="s">
        <v>3682</v>
      </c>
      <c r="F1098" s="55" t="s">
        <v>50</v>
      </c>
      <c r="G1098" s="55" t="s">
        <v>50</v>
      </c>
      <c r="H1098" s="45" t="s">
        <v>2459</v>
      </c>
      <c r="I1098" s="61" t="s">
        <v>52</v>
      </c>
      <c r="J1098" s="56"/>
      <c r="K1098" s="55" t="s">
        <v>126</v>
      </c>
      <c r="L1098" s="55"/>
      <c r="M1098" s="55" t="s">
        <v>113</v>
      </c>
      <c r="N1098" s="55" t="s">
        <v>358</v>
      </c>
      <c r="O1098" s="55" t="s">
        <v>201</v>
      </c>
      <c r="P1098" s="55" t="s">
        <v>129</v>
      </c>
      <c r="Q1098" s="56" t="s">
        <v>57</v>
      </c>
      <c r="R1098" s="55"/>
      <c r="S1098" s="56" t="s">
        <v>58</v>
      </c>
      <c r="T1098" s="55" t="s">
        <v>81</v>
      </c>
      <c r="U1098" s="57">
        <v>-999</v>
      </c>
      <c r="V1098" s="57" t="s">
        <v>59</v>
      </c>
      <c r="W1098" s="55" t="s">
        <v>2319</v>
      </c>
      <c r="X1098" s="54" t="s">
        <v>5105</v>
      </c>
      <c r="Y1098" s="52"/>
      <c r="Z1098" s="3" t="s">
        <v>61</v>
      </c>
      <c r="AA1098" s="3" t="s">
        <v>2307</v>
      </c>
      <c r="AB1098" s="3"/>
      <c r="AC1098" s="3"/>
      <c r="AD1098" s="3" t="s">
        <v>62</v>
      </c>
      <c r="AE1098" s="3" t="s">
        <v>353</v>
      </c>
      <c r="AF1098" s="3"/>
      <c r="AG1098" s="3" t="s">
        <v>1898</v>
      </c>
      <c r="AH1098" s="58">
        <v>100</v>
      </c>
      <c r="AI1098" s="3"/>
      <c r="AJ1098" s="3"/>
      <c r="AK1098" s="3"/>
      <c r="AL1098" s="3"/>
      <c r="AM1098" s="3"/>
      <c r="AN1098" s="3"/>
      <c r="AO1098" s="3"/>
      <c r="AP1098" s="3"/>
      <c r="AQ1098" s="3"/>
      <c r="AR1098" s="3"/>
      <c r="AS1098" s="3"/>
      <c r="AT1098" s="3"/>
      <c r="AU1098" s="3"/>
      <c r="AV1098" s="3"/>
      <c r="AW1098" s="3"/>
      <c r="AX1098" s="3"/>
      <c r="AY1098" s="3"/>
      <c r="AZ1098" s="4" t="s">
        <v>1895</v>
      </c>
      <c r="BA1098" s="3"/>
      <c r="BB1098" s="1"/>
      <c r="BC1098" s="1"/>
    </row>
    <row r="1099" spans="1:55" s="78" customFormat="1" ht="15" customHeight="1" x14ac:dyDescent="0.25">
      <c r="A1099" s="52" t="s">
        <v>5106</v>
      </c>
      <c r="B1099" s="34" t="s">
        <v>59</v>
      </c>
      <c r="C1099" s="53">
        <v>2026</v>
      </c>
      <c r="D1099" s="53">
        <v>2026</v>
      </c>
      <c r="E1099" s="54" t="s">
        <v>3682</v>
      </c>
      <c r="F1099" s="55" t="s">
        <v>50</v>
      </c>
      <c r="G1099" s="55" t="s">
        <v>50</v>
      </c>
      <c r="H1099" s="45" t="s">
        <v>2459</v>
      </c>
      <c r="I1099" s="61" t="s">
        <v>52</v>
      </c>
      <c r="J1099" s="56"/>
      <c r="K1099" s="55" t="s">
        <v>53</v>
      </c>
      <c r="L1099" s="55"/>
      <c r="M1099" s="55" t="s">
        <v>113</v>
      </c>
      <c r="N1099" s="55" t="s">
        <v>55</v>
      </c>
      <c r="O1099" s="55" t="s">
        <v>1899</v>
      </c>
      <c r="P1099" s="55" t="s">
        <v>56</v>
      </c>
      <c r="Q1099" s="55" t="s">
        <v>57</v>
      </c>
      <c r="R1099" s="55"/>
      <c r="S1099" s="56" t="s">
        <v>58</v>
      </c>
      <c r="T1099" s="55" t="s">
        <v>81</v>
      </c>
      <c r="U1099" s="57">
        <v>-999</v>
      </c>
      <c r="V1099" s="57" t="s">
        <v>59</v>
      </c>
      <c r="W1099" s="55" t="s">
        <v>2319</v>
      </c>
      <c r="X1099" s="54" t="s">
        <v>5106</v>
      </c>
      <c r="Y1099" s="52"/>
      <c r="Z1099" s="3" t="s">
        <v>61</v>
      </c>
      <c r="AA1099" s="3" t="s">
        <v>2307</v>
      </c>
      <c r="AB1099" s="3"/>
      <c r="AC1099" s="3"/>
      <c r="AD1099" s="3" t="s">
        <v>62</v>
      </c>
      <c r="AE1099" s="3" t="s">
        <v>353</v>
      </c>
      <c r="AF1099" s="3"/>
      <c r="AG1099" s="3" t="s">
        <v>1898</v>
      </c>
      <c r="AH1099" s="58">
        <v>100</v>
      </c>
      <c r="AI1099" s="3"/>
      <c r="AJ1099" s="3"/>
      <c r="AK1099" s="3"/>
      <c r="AL1099" s="3"/>
      <c r="AM1099" s="3"/>
      <c r="AN1099" s="3"/>
      <c r="AO1099" s="3"/>
      <c r="AP1099" s="3"/>
      <c r="AQ1099" s="3"/>
      <c r="AR1099" s="3"/>
      <c r="AS1099" s="3"/>
      <c r="AT1099" s="3"/>
      <c r="AU1099" s="3"/>
      <c r="AV1099" s="3"/>
      <c r="AW1099" s="3"/>
      <c r="AX1099" s="3"/>
      <c r="AY1099" s="3"/>
      <c r="AZ1099" s="4" t="s">
        <v>1895</v>
      </c>
      <c r="BA1099" s="3"/>
      <c r="BB1099" s="1"/>
      <c r="BC1099" s="1"/>
    </row>
    <row r="1100" spans="1:55" s="78" customFormat="1" ht="15" customHeight="1" x14ac:dyDescent="0.25">
      <c r="A1100" s="52" t="s">
        <v>5107</v>
      </c>
      <c r="B1100" s="34" t="s">
        <v>59</v>
      </c>
      <c r="C1100" s="53">
        <v>2026</v>
      </c>
      <c r="D1100" s="53">
        <v>2026</v>
      </c>
      <c r="E1100" s="54" t="s">
        <v>3682</v>
      </c>
      <c r="F1100" s="55" t="s">
        <v>50</v>
      </c>
      <c r="G1100" s="55" t="s">
        <v>50</v>
      </c>
      <c r="H1100" s="45" t="s">
        <v>2459</v>
      </c>
      <c r="I1100" s="61" t="s">
        <v>52</v>
      </c>
      <c r="J1100" s="56"/>
      <c r="K1100" s="55" t="s">
        <v>133</v>
      </c>
      <c r="L1100" s="55" t="s">
        <v>54</v>
      </c>
      <c r="M1100" s="55" t="s">
        <v>113</v>
      </c>
      <c r="N1100" s="55" t="s">
        <v>358</v>
      </c>
      <c r="O1100" s="55" t="s">
        <v>1084</v>
      </c>
      <c r="P1100" s="55" t="s">
        <v>134</v>
      </c>
      <c r="Q1100" s="55" t="s">
        <v>57</v>
      </c>
      <c r="R1100" s="55"/>
      <c r="S1100" s="56" t="s">
        <v>58</v>
      </c>
      <c r="T1100" s="55" t="s">
        <v>81</v>
      </c>
      <c r="U1100" s="57">
        <v>-999</v>
      </c>
      <c r="V1100" s="57" t="s">
        <v>59</v>
      </c>
      <c r="W1100" s="55" t="s">
        <v>2319</v>
      </c>
      <c r="X1100" s="54" t="s">
        <v>5107</v>
      </c>
      <c r="Y1100" s="52"/>
      <c r="Z1100" s="3" t="s">
        <v>61</v>
      </c>
      <c r="AA1100" s="3" t="s">
        <v>2307</v>
      </c>
      <c r="AB1100" s="3"/>
      <c r="AC1100" s="3"/>
      <c r="AD1100" s="3" t="s">
        <v>62</v>
      </c>
      <c r="AE1100" s="3" t="s">
        <v>353</v>
      </c>
      <c r="AF1100" s="3"/>
      <c r="AG1100" s="3" t="s">
        <v>1898</v>
      </c>
      <c r="AH1100" s="58">
        <v>100</v>
      </c>
      <c r="AI1100" s="3"/>
      <c r="AJ1100" s="3"/>
      <c r="AK1100" s="3"/>
      <c r="AL1100" s="3"/>
      <c r="AM1100" s="3"/>
      <c r="AN1100" s="3"/>
      <c r="AO1100" s="3"/>
      <c r="AP1100" s="3"/>
      <c r="AQ1100" s="3"/>
      <c r="AR1100" s="3"/>
      <c r="AS1100" s="3"/>
      <c r="AT1100" s="3"/>
      <c r="AU1100" s="3"/>
      <c r="AV1100" s="3"/>
      <c r="AW1100" s="3"/>
      <c r="AX1100" s="3"/>
      <c r="AY1100" s="3"/>
      <c r="AZ1100" s="4" t="s">
        <v>1895</v>
      </c>
      <c r="BA1100" s="3" t="s">
        <v>3903</v>
      </c>
      <c r="BB1100" s="1"/>
      <c r="BC1100" s="1"/>
    </row>
    <row r="1101" spans="1:55" s="78" customFormat="1" ht="15" customHeight="1" x14ac:dyDescent="0.25">
      <c r="A1101" s="52" t="s">
        <v>5108</v>
      </c>
      <c r="B1101" s="34" t="s">
        <v>59</v>
      </c>
      <c r="C1101" s="53">
        <v>2026</v>
      </c>
      <c r="D1101" s="53">
        <v>2026</v>
      </c>
      <c r="E1101" s="54" t="s">
        <v>3682</v>
      </c>
      <c r="F1101" s="55" t="s">
        <v>50</v>
      </c>
      <c r="G1101" s="55" t="s">
        <v>50</v>
      </c>
      <c r="H1101" s="45" t="s">
        <v>2459</v>
      </c>
      <c r="I1101" s="61" t="s">
        <v>52</v>
      </c>
      <c r="J1101" s="56"/>
      <c r="K1101" s="55" t="s">
        <v>137</v>
      </c>
      <c r="L1101" s="55"/>
      <c r="M1101" s="55" t="s">
        <v>113</v>
      </c>
      <c r="N1101" s="55" t="s">
        <v>358</v>
      </c>
      <c r="O1101" s="55" t="s">
        <v>201</v>
      </c>
      <c r="P1101" s="55" t="s">
        <v>138</v>
      </c>
      <c r="Q1101" s="55" t="s">
        <v>57</v>
      </c>
      <c r="R1101" s="55"/>
      <c r="S1101" s="56" t="s">
        <v>58</v>
      </c>
      <c r="T1101" s="55" t="s">
        <v>81</v>
      </c>
      <c r="U1101" s="57">
        <v>-999</v>
      </c>
      <c r="V1101" s="57" t="s">
        <v>59</v>
      </c>
      <c r="W1101" s="55" t="s">
        <v>2319</v>
      </c>
      <c r="X1101" s="54" t="s">
        <v>5108</v>
      </c>
      <c r="Y1101" s="52"/>
      <c r="Z1101" s="3" t="s">
        <v>61</v>
      </c>
      <c r="AA1101" s="3" t="s">
        <v>2307</v>
      </c>
      <c r="AB1101" s="3"/>
      <c r="AC1101" s="3"/>
      <c r="AD1101" s="3" t="s">
        <v>62</v>
      </c>
      <c r="AE1101" s="3" t="s">
        <v>353</v>
      </c>
      <c r="AF1101" s="3"/>
      <c r="AG1101" s="3" t="s">
        <v>1898</v>
      </c>
      <c r="AH1101" s="58">
        <v>100</v>
      </c>
      <c r="AI1101" s="3"/>
      <c r="AJ1101" s="3"/>
      <c r="AK1101" s="3"/>
      <c r="AL1101" s="3"/>
      <c r="AM1101" s="3"/>
      <c r="AN1101" s="3"/>
      <c r="AO1101" s="3"/>
      <c r="AP1101" s="3"/>
      <c r="AQ1101" s="3"/>
      <c r="AR1101" s="3"/>
      <c r="AS1101" s="3"/>
      <c r="AT1101" s="3"/>
      <c r="AU1101" s="3"/>
      <c r="AV1101" s="3"/>
      <c r="AW1101" s="3"/>
      <c r="AX1101" s="3"/>
      <c r="AY1101" s="3"/>
      <c r="AZ1101" s="4" t="s">
        <v>1895</v>
      </c>
      <c r="BA1101" s="3"/>
      <c r="BB1101" s="1"/>
      <c r="BC1101" s="1"/>
    </row>
    <row r="1102" spans="1:55" s="78" customFormat="1" ht="15" customHeight="1" x14ac:dyDescent="0.25">
      <c r="A1102" s="52" t="s">
        <v>5109</v>
      </c>
      <c r="B1102" s="34" t="s">
        <v>59</v>
      </c>
      <c r="C1102" s="53">
        <v>2026</v>
      </c>
      <c r="D1102" s="53">
        <v>2026</v>
      </c>
      <c r="E1102" s="54" t="s">
        <v>3683</v>
      </c>
      <c r="F1102" s="55" t="s">
        <v>50</v>
      </c>
      <c r="G1102" s="55" t="s">
        <v>50</v>
      </c>
      <c r="H1102" s="45" t="s">
        <v>2460</v>
      </c>
      <c r="I1102" s="56" t="s">
        <v>78</v>
      </c>
      <c r="J1102" s="56" t="s">
        <v>291</v>
      </c>
      <c r="K1102" s="55" t="s">
        <v>292</v>
      </c>
      <c r="L1102" s="55" t="str">
        <f>IF(K1102="Mine or Quarry","Mine","")</f>
        <v/>
      </c>
      <c r="M1102" s="55"/>
      <c r="N1102" s="55" t="s">
        <v>110</v>
      </c>
      <c r="O1102" s="55"/>
      <c r="P1102" s="56" t="s">
        <v>293</v>
      </c>
      <c r="Q1102" s="55" t="s">
        <v>57</v>
      </c>
      <c r="R1102" s="55"/>
      <c r="S1102" s="56" t="s">
        <v>81</v>
      </c>
      <c r="T1102" s="55" t="str">
        <f>IF(ISNUMBER(SEARCH(",",N1102)),"Y","N")</f>
        <v>N</v>
      </c>
      <c r="U1102" s="57">
        <v>5500000</v>
      </c>
      <c r="V1102" s="57" t="s">
        <v>101</v>
      </c>
      <c r="W1102" s="55" t="s">
        <v>2319</v>
      </c>
      <c r="X1102" s="54" t="s">
        <v>5109</v>
      </c>
      <c r="Y1102" s="52"/>
      <c r="Z1102" s="3" t="s">
        <v>61</v>
      </c>
      <c r="AA1102" s="3" t="s">
        <v>2461</v>
      </c>
      <c r="AB1102" s="3"/>
      <c r="AC1102" s="3"/>
      <c r="AD1102" s="3" t="s">
        <v>62</v>
      </c>
      <c r="AE1102" s="3" t="s">
        <v>360</v>
      </c>
      <c r="AF1102" s="3"/>
      <c r="AG1102" s="3" t="s">
        <v>361</v>
      </c>
      <c r="AH1102" s="53">
        <v>95</v>
      </c>
      <c r="AI1102" s="3"/>
      <c r="AJ1102" s="53"/>
      <c r="AK1102" s="3"/>
      <c r="AL1102" s="53"/>
      <c r="AM1102" s="3"/>
      <c r="AN1102" s="53"/>
      <c r="AO1102" s="3"/>
      <c r="AP1102" s="53"/>
      <c r="AQ1102" s="3"/>
      <c r="AR1102" s="53"/>
      <c r="AS1102" s="3"/>
      <c r="AT1102" s="53"/>
      <c r="AU1102" s="3"/>
      <c r="AV1102" s="53"/>
      <c r="AW1102" s="3"/>
      <c r="AX1102" s="53"/>
      <c r="AY1102" s="3"/>
      <c r="AZ1102" s="2" t="s">
        <v>3933</v>
      </c>
      <c r="BA1102" s="3" t="s">
        <v>3934</v>
      </c>
      <c r="BB1102" s="1"/>
      <c r="BC1102" s="1"/>
    </row>
    <row r="1103" spans="1:55" s="78" customFormat="1" ht="15" customHeight="1" x14ac:dyDescent="0.25">
      <c r="A1103" s="52" t="s">
        <v>5110</v>
      </c>
      <c r="B1103" s="34" t="s">
        <v>59</v>
      </c>
      <c r="C1103" s="53">
        <v>2026</v>
      </c>
      <c r="D1103" s="53">
        <v>2026</v>
      </c>
      <c r="E1103" s="54" t="s">
        <v>3684</v>
      </c>
      <c r="F1103" s="55" t="s">
        <v>50</v>
      </c>
      <c r="G1103" s="55" t="s">
        <v>50</v>
      </c>
      <c r="H1103" s="45" t="s">
        <v>2462</v>
      </c>
      <c r="I1103" s="56" t="s">
        <v>78</v>
      </c>
      <c r="J1103" s="56" t="s">
        <v>291</v>
      </c>
      <c r="K1103" s="56" t="s">
        <v>292</v>
      </c>
      <c r="L1103" s="55" t="str">
        <f>IF(K1103="Mine or Quarry","Mine","")</f>
        <v/>
      </c>
      <c r="M1103" s="55"/>
      <c r="N1103" s="55" t="s">
        <v>110</v>
      </c>
      <c r="O1103" s="55"/>
      <c r="P1103" s="56" t="s">
        <v>293</v>
      </c>
      <c r="Q1103" s="55" t="s">
        <v>57</v>
      </c>
      <c r="R1103" s="55"/>
      <c r="S1103" s="56" t="s">
        <v>81</v>
      </c>
      <c r="T1103" s="55" t="str">
        <f>IF(ISNUMBER(SEARCH(",",N1103)),"Y","N")</f>
        <v>N</v>
      </c>
      <c r="U1103" s="57">
        <v>3200000</v>
      </c>
      <c r="V1103" s="57" t="s">
        <v>101</v>
      </c>
      <c r="W1103" s="55" t="s">
        <v>2319</v>
      </c>
      <c r="X1103" s="54" t="s">
        <v>5110</v>
      </c>
      <c r="Y1103" s="52"/>
      <c r="Z1103" s="3" t="s">
        <v>2005</v>
      </c>
      <c r="AA1103" s="3" t="s">
        <v>2461</v>
      </c>
      <c r="AB1103" s="3"/>
      <c r="AC1103" s="3"/>
      <c r="AD1103" s="3" t="s">
        <v>62</v>
      </c>
      <c r="AE1103" s="3" t="s">
        <v>360</v>
      </c>
      <c r="AF1103" s="3"/>
      <c r="AG1103" s="3" t="s">
        <v>361</v>
      </c>
      <c r="AH1103" s="58">
        <v>100</v>
      </c>
      <c r="AI1103" s="3"/>
      <c r="AJ1103" s="3"/>
      <c r="AK1103" s="3"/>
      <c r="AL1103" s="3"/>
      <c r="AM1103" s="3"/>
      <c r="AN1103" s="3"/>
      <c r="AO1103" s="3"/>
      <c r="AP1103" s="3"/>
      <c r="AQ1103" s="3"/>
      <c r="AR1103" s="3"/>
      <c r="AS1103" s="3"/>
      <c r="AT1103" s="3"/>
      <c r="AU1103" s="3"/>
      <c r="AV1103" s="3"/>
      <c r="AW1103" s="3"/>
      <c r="AX1103" s="3"/>
      <c r="AY1103" s="3"/>
      <c r="AZ1103" s="2" t="s">
        <v>3933</v>
      </c>
      <c r="BA1103" s="3" t="s">
        <v>3934</v>
      </c>
      <c r="BB1103" s="1"/>
      <c r="BC1103" s="1"/>
    </row>
    <row r="1104" spans="1:55" s="78" customFormat="1" ht="15" customHeight="1" x14ac:dyDescent="0.25">
      <c r="A1104" s="52" t="s">
        <v>5111</v>
      </c>
      <c r="B1104" s="34" t="s">
        <v>59</v>
      </c>
      <c r="C1104" s="53">
        <v>2026</v>
      </c>
      <c r="D1104" s="53">
        <v>2026</v>
      </c>
      <c r="E1104" s="54" t="s">
        <v>3685</v>
      </c>
      <c r="F1104" s="55" t="s">
        <v>50</v>
      </c>
      <c r="G1104" s="55" t="s">
        <v>50</v>
      </c>
      <c r="H1104" s="45" t="s">
        <v>2463</v>
      </c>
      <c r="I1104" s="56" t="s">
        <v>52</v>
      </c>
      <c r="J1104" s="56"/>
      <c r="K1104" s="55" t="s">
        <v>1678</v>
      </c>
      <c r="L1104" s="55" t="str">
        <f>IF(K1104="Mine or Quarry","Mine","")</f>
        <v/>
      </c>
      <c r="M1104" s="55"/>
      <c r="N1104" s="56"/>
      <c r="O1104" s="56"/>
      <c r="P1104" s="56" t="s">
        <v>745</v>
      </c>
      <c r="Q1104" s="56" t="s">
        <v>57</v>
      </c>
      <c r="R1104" s="55"/>
      <c r="S1104" s="56" t="s">
        <v>81</v>
      </c>
      <c r="T1104" s="55" t="str">
        <f>IF(ISNUMBER(SEARCH(",",N1104)),"Y","N")</f>
        <v>N</v>
      </c>
      <c r="U1104" s="57">
        <v>36000</v>
      </c>
      <c r="V1104" s="57" t="s">
        <v>101</v>
      </c>
      <c r="W1104" s="55" t="s">
        <v>2319</v>
      </c>
      <c r="X1104" s="54" t="s">
        <v>5111</v>
      </c>
      <c r="Y1104" s="52"/>
      <c r="Z1104" s="1" t="s">
        <v>61</v>
      </c>
      <c r="AA1104" s="1" t="s">
        <v>3975</v>
      </c>
      <c r="AB1104" s="1"/>
      <c r="AC1104" s="1"/>
      <c r="AD1104" s="3" t="s">
        <v>62</v>
      </c>
      <c r="AE1104" s="1" t="s">
        <v>366</v>
      </c>
      <c r="AF1104" s="1"/>
      <c r="AG1104" s="1" t="s">
        <v>747</v>
      </c>
      <c r="AH1104" s="2">
        <v>100</v>
      </c>
      <c r="AI1104" s="1"/>
      <c r="AJ1104" s="1"/>
      <c r="AK1104" s="1"/>
      <c r="AL1104" s="1"/>
      <c r="AM1104" s="1"/>
      <c r="AN1104" s="1"/>
      <c r="AO1104" s="1"/>
      <c r="AP1104" s="1"/>
      <c r="AQ1104" s="1"/>
      <c r="AR1104" s="1"/>
      <c r="AS1104" s="1"/>
      <c r="AT1104" s="1"/>
      <c r="AU1104" s="1"/>
      <c r="AV1104" s="1"/>
      <c r="AW1104" s="1"/>
      <c r="AX1104" s="1"/>
      <c r="AY1104" s="1"/>
      <c r="AZ1104" s="4" t="s">
        <v>742</v>
      </c>
      <c r="BA1104" s="1"/>
      <c r="BB1104" s="1"/>
      <c r="BC1104" s="1"/>
    </row>
    <row r="1105" spans="1:55" s="78" customFormat="1" ht="15" customHeight="1" x14ac:dyDescent="0.25">
      <c r="A1105" s="52" t="s">
        <v>5112</v>
      </c>
      <c r="B1105" s="34" t="s">
        <v>59</v>
      </c>
      <c r="C1105" s="53">
        <v>2026</v>
      </c>
      <c r="D1105" s="53">
        <v>2026</v>
      </c>
      <c r="E1105" s="54" t="s">
        <v>3686</v>
      </c>
      <c r="F1105" s="55" t="s">
        <v>50</v>
      </c>
      <c r="G1105" s="55" t="s">
        <v>50</v>
      </c>
      <c r="H1105" s="45" t="s">
        <v>2465</v>
      </c>
      <c r="I1105" s="56" t="s">
        <v>78</v>
      </c>
      <c r="J1105" s="56"/>
      <c r="K1105" s="56" t="s">
        <v>1107</v>
      </c>
      <c r="L1105" s="55"/>
      <c r="M1105" s="55"/>
      <c r="N1105" s="56" t="s">
        <v>110</v>
      </c>
      <c r="O1105" s="56"/>
      <c r="P1105" s="56" t="s">
        <v>1109</v>
      </c>
      <c r="Q1105" s="56" t="s">
        <v>57</v>
      </c>
      <c r="R1105" s="55"/>
      <c r="S1105" s="56" t="s">
        <v>81</v>
      </c>
      <c r="T1105" s="55" t="s">
        <v>81</v>
      </c>
      <c r="U1105" s="57">
        <v>-999</v>
      </c>
      <c r="V1105" s="57" t="s">
        <v>59</v>
      </c>
      <c r="W1105" s="55" t="s">
        <v>2797</v>
      </c>
      <c r="X1105" s="54" t="s">
        <v>5112</v>
      </c>
      <c r="Y1105" s="52"/>
      <c r="Z1105" s="1" t="s">
        <v>61</v>
      </c>
      <c r="AA1105" s="1" t="s">
        <v>2466</v>
      </c>
      <c r="AB1105" s="1"/>
      <c r="AC1105" s="1"/>
      <c r="AD1105" s="3" t="s">
        <v>62</v>
      </c>
      <c r="AE1105" s="1" t="s">
        <v>251</v>
      </c>
      <c r="AF1105" s="1"/>
      <c r="AG1105" s="1" t="s">
        <v>1112</v>
      </c>
      <c r="AH1105" s="2">
        <v>100</v>
      </c>
      <c r="AI1105" s="1"/>
      <c r="AJ1105" s="1"/>
      <c r="AK1105" s="1"/>
      <c r="AL1105" s="1"/>
      <c r="AM1105" s="1"/>
      <c r="AN1105" s="1"/>
      <c r="AO1105" s="1"/>
      <c r="AP1105" s="1"/>
      <c r="AQ1105" s="1"/>
      <c r="AR1105" s="1"/>
      <c r="AS1105" s="1"/>
      <c r="AT1105" s="1"/>
      <c r="AU1105" s="1"/>
      <c r="AV1105" s="1"/>
      <c r="AW1105" s="1"/>
      <c r="AX1105" s="1"/>
      <c r="AY1105" s="1"/>
      <c r="AZ1105" s="4" t="s">
        <v>2464</v>
      </c>
      <c r="BA1105" s="1"/>
      <c r="BB1105" s="1"/>
      <c r="BC1105" s="1"/>
    </row>
    <row r="1106" spans="1:55" s="78" customFormat="1" ht="15" customHeight="1" x14ac:dyDescent="0.25">
      <c r="A1106" s="52" t="s">
        <v>5113</v>
      </c>
      <c r="B1106" s="34" t="s">
        <v>59</v>
      </c>
      <c r="C1106" s="53">
        <v>2026</v>
      </c>
      <c r="D1106" s="53">
        <v>2026</v>
      </c>
      <c r="E1106" s="54" t="s">
        <v>3687</v>
      </c>
      <c r="F1106" s="55" t="s">
        <v>50</v>
      </c>
      <c r="G1106" s="55" t="s">
        <v>50</v>
      </c>
      <c r="H1106" s="45" t="s">
        <v>2467</v>
      </c>
      <c r="I1106" s="56" t="s">
        <v>52</v>
      </c>
      <c r="J1106" s="56"/>
      <c r="K1106" s="56" t="s">
        <v>1107</v>
      </c>
      <c r="L1106" s="55" t="str">
        <f>IF(K1106="Mine or Quarry","Mine","")</f>
        <v/>
      </c>
      <c r="M1106" s="55"/>
      <c r="N1106" s="56" t="s">
        <v>1597</v>
      </c>
      <c r="O1106" s="56"/>
      <c r="P1106" s="56" t="s">
        <v>1109</v>
      </c>
      <c r="Q1106" s="56" t="s">
        <v>57</v>
      </c>
      <c r="R1106" s="55"/>
      <c r="S1106" s="56" t="s">
        <v>81</v>
      </c>
      <c r="T1106" s="55" t="str">
        <f>IF(ISNUMBER(SEARCH(",",N1106)),"Y","N")</f>
        <v>N</v>
      </c>
      <c r="U1106" s="57">
        <v>-999</v>
      </c>
      <c r="V1106" s="57" t="s">
        <v>59</v>
      </c>
      <c r="W1106" s="55" t="s">
        <v>2797</v>
      </c>
      <c r="X1106" s="54" t="s">
        <v>5113</v>
      </c>
      <c r="Y1106" s="52"/>
      <c r="Z1106" s="2" t="s">
        <v>61</v>
      </c>
      <c r="AA1106" s="1" t="s">
        <v>2466</v>
      </c>
      <c r="AB1106" s="1"/>
      <c r="AC1106" s="1"/>
      <c r="AD1106" s="3" t="s">
        <v>62</v>
      </c>
      <c r="AE1106" s="2" t="s">
        <v>251</v>
      </c>
      <c r="AF1106" s="2"/>
      <c r="AG1106" s="1" t="s">
        <v>1112</v>
      </c>
      <c r="AH1106" s="2">
        <v>100</v>
      </c>
      <c r="AI1106" s="1"/>
      <c r="AJ1106" s="1"/>
      <c r="AK1106" s="1"/>
      <c r="AL1106" s="1"/>
      <c r="AM1106" s="1"/>
      <c r="AN1106" s="1"/>
      <c r="AO1106" s="1"/>
      <c r="AP1106" s="1"/>
      <c r="AQ1106" s="1"/>
      <c r="AR1106" s="1"/>
      <c r="AS1106" s="1"/>
      <c r="AT1106" s="1"/>
      <c r="AU1106" s="1"/>
      <c r="AV1106" s="1"/>
      <c r="AW1106" s="1"/>
      <c r="AX1106" s="1"/>
      <c r="AY1106" s="1"/>
      <c r="AZ1106" s="4" t="s">
        <v>2464</v>
      </c>
      <c r="BA1106" s="1"/>
      <c r="BB1106" s="1"/>
      <c r="BC1106" s="1"/>
    </row>
    <row r="1107" spans="1:55" s="78" customFormat="1" ht="15" customHeight="1" x14ac:dyDescent="0.25">
      <c r="A1107" s="52" t="s">
        <v>5114</v>
      </c>
      <c r="B1107" s="34" t="s">
        <v>59</v>
      </c>
      <c r="C1107" s="53">
        <v>2026</v>
      </c>
      <c r="D1107" s="53">
        <v>2026</v>
      </c>
      <c r="E1107" s="54" t="s">
        <v>3688</v>
      </c>
      <c r="F1107" s="55" t="s">
        <v>50</v>
      </c>
      <c r="G1107" s="55" t="s">
        <v>50</v>
      </c>
      <c r="H1107" s="45" t="s">
        <v>2469</v>
      </c>
      <c r="I1107" s="56" t="s">
        <v>52</v>
      </c>
      <c r="J1107" s="56"/>
      <c r="K1107" s="55" t="s">
        <v>71</v>
      </c>
      <c r="L1107" s="55" t="str">
        <f>IF(K1107="Mine or Quarry","Mine","")</f>
        <v/>
      </c>
      <c r="M1107" s="55"/>
      <c r="N1107" s="55" t="s">
        <v>110</v>
      </c>
      <c r="O1107" s="45" t="s">
        <v>296</v>
      </c>
      <c r="P1107" s="55" t="s">
        <v>73</v>
      </c>
      <c r="Q1107" s="55" t="s">
        <v>57</v>
      </c>
      <c r="R1107" s="55"/>
      <c r="S1107" s="56" t="s">
        <v>81</v>
      </c>
      <c r="T1107" s="55" t="str">
        <f>IF(ISNUMBER(SEARCH(",",N1107)),"Y","N")</f>
        <v>N</v>
      </c>
      <c r="U1107" s="73">
        <v>8.59</v>
      </c>
      <c r="V1107" s="57" t="s">
        <v>101</v>
      </c>
      <c r="W1107" s="55"/>
      <c r="X1107" s="54" t="s">
        <v>5114</v>
      </c>
      <c r="Y1107" s="52"/>
      <c r="Z1107" s="3" t="s">
        <v>154</v>
      </c>
      <c r="AA1107" s="3" t="s">
        <v>2470</v>
      </c>
      <c r="AB1107" s="3"/>
      <c r="AC1107" s="3"/>
      <c r="AD1107" s="3" t="s">
        <v>62</v>
      </c>
      <c r="AE1107" s="3" t="s">
        <v>83</v>
      </c>
      <c r="AF1107" s="3"/>
      <c r="AG1107" s="3" t="s">
        <v>2471</v>
      </c>
      <c r="AH1107" s="58">
        <v>100</v>
      </c>
      <c r="AI1107" s="3"/>
      <c r="AJ1107" s="3"/>
      <c r="AK1107" s="3"/>
      <c r="AL1107" s="3"/>
      <c r="AM1107" s="3"/>
      <c r="AN1107" s="3"/>
      <c r="AO1107" s="3"/>
      <c r="AP1107" s="3"/>
      <c r="AQ1107" s="3"/>
      <c r="AR1107" s="3"/>
      <c r="AS1107" s="3"/>
      <c r="AT1107" s="3"/>
      <c r="AU1107" s="3"/>
      <c r="AV1107" s="3"/>
      <c r="AW1107" s="3"/>
      <c r="AX1107" s="3"/>
      <c r="AY1107" s="3"/>
      <c r="AZ1107" s="4" t="s">
        <v>2468</v>
      </c>
      <c r="BA1107" s="3"/>
      <c r="BB1107" s="1"/>
      <c r="BC1107" s="1"/>
    </row>
    <row r="1108" spans="1:55" s="78" customFormat="1" ht="15" customHeight="1" x14ac:dyDescent="0.25">
      <c r="A1108" s="52" t="s">
        <v>5115</v>
      </c>
      <c r="B1108" s="34" t="s">
        <v>59</v>
      </c>
      <c r="C1108" s="53">
        <v>2026</v>
      </c>
      <c r="D1108" s="53">
        <v>2026</v>
      </c>
      <c r="E1108" s="54" t="s">
        <v>3689</v>
      </c>
      <c r="F1108" s="55" t="s">
        <v>50</v>
      </c>
      <c r="G1108" s="55" t="s">
        <v>50</v>
      </c>
      <c r="H1108" s="45" t="s">
        <v>2472</v>
      </c>
      <c r="I1108" s="56" t="s">
        <v>78</v>
      </c>
      <c r="J1108" s="56"/>
      <c r="K1108" s="55" t="s">
        <v>71</v>
      </c>
      <c r="L1108" s="55" t="str">
        <f>IF(K1108="Mine or Quarry","Mine","")</f>
        <v/>
      </c>
      <c r="M1108" s="55"/>
      <c r="N1108" s="55" t="s">
        <v>181</v>
      </c>
      <c r="O1108" s="55"/>
      <c r="P1108" s="55" t="s">
        <v>73</v>
      </c>
      <c r="Q1108" s="55" t="s">
        <v>57</v>
      </c>
      <c r="R1108" s="55"/>
      <c r="S1108" s="56" t="s">
        <v>81</v>
      </c>
      <c r="T1108" s="55" t="str">
        <f>IF(ISNUMBER(SEARCH(",",N1108)),"Y","N")</f>
        <v>N</v>
      </c>
      <c r="U1108" s="73">
        <v>8.59</v>
      </c>
      <c r="V1108" s="57" t="s">
        <v>101</v>
      </c>
      <c r="W1108" s="55"/>
      <c r="X1108" s="54" t="s">
        <v>5115</v>
      </c>
      <c r="Y1108" s="52"/>
      <c r="Z1108" s="3" t="s">
        <v>154</v>
      </c>
      <c r="AA1108" s="3" t="s">
        <v>2470</v>
      </c>
      <c r="AB1108" s="3"/>
      <c r="AC1108" s="3"/>
      <c r="AD1108" s="3" t="s">
        <v>62</v>
      </c>
      <c r="AE1108" s="3" t="s">
        <v>83</v>
      </c>
      <c r="AF1108" s="3"/>
      <c r="AG1108" s="3" t="s">
        <v>2471</v>
      </c>
      <c r="AH1108" s="58">
        <v>100</v>
      </c>
      <c r="AI1108" s="3"/>
      <c r="AJ1108" s="3"/>
      <c r="AK1108" s="3"/>
      <c r="AL1108" s="3"/>
      <c r="AM1108" s="3"/>
      <c r="AN1108" s="3"/>
      <c r="AO1108" s="3"/>
      <c r="AP1108" s="3"/>
      <c r="AQ1108" s="3"/>
      <c r="AR1108" s="3"/>
      <c r="AS1108" s="3"/>
      <c r="AT1108" s="3"/>
      <c r="AU1108" s="3"/>
      <c r="AV1108" s="3"/>
      <c r="AW1108" s="3"/>
      <c r="AX1108" s="3"/>
      <c r="AY1108" s="3"/>
      <c r="AZ1108" s="4" t="s">
        <v>2468</v>
      </c>
      <c r="BA1108" s="3"/>
      <c r="BB1108" s="1"/>
      <c r="BC1108" s="1"/>
    </row>
    <row r="1109" spans="1:55" s="78" customFormat="1" ht="15" customHeight="1" x14ac:dyDescent="0.25">
      <c r="A1109" s="52" t="s">
        <v>5116</v>
      </c>
      <c r="B1109" s="34" t="s">
        <v>59</v>
      </c>
      <c r="C1109" s="53">
        <v>2026</v>
      </c>
      <c r="D1109" s="53">
        <v>2026</v>
      </c>
      <c r="E1109" s="54" t="s">
        <v>3690</v>
      </c>
      <c r="F1109" s="55" t="s">
        <v>50</v>
      </c>
      <c r="G1109" s="55" t="s">
        <v>50</v>
      </c>
      <c r="H1109" s="45" t="s">
        <v>2473</v>
      </c>
      <c r="I1109" s="45" t="s">
        <v>78</v>
      </c>
      <c r="J1109" s="56"/>
      <c r="K1109" s="55" t="s">
        <v>2474</v>
      </c>
      <c r="L1109" s="55"/>
      <c r="M1109" s="55"/>
      <c r="N1109" s="45"/>
      <c r="O1109" s="55" t="s">
        <v>2475</v>
      </c>
      <c r="P1109" s="55" t="s">
        <v>89</v>
      </c>
      <c r="Q1109" s="55" t="s">
        <v>89</v>
      </c>
      <c r="R1109" s="55"/>
      <c r="S1109" s="56" t="s">
        <v>81</v>
      </c>
      <c r="T1109" s="55" t="s">
        <v>81</v>
      </c>
      <c r="U1109" s="57">
        <v>-999</v>
      </c>
      <c r="V1109" s="57" t="s">
        <v>59</v>
      </c>
      <c r="W1109" s="55"/>
      <c r="X1109" s="54" t="s">
        <v>5116</v>
      </c>
      <c r="Y1109" s="52"/>
      <c r="Z1109" s="1" t="s">
        <v>61</v>
      </c>
      <c r="AA1109" s="3" t="s">
        <v>2476</v>
      </c>
      <c r="AB1109" s="3"/>
      <c r="AC1109" s="3"/>
      <c r="AD1109" s="3" t="s">
        <v>62</v>
      </c>
      <c r="AE1109" s="2" t="s">
        <v>288</v>
      </c>
      <c r="AF1109" s="2"/>
      <c r="AG1109" s="1" t="s">
        <v>2477</v>
      </c>
      <c r="AH1109" s="2">
        <v>50</v>
      </c>
      <c r="AI1109" s="3" t="s">
        <v>2478</v>
      </c>
      <c r="AJ1109" s="58">
        <v>50</v>
      </c>
      <c r="AK1109" s="3"/>
      <c r="AL1109" s="3"/>
      <c r="AM1109" s="3"/>
      <c r="AN1109" s="3"/>
      <c r="AO1109" s="3"/>
      <c r="AP1109" s="3"/>
      <c r="AQ1109" s="3"/>
      <c r="AR1109" s="3"/>
      <c r="AS1109" s="3"/>
      <c r="AT1109" s="3"/>
      <c r="AU1109" s="3"/>
      <c r="AV1109" s="3"/>
      <c r="AW1109" s="3"/>
      <c r="AX1109" s="3"/>
      <c r="AY1109" s="3"/>
      <c r="AZ1109" s="4" t="s">
        <v>3935</v>
      </c>
      <c r="BA1109" s="3" t="s">
        <v>3936</v>
      </c>
      <c r="BB1109" s="1"/>
      <c r="BC1109" s="1"/>
    </row>
    <row r="1110" spans="1:55" s="78" customFormat="1" ht="15" customHeight="1" x14ac:dyDescent="0.25">
      <c r="A1110" s="52" t="s">
        <v>5117</v>
      </c>
      <c r="B1110" s="34" t="s">
        <v>59</v>
      </c>
      <c r="C1110" s="53">
        <v>2026</v>
      </c>
      <c r="D1110" s="53">
        <v>2026</v>
      </c>
      <c r="E1110" s="54" t="s">
        <v>3691</v>
      </c>
      <c r="F1110" s="55" t="s">
        <v>50</v>
      </c>
      <c r="G1110" s="55" t="s">
        <v>50</v>
      </c>
      <c r="H1110" s="45" t="s">
        <v>2480</v>
      </c>
      <c r="I1110" s="45" t="s">
        <v>78</v>
      </c>
      <c r="J1110" s="56"/>
      <c r="K1110" s="55" t="s">
        <v>2474</v>
      </c>
      <c r="L1110" s="55"/>
      <c r="M1110" s="55"/>
      <c r="N1110" s="45"/>
      <c r="O1110" s="55" t="s">
        <v>2475</v>
      </c>
      <c r="P1110" s="55" t="s">
        <v>89</v>
      </c>
      <c r="Q1110" s="55" t="s">
        <v>89</v>
      </c>
      <c r="R1110" s="55"/>
      <c r="S1110" s="56" t="s">
        <v>81</v>
      </c>
      <c r="T1110" s="55" t="s">
        <v>81</v>
      </c>
      <c r="U1110" s="57">
        <v>-999</v>
      </c>
      <c r="V1110" s="57" t="s">
        <v>59</v>
      </c>
      <c r="W1110" s="55"/>
      <c r="X1110" s="54" t="s">
        <v>5117</v>
      </c>
      <c r="Y1110" s="52"/>
      <c r="Z1110" s="1" t="s">
        <v>61</v>
      </c>
      <c r="AA1110" s="3" t="s">
        <v>2476</v>
      </c>
      <c r="AB1110" s="3"/>
      <c r="AC1110" s="3"/>
      <c r="AD1110" s="3" t="s">
        <v>62</v>
      </c>
      <c r="AE1110" s="2" t="s">
        <v>288</v>
      </c>
      <c r="AF1110" s="2"/>
      <c r="AG1110" s="1" t="s">
        <v>2481</v>
      </c>
      <c r="AH1110" s="2">
        <v>100</v>
      </c>
      <c r="AI1110" s="3"/>
      <c r="AJ1110" s="58"/>
      <c r="AK1110" s="3"/>
      <c r="AL1110" s="3"/>
      <c r="AM1110" s="3"/>
      <c r="AN1110" s="3"/>
      <c r="AO1110" s="3"/>
      <c r="AP1110" s="3"/>
      <c r="AQ1110" s="3"/>
      <c r="AR1110" s="3"/>
      <c r="AS1110" s="3"/>
      <c r="AT1110" s="3"/>
      <c r="AU1110" s="3"/>
      <c r="AV1110" s="3"/>
      <c r="AW1110" s="3"/>
      <c r="AX1110" s="3"/>
      <c r="AY1110" s="3"/>
      <c r="AZ1110" s="4" t="s">
        <v>2479</v>
      </c>
      <c r="BA1110" s="3"/>
      <c r="BB1110" s="1"/>
      <c r="BC1110" s="1"/>
    </row>
    <row r="1111" spans="1:55" s="78" customFormat="1" ht="15" customHeight="1" x14ac:dyDescent="0.25">
      <c r="A1111" s="52" t="s">
        <v>5118</v>
      </c>
      <c r="B1111" s="34" t="s">
        <v>59</v>
      </c>
      <c r="C1111" s="53">
        <v>2026</v>
      </c>
      <c r="D1111" s="53">
        <v>2026</v>
      </c>
      <c r="E1111" s="54" t="s">
        <v>3692</v>
      </c>
      <c r="F1111" s="55" t="s">
        <v>50</v>
      </c>
      <c r="G1111" s="55" t="s">
        <v>50</v>
      </c>
      <c r="H1111" s="45" t="s">
        <v>2483</v>
      </c>
      <c r="I1111" s="56" t="s">
        <v>52</v>
      </c>
      <c r="J1111" s="56"/>
      <c r="K1111" s="56" t="s">
        <v>346</v>
      </c>
      <c r="L1111" s="55" t="str">
        <f>IF(K1111="Mine or Quarry","Mine","")</f>
        <v/>
      </c>
      <c r="M1111" s="55"/>
      <c r="N1111" s="56" t="s">
        <v>788</v>
      </c>
      <c r="O1111" s="56" t="s">
        <v>789</v>
      </c>
      <c r="P1111" s="56" t="s">
        <v>89</v>
      </c>
      <c r="Q1111" s="56" t="s">
        <v>89</v>
      </c>
      <c r="R1111" s="55"/>
      <c r="S1111" s="56" t="s">
        <v>81</v>
      </c>
      <c r="T1111" s="55" t="str">
        <f>IF(ISNUMBER(SEARCH(",",N1111)),"Y","N")</f>
        <v>N</v>
      </c>
      <c r="U1111" s="57">
        <v>-999</v>
      </c>
      <c r="V1111" s="57" t="s">
        <v>59</v>
      </c>
      <c r="W1111" s="55"/>
      <c r="X1111" s="54" t="s">
        <v>5118</v>
      </c>
      <c r="Y1111" s="52"/>
      <c r="Z1111" s="2" t="s">
        <v>61</v>
      </c>
      <c r="AA1111" s="1" t="s">
        <v>2484</v>
      </c>
      <c r="AB1111" s="1"/>
      <c r="AC1111" s="1"/>
      <c r="AD1111" s="3" t="s">
        <v>62</v>
      </c>
      <c r="AE1111" s="2" t="s">
        <v>63</v>
      </c>
      <c r="AF1111" s="2"/>
      <c r="AG1111" s="1" t="s">
        <v>1856</v>
      </c>
      <c r="AH1111" s="2">
        <v>100</v>
      </c>
      <c r="AI1111" s="1"/>
      <c r="AJ1111" s="1"/>
      <c r="AK1111" s="1"/>
      <c r="AL1111" s="1"/>
      <c r="AM1111" s="1"/>
      <c r="AN1111" s="1"/>
      <c r="AO1111" s="1"/>
      <c r="AP1111" s="1"/>
      <c r="AQ1111" s="1"/>
      <c r="AR1111" s="1"/>
      <c r="AS1111" s="1"/>
      <c r="AT1111" s="1"/>
      <c r="AU1111" s="1"/>
      <c r="AV1111" s="1"/>
      <c r="AW1111" s="1"/>
      <c r="AX1111" s="1"/>
      <c r="AY1111" s="1"/>
      <c r="AZ1111" s="4" t="s">
        <v>2482</v>
      </c>
      <c r="BA1111" s="1"/>
      <c r="BB1111" s="1"/>
      <c r="BC1111" s="1"/>
    </row>
    <row r="1112" spans="1:55" s="78" customFormat="1" ht="15" customHeight="1" x14ac:dyDescent="0.25">
      <c r="A1112" s="52" t="s">
        <v>5119</v>
      </c>
      <c r="B1112" s="34" t="s">
        <v>59</v>
      </c>
      <c r="C1112" s="53">
        <v>2026</v>
      </c>
      <c r="D1112" s="53">
        <v>2026</v>
      </c>
      <c r="E1112" s="54" t="s">
        <v>3693</v>
      </c>
      <c r="F1112" s="55" t="s">
        <v>50</v>
      </c>
      <c r="G1112" s="55" t="s">
        <v>50</v>
      </c>
      <c r="H1112" s="45" t="s">
        <v>2486</v>
      </c>
      <c r="I1112" s="56" t="s">
        <v>52</v>
      </c>
      <c r="J1112" s="56"/>
      <c r="K1112" s="56" t="s">
        <v>87</v>
      </c>
      <c r="L1112" s="55" t="str">
        <f>IF(K1112="Mine or Quarry","Mine","")</f>
        <v/>
      </c>
      <c r="M1112" s="55"/>
      <c r="N1112" s="56"/>
      <c r="O1112" s="56" t="s">
        <v>2892</v>
      </c>
      <c r="P1112" s="56" t="s">
        <v>89</v>
      </c>
      <c r="Q1112" s="56" t="s">
        <v>89</v>
      </c>
      <c r="R1112" s="55"/>
      <c r="S1112" s="56" t="s">
        <v>81</v>
      </c>
      <c r="T1112" s="55" t="s">
        <v>58</v>
      </c>
      <c r="U1112" s="57">
        <v>180000</v>
      </c>
      <c r="V1112" s="57" t="s">
        <v>101</v>
      </c>
      <c r="W1112" s="55"/>
      <c r="X1112" s="54" t="s">
        <v>5119</v>
      </c>
      <c r="Y1112" s="52"/>
      <c r="Z1112" s="1" t="s">
        <v>61</v>
      </c>
      <c r="AA1112" s="1" t="s">
        <v>2487</v>
      </c>
      <c r="AB1112" s="1"/>
      <c r="AC1112" s="1"/>
      <c r="AD1112" s="3" t="s">
        <v>62</v>
      </c>
      <c r="AE1112" s="1" t="s">
        <v>192</v>
      </c>
      <c r="AF1112" s="1" t="s">
        <v>368</v>
      </c>
      <c r="AG1112" s="1" t="s">
        <v>368</v>
      </c>
      <c r="AH1112" s="2">
        <v>100</v>
      </c>
      <c r="AI1112" s="1"/>
      <c r="AJ1112" s="1"/>
      <c r="AK1112" s="1"/>
      <c r="AL1112" s="1"/>
      <c r="AM1112" s="1"/>
      <c r="AN1112" s="1"/>
      <c r="AO1112" s="1"/>
      <c r="AP1112" s="1"/>
      <c r="AQ1112" s="1"/>
      <c r="AR1112" s="1"/>
      <c r="AS1112" s="1"/>
      <c r="AT1112" s="1"/>
      <c r="AU1112" s="1"/>
      <c r="AV1112" s="1"/>
      <c r="AW1112" s="1"/>
      <c r="AX1112" s="1"/>
      <c r="AY1112" s="1"/>
      <c r="AZ1112" s="5" t="s">
        <v>2485</v>
      </c>
      <c r="BA1112" s="5"/>
      <c r="BB1112" s="1"/>
      <c r="BC1112" s="1"/>
    </row>
    <row r="1113" spans="1:55" s="78" customFormat="1" ht="15" customHeight="1" x14ac:dyDescent="0.25">
      <c r="A1113" s="52" t="s">
        <v>5120</v>
      </c>
      <c r="B1113" s="34" t="s">
        <v>59</v>
      </c>
      <c r="C1113" s="53">
        <v>2026</v>
      </c>
      <c r="D1113" s="53">
        <v>2026</v>
      </c>
      <c r="E1113" s="54" t="s">
        <v>3694</v>
      </c>
      <c r="F1113" s="55" t="s">
        <v>50</v>
      </c>
      <c r="G1113" s="55" t="s">
        <v>50</v>
      </c>
      <c r="H1113" s="45" t="s">
        <v>2488</v>
      </c>
      <c r="I1113" s="56" t="s">
        <v>78</v>
      </c>
      <c r="J1113" s="56"/>
      <c r="K1113" s="56" t="s">
        <v>87</v>
      </c>
      <c r="L1113" s="55" t="str">
        <f>IF(K1113="Mine or Quarry","Mine","")</f>
        <v/>
      </c>
      <c r="M1113" s="55"/>
      <c r="N1113" s="56" t="s">
        <v>181</v>
      </c>
      <c r="O1113" s="56" t="s">
        <v>370</v>
      </c>
      <c r="P1113" s="56" t="s">
        <v>89</v>
      </c>
      <c r="Q1113" s="56" t="s">
        <v>89</v>
      </c>
      <c r="R1113" s="55"/>
      <c r="S1113" s="56" t="s">
        <v>81</v>
      </c>
      <c r="T1113" s="55" t="s">
        <v>81</v>
      </c>
      <c r="U1113" s="57">
        <v>180000</v>
      </c>
      <c r="V1113" s="57" t="s">
        <v>101</v>
      </c>
      <c r="W1113" s="55"/>
      <c r="X1113" s="54" t="s">
        <v>5120</v>
      </c>
      <c r="Y1113" s="52"/>
      <c r="Z1113" s="1" t="s">
        <v>61</v>
      </c>
      <c r="AA1113" s="1" t="s">
        <v>2487</v>
      </c>
      <c r="AB1113" s="1"/>
      <c r="AC1113" s="1"/>
      <c r="AD1113" s="3" t="s">
        <v>62</v>
      </c>
      <c r="AE1113" s="1" t="s">
        <v>192</v>
      </c>
      <c r="AF1113" s="1" t="s">
        <v>368</v>
      </c>
      <c r="AG1113" s="1" t="s">
        <v>368</v>
      </c>
      <c r="AH1113" s="2">
        <v>100</v>
      </c>
      <c r="AI1113" s="1"/>
      <c r="AJ1113" s="1"/>
      <c r="AK1113" s="1"/>
      <c r="AL1113" s="1"/>
      <c r="AM1113" s="1"/>
      <c r="AN1113" s="1"/>
      <c r="AO1113" s="1"/>
      <c r="AP1113" s="1"/>
      <c r="AQ1113" s="1"/>
      <c r="AR1113" s="1"/>
      <c r="AS1113" s="1"/>
      <c r="AT1113" s="1"/>
      <c r="AU1113" s="1"/>
      <c r="AV1113" s="1"/>
      <c r="AW1113" s="1"/>
      <c r="AX1113" s="1"/>
      <c r="AY1113" s="1"/>
      <c r="AZ1113" s="5" t="s">
        <v>2485</v>
      </c>
      <c r="BA1113" s="5"/>
      <c r="BB1113" s="1"/>
      <c r="BC1113" s="1"/>
    </row>
    <row r="1114" spans="1:55" s="78" customFormat="1" ht="15" customHeight="1" x14ac:dyDescent="0.25">
      <c r="A1114" s="52" t="s">
        <v>5121</v>
      </c>
      <c r="B1114" s="34" t="s">
        <v>59</v>
      </c>
      <c r="C1114" s="53">
        <v>2026</v>
      </c>
      <c r="D1114" s="53">
        <v>2026</v>
      </c>
      <c r="E1114" s="54" t="s">
        <v>3695</v>
      </c>
      <c r="F1114" s="55" t="s">
        <v>50</v>
      </c>
      <c r="G1114" s="55" t="s">
        <v>50</v>
      </c>
      <c r="H1114" s="45" t="s">
        <v>2489</v>
      </c>
      <c r="I1114" s="56" t="s">
        <v>52</v>
      </c>
      <c r="J1114" s="56"/>
      <c r="K1114" s="45" t="s">
        <v>285</v>
      </c>
      <c r="L1114" s="55" t="str">
        <f>IF(K1114="Mine or Quarry","Mine","")</f>
        <v/>
      </c>
      <c r="M1114" s="55"/>
      <c r="N1114" s="56" t="s">
        <v>286</v>
      </c>
      <c r="O1114" s="56"/>
      <c r="P1114" s="55" t="s">
        <v>89</v>
      </c>
      <c r="Q1114" s="55" t="s">
        <v>89</v>
      </c>
      <c r="R1114" s="55"/>
      <c r="S1114" s="56" t="s">
        <v>58</v>
      </c>
      <c r="T1114" s="55" t="str">
        <f>IF(ISNUMBER(SEARCH(",",N1114)),"Y","N")</f>
        <v>N</v>
      </c>
      <c r="U1114" s="57">
        <v>-999</v>
      </c>
      <c r="V1114" s="57" t="s">
        <v>59</v>
      </c>
      <c r="W1114" s="55"/>
      <c r="X1114" s="54" t="s">
        <v>5121</v>
      </c>
      <c r="Y1114" s="52"/>
      <c r="Z1114" s="1" t="s">
        <v>61</v>
      </c>
      <c r="AA1114" s="1" t="s">
        <v>2490</v>
      </c>
      <c r="AB1114" s="1"/>
      <c r="AC1114" s="1"/>
      <c r="AD1114" s="3" t="s">
        <v>62</v>
      </c>
      <c r="AE1114" s="1" t="s">
        <v>206</v>
      </c>
      <c r="AF1114" s="1" t="s">
        <v>2491</v>
      </c>
      <c r="AG1114" s="1" t="s">
        <v>2492</v>
      </c>
      <c r="AH1114" s="1"/>
      <c r="AI1114" s="1"/>
      <c r="AJ1114" s="1"/>
      <c r="AK1114" s="1"/>
      <c r="AL1114" s="1"/>
      <c r="AM1114" s="1"/>
      <c r="AN1114" s="1"/>
      <c r="AO1114" s="1"/>
      <c r="AP1114" s="1"/>
      <c r="AQ1114" s="1"/>
      <c r="AR1114" s="1"/>
      <c r="AS1114" s="1"/>
      <c r="AT1114" s="1"/>
      <c r="AU1114" s="1"/>
      <c r="AV1114" s="1"/>
      <c r="AW1114" s="1"/>
      <c r="AX1114" s="1"/>
      <c r="AY1114" s="1"/>
      <c r="AZ1114" s="1" t="s">
        <v>284</v>
      </c>
      <c r="BA1114" s="1"/>
      <c r="BB1114" s="1"/>
      <c r="BC1114" s="1"/>
    </row>
    <row r="1115" spans="1:55" s="78" customFormat="1" ht="15" customHeight="1" x14ac:dyDescent="0.25">
      <c r="A1115" s="52" t="s">
        <v>5122</v>
      </c>
      <c r="B1115" s="34" t="s">
        <v>59</v>
      </c>
      <c r="C1115" s="53">
        <v>2026</v>
      </c>
      <c r="D1115" s="53">
        <v>2026</v>
      </c>
      <c r="E1115" s="54" t="s">
        <v>3696</v>
      </c>
      <c r="F1115" s="55" t="s">
        <v>50</v>
      </c>
      <c r="G1115" s="55" t="s">
        <v>50</v>
      </c>
      <c r="H1115" s="45" t="s">
        <v>2493</v>
      </c>
      <c r="I1115" s="45" t="s">
        <v>52</v>
      </c>
      <c r="J1115" s="56"/>
      <c r="K1115" s="55" t="s">
        <v>831</v>
      </c>
      <c r="L1115" s="55" t="s">
        <v>54</v>
      </c>
      <c r="M1115" s="55"/>
      <c r="N1115" s="55" t="s">
        <v>55</v>
      </c>
      <c r="O1115" s="55"/>
      <c r="P1115" s="55" t="s">
        <v>832</v>
      </c>
      <c r="Q1115" s="55" t="s">
        <v>57</v>
      </c>
      <c r="R1115" s="55"/>
      <c r="S1115" s="56" t="s">
        <v>81</v>
      </c>
      <c r="T1115" s="55" t="s">
        <v>81</v>
      </c>
      <c r="U1115" s="57">
        <v>-999</v>
      </c>
      <c r="V1115" s="57" t="s">
        <v>59</v>
      </c>
      <c r="W1115" s="55"/>
      <c r="X1115" s="54" t="s">
        <v>5122</v>
      </c>
      <c r="Y1115" s="52"/>
      <c r="Z1115" s="3" t="s">
        <v>61</v>
      </c>
      <c r="AA1115" s="3" t="s">
        <v>2494</v>
      </c>
      <c r="AB1115" s="3"/>
      <c r="AC1115" s="3"/>
      <c r="AD1115" s="3" t="s">
        <v>62</v>
      </c>
      <c r="AE1115" s="3" t="s">
        <v>251</v>
      </c>
      <c r="AF1115" s="3"/>
      <c r="AG1115" s="3" t="s">
        <v>1170</v>
      </c>
      <c r="AH1115" s="58">
        <v>100</v>
      </c>
      <c r="AI1115" s="3"/>
      <c r="AJ1115" s="3"/>
      <c r="AK1115" s="3"/>
      <c r="AL1115" s="3"/>
      <c r="AM1115" s="3"/>
      <c r="AN1115" s="3"/>
      <c r="AO1115" s="3"/>
      <c r="AP1115" s="3"/>
      <c r="AQ1115" s="3"/>
      <c r="AR1115" s="3"/>
      <c r="AS1115" s="3"/>
      <c r="AT1115" s="3"/>
      <c r="AU1115" s="3"/>
      <c r="AV1115" s="3"/>
      <c r="AW1115" s="3"/>
      <c r="AX1115" s="3"/>
      <c r="AY1115" s="3"/>
      <c r="AZ1115" s="4" t="s">
        <v>1767</v>
      </c>
      <c r="BA1115" s="3"/>
      <c r="BB1115" s="1"/>
      <c r="BC1115" s="1"/>
    </row>
    <row r="1116" spans="1:55" s="78" customFormat="1" ht="15" customHeight="1" x14ac:dyDescent="0.25">
      <c r="A1116" s="52" t="s">
        <v>5123</v>
      </c>
      <c r="B1116" s="34" t="s">
        <v>59</v>
      </c>
      <c r="C1116" s="53">
        <v>2026</v>
      </c>
      <c r="D1116" s="53">
        <v>2026</v>
      </c>
      <c r="E1116" s="54" t="s">
        <v>3697</v>
      </c>
      <c r="F1116" s="55" t="s">
        <v>50</v>
      </c>
      <c r="G1116" s="55" t="s">
        <v>50</v>
      </c>
      <c r="H1116" s="45" t="s">
        <v>2495</v>
      </c>
      <c r="I1116" s="45" t="s">
        <v>52</v>
      </c>
      <c r="J1116" s="56" t="s">
        <v>165</v>
      </c>
      <c r="K1116" s="55" t="s">
        <v>652</v>
      </c>
      <c r="L1116" s="55"/>
      <c r="M1116" s="55"/>
      <c r="N1116" s="56" t="s">
        <v>652</v>
      </c>
      <c r="O1116" s="56"/>
      <c r="P1116" s="56" t="s">
        <v>598</v>
      </c>
      <c r="Q1116" s="55" t="s">
        <v>57</v>
      </c>
      <c r="R1116" s="55"/>
      <c r="S1116" s="56" t="s">
        <v>81</v>
      </c>
      <c r="T1116" s="55" t="s">
        <v>81</v>
      </c>
      <c r="U1116" s="57">
        <v>2500000</v>
      </c>
      <c r="V1116" s="57" t="s">
        <v>101</v>
      </c>
      <c r="W1116" s="55"/>
      <c r="X1116" s="54" t="s">
        <v>5123</v>
      </c>
      <c r="Y1116" s="52"/>
      <c r="Z1116" s="1" t="s">
        <v>61</v>
      </c>
      <c r="AA1116" s="1" t="s">
        <v>2496</v>
      </c>
      <c r="AB1116" s="1"/>
      <c r="AC1116" s="1"/>
      <c r="AD1116" s="3" t="s">
        <v>62</v>
      </c>
      <c r="AE1116" s="3" t="s">
        <v>206</v>
      </c>
      <c r="AF1116" s="3"/>
      <c r="AG1116" s="3" t="s">
        <v>2497</v>
      </c>
      <c r="AH1116" s="58">
        <v>100</v>
      </c>
      <c r="AI1116" s="1"/>
      <c r="AJ1116" s="1"/>
      <c r="AK1116" s="1"/>
      <c r="AL1116" s="1"/>
      <c r="AM1116" s="1"/>
      <c r="AN1116" s="1"/>
      <c r="AO1116" s="1"/>
      <c r="AP1116" s="1"/>
      <c r="AQ1116" s="1"/>
      <c r="AR1116" s="1"/>
      <c r="AS1116" s="1"/>
      <c r="AT1116" s="1"/>
      <c r="AU1116" s="1"/>
      <c r="AV1116" s="1"/>
      <c r="AW1116" s="1"/>
      <c r="AX1116" s="1"/>
      <c r="AY1116" s="1"/>
      <c r="AZ1116" s="4" t="s">
        <v>2597</v>
      </c>
      <c r="BA1116" s="1" t="s">
        <v>3937</v>
      </c>
      <c r="BB1116" s="1"/>
      <c r="BC1116" s="1"/>
    </row>
    <row r="1117" spans="1:55" s="78" customFormat="1" ht="15" customHeight="1" x14ac:dyDescent="0.25">
      <c r="A1117" s="52" t="s">
        <v>5124</v>
      </c>
      <c r="B1117" s="34" t="s">
        <v>59</v>
      </c>
      <c r="C1117" s="53">
        <v>2026</v>
      </c>
      <c r="D1117" s="53">
        <v>2026</v>
      </c>
      <c r="E1117" s="54" t="s">
        <v>3698</v>
      </c>
      <c r="F1117" s="55" t="s">
        <v>50</v>
      </c>
      <c r="G1117" s="55" t="s">
        <v>50</v>
      </c>
      <c r="H1117" s="45" t="s">
        <v>2498</v>
      </c>
      <c r="I1117" s="56" t="s">
        <v>52</v>
      </c>
      <c r="J1117" s="56"/>
      <c r="K1117" s="56" t="s">
        <v>1019</v>
      </c>
      <c r="L1117" s="55"/>
      <c r="M1117" s="55"/>
      <c r="N1117" s="56"/>
      <c r="O1117" s="56" t="s">
        <v>1020</v>
      </c>
      <c r="P1117" s="56" t="s">
        <v>89</v>
      </c>
      <c r="Q1117" s="56" t="s">
        <v>89</v>
      </c>
      <c r="R1117" s="55"/>
      <c r="S1117" s="56" t="s">
        <v>81</v>
      </c>
      <c r="T1117" s="55" t="s">
        <v>81</v>
      </c>
      <c r="U1117" s="57">
        <v>-999</v>
      </c>
      <c r="V1117" s="57" t="s">
        <v>59</v>
      </c>
      <c r="W1117" s="55"/>
      <c r="X1117" s="54" t="s">
        <v>5124</v>
      </c>
      <c r="Y1117" s="52"/>
      <c r="Z1117" s="1" t="s">
        <v>61</v>
      </c>
      <c r="AA1117" s="1" t="s">
        <v>1021</v>
      </c>
      <c r="AB1117" s="1"/>
      <c r="AC1117" s="1"/>
      <c r="AD1117" s="3" t="s">
        <v>62</v>
      </c>
      <c r="AE1117" s="1" t="s">
        <v>108</v>
      </c>
      <c r="AF1117" s="1"/>
      <c r="AG1117" s="1" t="s">
        <v>2499</v>
      </c>
      <c r="AH1117" s="2">
        <v>100</v>
      </c>
      <c r="AI1117" s="1"/>
      <c r="AJ1117" s="1"/>
      <c r="AK1117" s="1"/>
      <c r="AL1117" s="1"/>
      <c r="AM1117" s="1"/>
      <c r="AN1117" s="1"/>
      <c r="AO1117" s="1"/>
      <c r="AP1117" s="1"/>
      <c r="AQ1117" s="1"/>
      <c r="AR1117" s="1"/>
      <c r="AS1117" s="1"/>
      <c r="AT1117" s="1"/>
      <c r="AU1117" s="1"/>
      <c r="AV1117" s="1"/>
      <c r="AW1117" s="1"/>
      <c r="AX1117" s="1"/>
      <c r="AY1117" s="1"/>
      <c r="AZ1117" s="4" t="s">
        <v>1017</v>
      </c>
      <c r="BA1117" s="1"/>
      <c r="BB1117" s="1"/>
      <c r="BC1117" s="1"/>
    </row>
    <row r="1118" spans="1:55" s="78" customFormat="1" ht="15" customHeight="1" x14ac:dyDescent="0.25">
      <c r="A1118" s="52" t="s">
        <v>5125</v>
      </c>
      <c r="B1118" s="34" t="s">
        <v>59</v>
      </c>
      <c r="C1118" s="53">
        <v>2026</v>
      </c>
      <c r="D1118" s="53">
        <v>2026</v>
      </c>
      <c r="E1118" s="54" t="s">
        <v>3699</v>
      </c>
      <c r="F1118" s="55" t="s">
        <v>50</v>
      </c>
      <c r="G1118" s="55" t="s">
        <v>50</v>
      </c>
      <c r="H1118" s="45" t="s">
        <v>3009</v>
      </c>
      <c r="I1118" s="56" t="s">
        <v>52</v>
      </c>
      <c r="J1118" s="56"/>
      <c r="K1118" s="45" t="s">
        <v>285</v>
      </c>
      <c r="L1118" s="55" t="str">
        <f>IF(K1118="Mine or Quarry","Mine","")</f>
        <v/>
      </c>
      <c r="M1118" s="55"/>
      <c r="N1118" s="56" t="s">
        <v>286</v>
      </c>
      <c r="O1118" s="56"/>
      <c r="P1118" s="55" t="s">
        <v>89</v>
      </c>
      <c r="Q1118" s="55" t="s">
        <v>89</v>
      </c>
      <c r="R1118" s="55"/>
      <c r="S1118" s="56" t="s">
        <v>58</v>
      </c>
      <c r="T1118" s="55" t="str">
        <f>IF(ISNUMBER(SEARCH(",",N1118)),"Y","N")</f>
        <v>N</v>
      </c>
      <c r="U1118" s="57">
        <v>-999</v>
      </c>
      <c r="V1118" s="57" t="s">
        <v>59</v>
      </c>
      <c r="W1118" s="55"/>
      <c r="X1118" s="54" t="s">
        <v>5125</v>
      </c>
      <c r="Y1118" s="52"/>
      <c r="Z1118" s="1" t="s">
        <v>61</v>
      </c>
      <c r="AA1118" s="3" t="s">
        <v>727</v>
      </c>
      <c r="AB1118" s="3"/>
      <c r="AC1118" s="3"/>
      <c r="AD1118" s="3" t="s">
        <v>62</v>
      </c>
      <c r="AE1118" s="1" t="s">
        <v>524</v>
      </c>
      <c r="AF1118" s="1"/>
      <c r="AG1118" s="1" t="s">
        <v>2500</v>
      </c>
      <c r="AH1118" s="1"/>
      <c r="AI1118" s="1"/>
      <c r="AJ1118" s="1"/>
      <c r="AK1118" s="1"/>
      <c r="AL1118" s="1"/>
      <c r="AM1118" s="1"/>
      <c r="AN1118" s="1"/>
      <c r="AO1118" s="1"/>
      <c r="AP1118" s="1"/>
      <c r="AQ1118" s="1"/>
      <c r="AR1118" s="1"/>
      <c r="AS1118" s="1"/>
      <c r="AT1118" s="1"/>
      <c r="AU1118" s="1"/>
      <c r="AV1118" s="1"/>
      <c r="AW1118" s="1"/>
      <c r="AX1118" s="1"/>
      <c r="AY1118" s="1"/>
      <c r="AZ1118" s="1" t="s">
        <v>284</v>
      </c>
      <c r="BA1118" s="1"/>
      <c r="BB1118" s="1"/>
      <c r="BC1118" s="1"/>
    </row>
    <row r="1119" spans="1:55" s="78" customFormat="1" ht="15" customHeight="1" x14ac:dyDescent="0.25">
      <c r="A1119" s="52" t="s">
        <v>5126</v>
      </c>
      <c r="B1119" s="34" t="s">
        <v>59</v>
      </c>
      <c r="C1119" s="53">
        <v>2026</v>
      </c>
      <c r="D1119" s="53">
        <v>2026</v>
      </c>
      <c r="E1119" s="54" t="s">
        <v>3700</v>
      </c>
      <c r="F1119" s="55" t="s">
        <v>50</v>
      </c>
      <c r="G1119" s="55" t="s">
        <v>50</v>
      </c>
      <c r="H1119" s="45" t="s">
        <v>2502</v>
      </c>
      <c r="I1119" s="45" t="s">
        <v>52</v>
      </c>
      <c r="J1119" s="56"/>
      <c r="K1119" s="45" t="s">
        <v>53</v>
      </c>
      <c r="L1119" s="55" t="s">
        <v>54</v>
      </c>
      <c r="M1119" s="55" t="s">
        <v>491</v>
      </c>
      <c r="N1119" s="45" t="s">
        <v>327</v>
      </c>
      <c r="O1119" s="45"/>
      <c r="P1119" s="55" t="s">
        <v>56</v>
      </c>
      <c r="Q1119" s="55" t="s">
        <v>57</v>
      </c>
      <c r="R1119" s="55"/>
      <c r="S1119" s="56" t="s">
        <v>58</v>
      </c>
      <c r="T1119" s="55" t="s">
        <v>81</v>
      </c>
      <c r="U1119" s="57">
        <v>6400</v>
      </c>
      <c r="V1119" s="57" t="s">
        <v>101</v>
      </c>
      <c r="W1119" s="55"/>
      <c r="X1119" s="54" t="s">
        <v>5126</v>
      </c>
      <c r="Y1119" s="52"/>
      <c r="Z1119" s="1" t="s">
        <v>61</v>
      </c>
      <c r="AA1119" s="2" t="s">
        <v>2503</v>
      </c>
      <c r="AB1119" s="2"/>
      <c r="AC1119" s="2"/>
      <c r="AD1119" s="3" t="s">
        <v>62</v>
      </c>
      <c r="AE1119" s="2" t="s">
        <v>524</v>
      </c>
      <c r="AF1119" s="2"/>
      <c r="AG1119" s="1" t="s">
        <v>1676</v>
      </c>
      <c r="AH1119" s="2">
        <v>100</v>
      </c>
      <c r="AI1119" s="2"/>
      <c r="AJ1119" s="2"/>
      <c r="AK1119" s="2"/>
      <c r="AL1119" s="2"/>
      <c r="AM1119" s="2"/>
      <c r="AN1119" s="2"/>
      <c r="AO1119" s="2"/>
      <c r="AP1119" s="2"/>
      <c r="AQ1119" s="2"/>
      <c r="AR1119" s="2"/>
      <c r="AS1119" s="2"/>
      <c r="AT1119" s="2"/>
      <c r="AU1119" s="2"/>
      <c r="AV1119" s="2"/>
      <c r="AW1119" s="2"/>
      <c r="AX1119" s="2"/>
      <c r="AY1119" s="2"/>
      <c r="AZ1119" s="4" t="s">
        <v>2501</v>
      </c>
      <c r="BA1119" s="2"/>
      <c r="BB1119" s="1"/>
      <c r="BC1119" s="1"/>
    </row>
    <row r="1120" spans="1:55" s="78" customFormat="1" ht="15" customHeight="1" x14ac:dyDescent="0.25">
      <c r="A1120" s="52" t="s">
        <v>5127</v>
      </c>
      <c r="B1120" s="34" t="s">
        <v>59</v>
      </c>
      <c r="C1120" s="53">
        <v>2026</v>
      </c>
      <c r="D1120" s="53">
        <v>2026</v>
      </c>
      <c r="E1120" s="54" t="s">
        <v>3700</v>
      </c>
      <c r="F1120" s="55" t="s">
        <v>50</v>
      </c>
      <c r="G1120" s="55" t="s">
        <v>50</v>
      </c>
      <c r="H1120" s="45" t="s">
        <v>2502</v>
      </c>
      <c r="I1120" s="45" t="s">
        <v>52</v>
      </c>
      <c r="J1120" s="56"/>
      <c r="K1120" s="45" t="s">
        <v>133</v>
      </c>
      <c r="L1120" s="55" t="s">
        <v>54</v>
      </c>
      <c r="M1120" s="55" t="s">
        <v>491</v>
      </c>
      <c r="N1120" s="55" t="s">
        <v>240</v>
      </c>
      <c r="O1120" s="45"/>
      <c r="P1120" s="55" t="s">
        <v>134</v>
      </c>
      <c r="Q1120" s="55" t="s">
        <v>57</v>
      </c>
      <c r="R1120" s="55"/>
      <c r="S1120" s="56" t="s">
        <v>58</v>
      </c>
      <c r="T1120" s="55" t="s">
        <v>81</v>
      </c>
      <c r="U1120" s="57">
        <v>3000</v>
      </c>
      <c r="V1120" s="57" t="s">
        <v>101</v>
      </c>
      <c r="W1120" s="55"/>
      <c r="X1120" s="54" t="s">
        <v>5127</v>
      </c>
      <c r="Y1120" s="52"/>
      <c r="Z1120" s="1" t="s">
        <v>61</v>
      </c>
      <c r="AA1120" s="2" t="s">
        <v>2503</v>
      </c>
      <c r="AB1120" s="2"/>
      <c r="AC1120" s="2"/>
      <c r="AD1120" s="3" t="s">
        <v>62</v>
      </c>
      <c r="AE1120" s="2" t="s">
        <v>524</v>
      </c>
      <c r="AF1120" s="2"/>
      <c r="AG1120" s="1" t="s">
        <v>1676</v>
      </c>
      <c r="AH1120" s="2">
        <v>100</v>
      </c>
      <c r="AI1120" s="2"/>
      <c r="AJ1120" s="2"/>
      <c r="AK1120" s="2"/>
      <c r="AL1120" s="2"/>
      <c r="AM1120" s="2"/>
      <c r="AN1120" s="2"/>
      <c r="AO1120" s="2"/>
      <c r="AP1120" s="2"/>
      <c r="AQ1120" s="2"/>
      <c r="AR1120" s="2"/>
      <c r="AS1120" s="2"/>
      <c r="AT1120" s="2"/>
      <c r="AU1120" s="2"/>
      <c r="AV1120" s="2"/>
      <c r="AW1120" s="2"/>
      <c r="AX1120" s="2"/>
      <c r="AY1120" s="2"/>
      <c r="AZ1120" s="4" t="s">
        <v>2501</v>
      </c>
      <c r="BA1120" s="2"/>
      <c r="BB1120" s="1"/>
      <c r="BC1120" s="1"/>
    </row>
    <row r="1121" spans="1:56" s="78" customFormat="1" ht="15" customHeight="1" x14ac:dyDescent="0.25">
      <c r="A1121" s="52" t="s">
        <v>5128</v>
      </c>
      <c r="B1121" s="34" t="s">
        <v>59</v>
      </c>
      <c r="C1121" s="53">
        <v>2026</v>
      </c>
      <c r="D1121" s="53">
        <v>2026</v>
      </c>
      <c r="E1121" s="54" t="s">
        <v>3700</v>
      </c>
      <c r="F1121" s="55" t="s">
        <v>50</v>
      </c>
      <c r="G1121" s="55" t="s">
        <v>50</v>
      </c>
      <c r="H1121" s="45" t="s">
        <v>2502</v>
      </c>
      <c r="I1121" s="45" t="s">
        <v>52</v>
      </c>
      <c r="J1121" s="56"/>
      <c r="K1121" s="45" t="s">
        <v>126</v>
      </c>
      <c r="L1121" s="55" t="s">
        <v>54</v>
      </c>
      <c r="M1121" s="55" t="s">
        <v>491</v>
      </c>
      <c r="N1121" s="55" t="s">
        <v>127</v>
      </c>
      <c r="O1121" s="55" t="s">
        <v>201</v>
      </c>
      <c r="P1121" s="55" t="s">
        <v>129</v>
      </c>
      <c r="Q1121" s="56" t="s">
        <v>57</v>
      </c>
      <c r="R1121" s="55"/>
      <c r="S1121" s="56" t="s">
        <v>58</v>
      </c>
      <c r="T1121" s="55" t="s">
        <v>81</v>
      </c>
      <c r="U1121" s="57">
        <v>3800</v>
      </c>
      <c r="V1121" s="57" t="s">
        <v>101</v>
      </c>
      <c r="W1121" s="55"/>
      <c r="X1121" s="54" t="s">
        <v>5128</v>
      </c>
      <c r="Y1121" s="52"/>
      <c r="Z1121" s="1" t="s">
        <v>61</v>
      </c>
      <c r="AA1121" s="2" t="s">
        <v>2503</v>
      </c>
      <c r="AB1121" s="2"/>
      <c r="AC1121" s="2"/>
      <c r="AD1121" s="3" t="s">
        <v>62</v>
      </c>
      <c r="AE1121" s="2" t="s">
        <v>524</v>
      </c>
      <c r="AF1121" s="2"/>
      <c r="AG1121" s="1" t="s">
        <v>1676</v>
      </c>
      <c r="AH1121" s="2">
        <v>100</v>
      </c>
      <c r="AI1121" s="2"/>
      <c r="AJ1121" s="2"/>
      <c r="AK1121" s="2"/>
      <c r="AL1121" s="2"/>
      <c r="AM1121" s="2"/>
      <c r="AN1121" s="2"/>
      <c r="AO1121" s="2"/>
      <c r="AP1121" s="2"/>
      <c r="AQ1121" s="2"/>
      <c r="AR1121" s="2"/>
      <c r="AS1121" s="2"/>
      <c r="AT1121" s="2"/>
      <c r="AU1121" s="2"/>
      <c r="AV1121" s="2"/>
      <c r="AW1121" s="2"/>
      <c r="AX1121" s="2"/>
      <c r="AY1121" s="2"/>
      <c r="AZ1121" s="4" t="s">
        <v>2501</v>
      </c>
      <c r="BA1121" s="2"/>
      <c r="BB1121" s="1"/>
      <c r="BC1121" s="1"/>
    </row>
    <row r="1122" spans="1:56" s="78" customFormat="1" ht="15" customHeight="1" x14ac:dyDescent="0.25">
      <c r="A1122" s="52" t="s">
        <v>5129</v>
      </c>
      <c r="B1122" s="34" t="s">
        <v>59</v>
      </c>
      <c r="C1122" s="53">
        <v>2026</v>
      </c>
      <c r="D1122" s="53">
        <v>2026</v>
      </c>
      <c r="E1122" s="54" t="s">
        <v>3700</v>
      </c>
      <c r="F1122" s="55" t="s">
        <v>50</v>
      </c>
      <c r="G1122" s="55" t="s">
        <v>50</v>
      </c>
      <c r="H1122" s="45" t="s">
        <v>2502</v>
      </c>
      <c r="I1122" s="45" t="s">
        <v>52</v>
      </c>
      <c r="J1122" s="56"/>
      <c r="K1122" s="45" t="s">
        <v>137</v>
      </c>
      <c r="L1122" s="55" t="s">
        <v>54</v>
      </c>
      <c r="M1122" s="55" t="s">
        <v>491</v>
      </c>
      <c r="N1122" s="45" t="s">
        <v>201</v>
      </c>
      <c r="O1122" s="45"/>
      <c r="P1122" s="55" t="s">
        <v>138</v>
      </c>
      <c r="Q1122" s="55" t="s">
        <v>57</v>
      </c>
      <c r="R1122" s="55"/>
      <c r="S1122" s="56" t="s">
        <v>58</v>
      </c>
      <c r="T1122" s="55" t="s">
        <v>81</v>
      </c>
      <c r="U1122" s="57">
        <v>21000</v>
      </c>
      <c r="V1122" s="57" t="s">
        <v>101</v>
      </c>
      <c r="W1122" s="55"/>
      <c r="X1122" s="54" t="s">
        <v>5129</v>
      </c>
      <c r="Y1122" s="52"/>
      <c r="Z1122" s="1" t="s">
        <v>61</v>
      </c>
      <c r="AA1122" s="2" t="s">
        <v>2503</v>
      </c>
      <c r="AB1122" s="2"/>
      <c r="AC1122" s="2"/>
      <c r="AD1122" s="3" t="s">
        <v>62</v>
      </c>
      <c r="AE1122" s="2" t="s">
        <v>524</v>
      </c>
      <c r="AF1122" s="2"/>
      <c r="AG1122" s="1" t="s">
        <v>1676</v>
      </c>
      <c r="AH1122" s="2">
        <v>100</v>
      </c>
      <c r="AI1122" s="2"/>
      <c r="AJ1122" s="2"/>
      <c r="AK1122" s="2"/>
      <c r="AL1122" s="2"/>
      <c r="AM1122" s="2"/>
      <c r="AN1122" s="2"/>
      <c r="AO1122" s="2"/>
      <c r="AP1122" s="2"/>
      <c r="AQ1122" s="2"/>
      <c r="AR1122" s="2"/>
      <c r="AS1122" s="2"/>
      <c r="AT1122" s="2"/>
      <c r="AU1122" s="2"/>
      <c r="AV1122" s="2"/>
      <c r="AW1122" s="2"/>
      <c r="AX1122" s="2"/>
      <c r="AY1122" s="2"/>
      <c r="AZ1122" s="4" t="s">
        <v>2501</v>
      </c>
      <c r="BA1122" s="2"/>
      <c r="BB1122" s="1"/>
      <c r="BC1122" s="1"/>
    </row>
    <row r="1123" spans="1:56" s="78" customFormat="1" ht="15" customHeight="1" x14ac:dyDescent="0.25">
      <c r="A1123" s="52" t="s">
        <v>5130</v>
      </c>
      <c r="B1123" s="34" t="s">
        <v>59</v>
      </c>
      <c r="C1123" s="53">
        <v>2026</v>
      </c>
      <c r="D1123" s="53">
        <v>2026</v>
      </c>
      <c r="E1123" s="54" t="s">
        <v>3701</v>
      </c>
      <c r="F1123" s="55" t="s">
        <v>50</v>
      </c>
      <c r="G1123" s="55" t="s">
        <v>50</v>
      </c>
      <c r="H1123" s="45" t="s">
        <v>2505</v>
      </c>
      <c r="I1123" s="56" t="s">
        <v>52</v>
      </c>
      <c r="J1123" s="45"/>
      <c r="K1123" s="55" t="s">
        <v>71</v>
      </c>
      <c r="L1123" s="55" t="s">
        <v>54</v>
      </c>
      <c r="M1123" s="55"/>
      <c r="N1123" s="55"/>
      <c r="O1123" s="55"/>
      <c r="P1123" s="55" t="s">
        <v>73</v>
      </c>
      <c r="Q1123" s="55" t="s">
        <v>57</v>
      </c>
      <c r="R1123" s="55"/>
      <c r="S1123" s="56" t="s">
        <v>58</v>
      </c>
      <c r="T1123" s="55" t="s">
        <v>81</v>
      </c>
      <c r="U1123" s="57">
        <v>-999</v>
      </c>
      <c r="V1123" s="57" t="s">
        <v>59</v>
      </c>
      <c r="W1123" s="55"/>
      <c r="X1123" s="54" t="s">
        <v>5130</v>
      </c>
      <c r="Y1123" s="52"/>
      <c r="Z1123" s="3" t="s">
        <v>514</v>
      </c>
      <c r="AA1123" s="3" t="s">
        <v>727</v>
      </c>
      <c r="AB1123" s="3"/>
      <c r="AC1123" s="3"/>
      <c r="AD1123" s="3" t="s">
        <v>62</v>
      </c>
      <c r="AE1123" s="3" t="s">
        <v>524</v>
      </c>
      <c r="AF1123" s="3"/>
      <c r="AG1123" s="1" t="s">
        <v>2506</v>
      </c>
      <c r="AH1123" s="2">
        <v>100</v>
      </c>
      <c r="AI1123" s="3"/>
      <c r="AJ1123" s="3"/>
      <c r="AK1123" s="3"/>
      <c r="AL1123" s="3"/>
      <c r="AM1123" s="3"/>
      <c r="AN1123" s="3"/>
      <c r="AO1123" s="3"/>
      <c r="AP1123" s="3"/>
      <c r="AQ1123" s="3"/>
      <c r="AR1123" s="3"/>
      <c r="AS1123" s="3"/>
      <c r="AT1123" s="3"/>
      <c r="AU1123" s="3"/>
      <c r="AV1123" s="3"/>
      <c r="AW1123" s="3"/>
      <c r="AX1123" s="3"/>
      <c r="AY1123" s="3"/>
      <c r="AZ1123" s="4" t="s">
        <v>2504</v>
      </c>
      <c r="BA1123" s="3"/>
      <c r="BB1123" s="1"/>
      <c r="BC1123" s="1"/>
    </row>
    <row r="1124" spans="1:56" s="78" customFormat="1" ht="15" customHeight="1" x14ac:dyDescent="0.25">
      <c r="A1124" s="52" t="s">
        <v>5131</v>
      </c>
      <c r="B1124" s="34" t="s">
        <v>59</v>
      </c>
      <c r="C1124" s="53">
        <v>2026</v>
      </c>
      <c r="D1124" s="53">
        <v>2026</v>
      </c>
      <c r="E1124" s="54" t="s">
        <v>3701</v>
      </c>
      <c r="F1124" s="55" t="s">
        <v>50</v>
      </c>
      <c r="G1124" s="55" t="s">
        <v>50</v>
      </c>
      <c r="H1124" s="45" t="s">
        <v>2505</v>
      </c>
      <c r="I1124" s="56" t="s">
        <v>52</v>
      </c>
      <c r="J1124" s="45" t="s">
        <v>65</v>
      </c>
      <c r="K1124" s="55" t="s">
        <v>66</v>
      </c>
      <c r="L1124" s="55" t="s">
        <v>54</v>
      </c>
      <c r="M1124" s="55"/>
      <c r="N1124" s="56"/>
      <c r="O1124" s="56"/>
      <c r="P1124" s="56" t="s">
        <v>67</v>
      </c>
      <c r="Q1124" s="55" t="s">
        <v>57</v>
      </c>
      <c r="R1124" s="55"/>
      <c r="S1124" s="56" t="s">
        <v>58</v>
      </c>
      <c r="T1124" s="55" t="str">
        <f>IF(ISNUMBER(SEARCH(",",N1124)),"Y","N")</f>
        <v>N</v>
      </c>
      <c r="U1124" s="57">
        <v>-999</v>
      </c>
      <c r="V1124" s="57" t="s">
        <v>59</v>
      </c>
      <c r="W1124" s="55"/>
      <c r="X1124" s="54" t="s">
        <v>5131</v>
      </c>
      <c r="Y1124" s="52"/>
      <c r="Z1124" s="1" t="s">
        <v>514</v>
      </c>
      <c r="AA1124" s="3" t="s">
        <v>727</v>
      </c>
      <c r="AB1124" s="3"/>
      <c r="AC1124" s="3"/>
      <c r="AD1124" s="3" t="s">
        <v>62</v>
      </c>
      <c r="AE1124" s="3" t="s">
        <v>524</v>
      </c>
      <c r="AF1124" s="1"/>
      <c r="AG1124" s="1" t="s">
        <v>2506</v>
      </c>
      <c r="AH1124" s="2">
        <v>100</v>
      </c>
      <c r="AI1124" s="1"/>
      <c r="AJ1124" s="1"/>
      <c r="AK1124" s="1"/>
      <c r="AL1124" s="1"/>
      <c r="AM1124" s="1"/>
      <c r="AN1124" s="1"/>
      <c r="AO1124" s="1"/>
      <c r="AP1124" s="1"/>
      <c r="AQ1124" s="1"/>
      <c r="AR1124" s="1"/>
      <c r="AS1124" s="1"/>
      <c r="AT1124" s="1"/>
      <c r="AU1124" s="1"/>
      <c r="AV1124" s="1"/>
      <c r="AW1124" s="1"/>
      <c r="AX1124" s="1"/>
      <c r="AY1124" s="1"/>
      <c r="AZ1124" s="4" t="s">
        <v>2504</v>
      </c>
      <c r="BA1124" s="1"/>
      <c r="BB1124" s="1"/>
      <c r="BC1124" s="1"/>
    </row>
    <row r="1125" spans="1:56" s="78" customFormat="1" ht="15" customHeight="1" x14ac:dyDescent="0.25">
      <c r="A1125" s="52" t="s">
        <v>5132</v>
      </c>
      <c r="B1125" s="34" t="s">
        <v>59</v>
      </c>
      <c r="C1125" s="53">
        <v>2026</v>
      </c>
      <c r="D1125" s="53">
        <v>2026</v>
      </c>
      <c r="E1125" s="54" t="s">
        <v>3701</v>
      </c>
      <c r="F1125" s="55" t="s">
        <v>50</v>
      </c>
      <c r="G1125" s="55" t="s">
        <v>50</v>
      </c>
      <c r="H1125" s="45" t="s">
        <v>2505</v>
      </c>
      <c r="I1125" s="56" t="s">
        <v>52</v>
      </c>
      <c r="J1125" s="45" t="s">
        <v>65</v>
      </c>
      <c r="K1125" s="55" t="s">
        <v>68</v>
      </c>
      <c r="L1125" s="55" t="s">
        <v>54</v>
      </c>
      <c r="M1125" s="55"/>
      <c r="N1125" s="56"/>
      <c r="O1125" s="56"/>
      <c r="P1125" s="55" t="s">
        <v>69</v>
      </c>
      <c r="Q1125" s="55" t="s">
        <v>57</v>
      </c>
      <c r="R1125" s="55"/>
      <c r="S1125" s="56" t="s">
        <v>58</v>
      </c>
      <c r="T1125" s="55" t="str">
        <f>IF(ISNUMBER(SEARCH(",",N1125)),"Y","N")</f>
        <v>N</v>
      </c>
      <c r="U1125" s="57">
        <v>-999</v>
      </c>
      <c r="V1125" s="57" t="s">
        <v>59</v>
      </c>
      <c r="W1125" s="55"/>
      <c r="X1125" s="54" t="s">
        <v>5132</v>
      </c>
      <c r="Y1125" s="52"/>
      <c r="Z1125" s="1" t="s">
        <v>514</v>
      </c>
      <c r="AA1125" s="3" t="s">
        <v>727</v>
      </c>
      <c r="AB1125" s="3"/>
      <c r="AC1125" s="3"/>
      <c r="AD1125" s="3" t="s">
        <v>62</v>
      </c>
      <c r="AE1125" s="3" t="s">
        <v>524</v>
      </c>
      <c r="AF1125" s="1"/>
      <c r="AG1125" s="1" t="s">
        <v>2506</v>
      </c>
      <c r="AH1125" s="2">
        <v>100</v>
      </c>
      <c r="AI1125" s="1"/>
      <c r="AJ1125" s="1"/>
      <c r="AK1125" s="1"/>
      <c r="AL1125" s="1"/>
      <c r="AM1125" s="1"/>
      <c r="AN1125" s="1"/>
      <c r="AO1125" s="1"/>
      <c r="AP1125" s="1"/>
      <c r="AQ1125" s="1"/>
      <c r="AR1125" s="1"/>
      <c r="AS1125" s="1"/>
      <c r="AT1125" s="1"/>
      <c r="AU1125" s="1"/>
      <c r="AV1125" s="1"/>
      <c r="AW1125" s="1"/>
      <c r="AX1125" s="1"/>
      <c r="AY1125" s="1"/>
      <c r="AZ1125" s="4" t="s">
        <v>2504</v>
      </c>
      <c r="BA1125" s="1"/>
      <c r="BB1125" s="1"/>
      <c r="BC1125" s="1"/>
    </row>
    <row r="1126" spans="1:56" s="78" customFormat="1" ht="15" customHeight="1" x14ac:dyDescent="0.25">
      <c r="A1126" s="52" t="s">
        <v>5133</v>
      </c>
      <c r="B1126" s="34" t="s">
        <v>59</v>
      </c>
      <c r="C1126" s="53">
        <v>2026</v>
      </c>
      <c r="D1126" s="53">
        <v>2026</v>
      </c>
      <c r="E1126" s="54" t="s">
        <v>3701</v>
      </c>
      <c r="F1126" s="55" t="s">
        <v>50</v>
      </c>
      <c r="G1126" s="55" t="s">
        <v>50</v>
      </c>
      <c r="H1126" s="45" t="s">
        <v>2505</v>
      </c>
      <c r="I1126" s="56" t="s">
        <v>52</v>
      </c>
      <c r="J1126" s="45"/>
      <c r="K1126" s="55" t="s">
        <v>74</v>
      </c>
      <c r="L1126" s="55" t="s">
        <v>54</v>
      </c>
      <c r="M1126" s="55"/>
      <c r="N1126" s="55"/>
      <c r="O1126" s="55"/>
      <c r="P1126" s="55" t="s">
        <v>75</v>
      </c>
      <c r="Q1126" s="56" t="s">
        <v>57</v>
      </c>
      <c r="R1126" s="55"/>
      <c r="S1126" s="56" t="s">
        <v>58</v>
      </c>
      <c r="T1126" s="55" t="s">
        <v>81</v>
      </c>
      <c r="U1126" s="57">
        <v>-999</v>
      </c>
      <c r="V1126" s="57" t="s">
        <v>59</v>
      </c>
      <c r="W1126" s="55"/>
      <c r="X1126" s="54" t="s">
        <v>5133</v>
      </c>
      <c r="Y1126" s="52"/>
      <c r="Z1126" s="3" t="s">
        <v>514</v>
      </c>
      <c r="AA1126" s="3" t="s">
        <v>727</v>
      </c>
      <c r="AB1126" s="3"/>
      <c r="AC1126" s="3"/>
      <c r="AD1126" s="3" t="s">
        <v>62</v>
      </c>
      <c r="AE1126" s="3" t="s">
        <v>524</v>
      </c>
      <c r="AF1126" s="3"/>
      <c r="AG1126" s="1" t="s">
        <v>2506</v>
      </c>
      <c r="AH1126" s="2">
        <v>100</v>
      </c>
      <c r="AI1126" s="1"/>
      <c r="AJ1126" s="3"/>
      <c r="AK1126" s="3"/>
      <c r="AL1126" s="3"/>
      <c r="AM1126" s="3"/>
      <c r="AN1126" s="3"/>
      <c r="AO1126" s="3"/>
      <c r="AP1126" s="3"/>
      <c r="AQ1126" s="3"/>
      <c r="AR1126" s="3"/>
      <c r="AS1126" s="3"/>
      <c r="AT1126" s="3"/>
      <c r="AU1126" s="3"/>
      <c r="AV1126" s="3"/>
      <c r="AW1126" s="3"/>
      <c r="AX1126" s="3"/>
      <c r="AY1126" s="3"/>
      <c r="AZ1126" s="4" t="s">
        <v>2504</v>
      </c>
      <c r="BA1126" s="3"/>
      <c r="BB1126" s="1"/>
      <c r="BC1126" s="1"/>
    </row>
    <row r="1127" spans="1:56" s="78" customFormat="1" ht="15" customHeight="1" x14ac:dyDescent="0.25">
      <c r="A1127" s="52" t="s">
        <v>5134</v>
      </c>
      <c r="B1127" s="34" t="s">
        <v>59</v>
      </c>
      <c r="C1127" s="53">
        <v>2026</v>
      </c>
      <c r="D1127" s="53">
        <v>2026</v>
      </c>
      <c r="E1127" s="54" t="s">
        <v>3702</v>
      </c>
      <c r="F1127" s="55" t="s">
        <v>50</v>
      </c>
      <c r="G1127" s="55" t="s">
        <v>50</v>
      </c>
      <c r="H1127" s="45" t="s">
        <v>2508</v>
      </c>
      <c r="I1127" s="56" t="s">
        <v>52</v>
      </c>
      <c r="J1127" s="56"/>
      <c r="K1127" s="56" t="s">
        <v>71</v>
      </c>
      <c r="L1127" s="55" t="s">
        <v>54</v>
      </c>
      <c r="M1127" s="55" t="s">
        <v>113</v>
      </c>
      <c r="N1127" s="56" t="s">
        <v>55</v>
      </c>
      <c r="O1127" s="56" t="s">
        <v>2509</v>
      </c>
      <c r="P1127" s="55" t="s">
        <v>73</v>
      </c>
      <c r="Q1127" s="55" t="s">
        <v>57</v>
      </c>
      <c r="R1127" s="55"/>
      <c r="S1127" s="56" t="s">
        <v>58</v>
      </c>
      <c r="T1127" s="55" t="s">
        <v>58</v>
      </c>
      <c r="U1127" s="57">
        <v>-999</v>
      </c>
      <c r="V1127" s="57" t="s">
        <v>59</v>
      </c>
      <c r="W1127" s="55"/>
      <c r="X1127" s="54" t="s">
        <v>5134</v>
      </c>
      <c r="Y1127" s="52"/>
      <c r="Z1127" s="3" t="s">
        <v>61</v>
      </c>
      <c r="AA1127" s="1" t="s">
        <v>2510</v>
      </c>
      <c r="AB1127" s="1"/>
      <c r="AC1127" s="1"/>
      <c r="AD1127" s="3" t="s">
        <v>62</v>
      </c>
      <c r="AE1127" s="3" t="s">
        <v>1054</v>
      </c>
      <c r="AF1127" s="3"/>
      <c r="AG1127" s="1" t="s">
        <v>2511</v>
      </c>
      <c r="AH1127" s="2">
        <v>100</v>
      </c>
      <c r="AI1127" s="1"/>
      <c r="AJ1127" s="1"/>
      <c r="AK1127" s="1"/>
      <c r="AL1127" s="1"/>
      <c r="AM1127" s="1"/>
      <c r="AN1127" s="1"/>
      <c r="AO1127" s="1"/>
      <c r="AP1127" s="1"/>
      <c r="AQ1127" s="1"/>
      <c r="AR1127" s="1"/>
      <c r="AS1127" s="1"/>
      <c r="AT1127" s="1"/>
      <c r="AU1127" s="1"/>
      <c r="AV1127" s="1"/>
      <c r="AW1127" s="1"/>
      <c r="AX1127" s="1"/>
      <c r="AY1127" s="1"/>
      <c r="AZ1127" s="4" t="s">
        <v>2507</v>
      </c>
      <c r="BA1127" s="1"/>
      <c r="BB1127" s="1"/>
      <c r="BC1127" s="1"/>
    </row>
    <row r="1128" spans="1:56" s="78" customFormat="1" ht="15" customHeight="1" x14ac:dyDescent="0.25">
      <c r="A1128" s="52" t="s">
        <v>5135</v>
      </c>
      <c r="B1128" s="34" t="s">
        <v>59</v>
      </c>
      <c r="C1128" s="53">
        <v>2026</v>
      </c>
      <c r="D1128" s="53">
        <v>2026</v>
      </c>
      <c r="E1128" s="54" t="s">
        <v>3702</v>
      </c>
      <c r="F1128" s="55" t="s">
        <v>50</v>
      </c>
      <c r="G1128" s="55" t="s">
        <v>50</v>
      </c>
      <c r="H1128" s="45" t="s">
        <v>2508</v>
      </c>
      <c r="I1128" s="56" t="s">
        <v>52</v>
      </c>
      <c r="J1128" s="56"/>
      <c r="K1128" s="56" t="s">
        <v>74</v>
      </c>
      <c r="L1128" s="55" t="s">
        <v>54</v>
      </c>
      <c r="M1128" s="55" t="s">
        <v>113</v>
      </c>
      <c r="N1128" s="56" t="s">
        <v>2512</v>
      </c>
      <c r="O1128" s="56"/>
      <c r="P1128" s="56" t="s">
        <v>75</v>
      </c>
      <c r="Q1128" s="56" t="s">
        <v>57</v>
      </c>
      <c r="R1128" s="55"/>
      <c r="S1128" s="56" t="s">
        <v>58</v>
      </c>
      <c r="T1128" s="55" t="s">
        <v>81</v>
      </c>
      <c r="U1128" s="57">
        <v>-999</v>
      </c>
      <c r="V1128" s="57" t="s">
        <v>59</v>
      </c>
      <c r="W1128" s="55"/>
      <c r="X1128" s="54" t="s">
        <v>5135</v>
      </c>
      <c r="Y1128" s="52"/>
      <c r="Z1128" s="3" t="s">
        <v>61</v>
      </c>
      <c r="AA1128" s="1" t="s">
        <v>2510</v>
      </c>
      <c r="AB1128" s="1"/>
      <c r="AC1128" s="1"/>
      <c r="AD1128" s="3" t="s">
        <v>62</v>
      </c>
      <c r="AE1128" s="3" t="s">
        <v>1054</v>
      </c>
      <c r="AF1128" s="3"/>
      <c r="AG1128" s="1" t="s">
        <v>2511</v>
      </c>
      <c r="AH1128" s="2">
        <v>100</v>
      </c>
      <c r="AI1128" s="1"/>
      <c r="AJ1128" s="1"/>
      <c r="AK1128" s="1"/>
      <c r="AL1128" s="1"/>
      <c r="AM1128" s="1"/>
      <c r="AN1128" s="1"/>
      <c r="AO1128" s="1"/>
      <c r="AP1128" s="1"/>
      <c r="AQ1128" s="1"/>
      <c r="AR1128" s="1"/>
      <c r="AS1128" s="1"/>
      <c r="AT1128" s="1"/>
      <c r="AU1128" s="1"/>
      <c r="AV1128" s="1"/>
      <c r="AW1128" s="1"/>
      <c r="AX1128" s="1"/>
      <c r="AY1128" s="1"/>
      <c r="AZ1128" s="4" t="s">
        <v>2507</v>
      </c>
      <c r="BA1128" s="1"/>
      <c r="BB1128" s="1"/>
      <c r="BC1128" s="1"/>
    </row>
    <row r="1129" spans="1:56" s="78" customFormat="1" ht="15" customHeight="1" x14ac:dyDescent="0.25">
      <c r="A1129" s="52" t="s">
        <v>5136</v>
      </c>
      <c r="B1129" s="34" t="s">
        <v>59</v>
      </c>
      <c r="C1129" s="53">
        <v>2026</v>
      </c>
      <c r="D1129" s="53">
        <v>2026</v>
      </c>
      <c r="E1129" s="54" t="s">
        <v>3702</v>
      </c>
      <c r="F1129" s="55" t="s">
        <v>50</v>
      </c>
      <c r="G1129" s="55" t="s">
        <v>50</v>
      </c>
      <c r="H1129" s="45" t="s">
        <v>2508</v>
      </c>
      <c r="I1129" s="56" t="s">
        <v>52</v>
      </c>
      <c r="J1129" s="45" t="s">
        <v>65</v>
      </c>
      <c r="K1129" s="56" t="s">
        <v>68</v>
      </c>
      <c r="L1129" s="55" t="s">
        <v>54</v>
      </c>
      <c r="M1129" s="55" t="s">
        <v>113</v>
      </c>
      <c r="N1129" s="56" t="s">
        <v>55</v>
      </c>
      <c r="O1129" s="56" t="s">
        <v>249</v>
      </c>
      <c r="P1129" s="56" t="s">
        <v>69</v>
      </c>
      <c r="Q1129" s="55" t="s">
        <v>57</v>
      </c>
      <c r="R1129" s="55"/>
      <c r="S1129" s="56" t="s">
        <v>58</v>
      </c>
      <c r="T1129" s="55" t="s">
        <v>81</v>
      </c>
      <c r="U1129" s="57">
        <v>-999</v>
      </c>
      <c r="V1129" s="57" t="s">
        <v>59</v>
      </c>
      <c r="W1129" s="55"/>
      <c r="X1129" s="54" t="s">
        <v>5136</v>
      </c>
      <c r="Y1129" s="52"/>
      <c r="Z1129" s="3" t="s">
        <v>61</v>
      </c>
      <c r="AA1129" s="1" t="s">
        <v>2510</v>
      </c>
      <c r="AB1129" s="1"/>
      <c r="AC1129" s="1"/>
      <c r="AD1129" s="3" t="s">
        <v>62</v>
      </c>
      <c r="AE1129" s="3" t="s">
        <v>1054</v>
      </c>
      <c r="AF1129" s="3"/>
      <c r="AG1129" s="1" t="s">
        <v>2511</v>
      </c>
      <c r="AH1129" s="2">
        <v>100</v>
      </c>
      <c r="AI1129" s="1"/>
      <c r="AJ1129" s="1"/>
      <c r="AK1129" s="1"/>
      <c r="AL1129" s="1"/>
      <c r="AM1129" s="1"/>
      <c r="AN1129" s="1"/>
      <c r="AO1129" s="1"/>
      <c r="AP1129" s="1"/>
      <c r="AQ1129" s="1"/>
      <c r="AR1129" s="1"/>
      <c r="AS1129" s="1"/>
      <c r="AT1129" s="1"/>
      <c r="AU1129" s="1"/>
      <c r="AV1129" s="1"/>
      <c r="AW1129" s="1"/>
      <c r="AX1129" s="1"/>
      <c r="AY1129" s="1"/>
      <c r="AZ1129" s="4" t="s">
        <v>2507</v>
      </c>
      <c r="BA1129" s="1"/>
      <c r="BB1129" s="1"/>
      <c r="BC1129" s="1"/>
    </row>
    <row r="1130" spans="1:56" s="78" customFormat="1" ht="15" customHeight="1" x14ac:dyDescent="0.25">
      <c r="A1130" s="52" t="s">
        <v>5137</v>
      </c>
      <c r="B1130" s="34" t="s">
        <v>59</v>
      </c>
      <c r="C1130" s="53">
        <v>2026</v>
      </c>
      <c r="D1130" s="53">
        <v>2026</v>
      </c>
      <c r="E1130" s="54" t="s">
        <v>3702</v>
      </c>
      <c r="F1130" s="55" t="s">
        <v>50</v>
      </c>
      <c r="G1130" s="55" t="s">
        <v>50</v>
      </c>
      <c r="H1130" s="45" t="s">
        <v>2508</v>
      </c>
      <c r="I1130" s="56" t="s">
        <v>52</v>
      </c>
      <c r="J1130" s="45" t="s">
        <v>65</v>
      </c>
      <c r="K1130" s="55" t="s">
        <v>66</v>
      </c>
      <c r="L1130" s="55" t="s">
        <v>54</v>
      </c>
      <c r="M1130" s="55" t="s">
        <v>113</v>
      </c>
      <c r="N1130" s="56" t="s">
        <v>55</v>
      </c>
      <c r="O1130" s="56" t="s">
        <v>249</v>
      </c>
      <c r="P1130" s="56" t="s">
        <v>67</v>
      </c>
      <c r="Q1130" s="55" t="s">
        <v>57</v>
      </c>
      <c r="R1130" s="55"/>
      <c r="S1130" s="56" t="s">
        <v>58</v>
      </c>
      <c r="T1130" s="55" t="str">
        <f>IF(ISNUMBER(SEARCH(",",N1130)),"Y","N")</f>
        <v>N</v>
      </c>
      <c r="U1130" s="57">
        <v>-999</v>
      </c>
      <c r="V1130" s="57" t="s">
        <v>59</v>
      </c>
      <c r="W1130" s="55"/>
      <c r="X1130" s="54" t="s">
        <v>5137</v>
      </c>
      <c r="Y1130" s="52"/>
      <c r="Z1130" s="3" t="s">
        <v>61</v>
      </c>
      <c r="AA1130" s="1" t="s">
        <v>2510</v>
      </c>
      <c r="AB1130" s="1"/>
      <c r="AC1130" s="1"/>
      <c r="AD1130" s="3" t="s">
        <v>62</v>
      </c>
      <c r="AE1130" s="3" t="s">
        <v>1054</v>
      </c>
      <c r="AF1130" s="3"/>
      <c r="AG1130" s="1" t="s">
        <v>2511</v>
      </c>
      <c r="AH1130" s="2">
        <v>100</v>
      </c>
      <c r="AI1130" s="1"/>
      <c r="AJ1130" s="1"/>
      <c r="AK1130" s="1"/>
      <c r="AL1130" s="1"/>
      <c r="AM1130" s="1"/>
      <c r="AN1130" s="1"/>
      <c r="AO1130" s="1"/>
      <c r="AP1130" s="1"/>
      <c r="AQ1130" s="1"/>
      <c r="AR1130" s="1"/>
      <c r="AS1130" s="1"/>
      <c r="AT1130" s="1"/>
      <c r="AU1130" s="1"/>
      <c r="AV1130" s="1"/>
      <c r="AW1130" s="1"/>
      <c r="AX1130" s="1"/>
      <c r="AY1130" s="1"/>
      <c r="AZ1130" s="4" t="s">
        <v>2507</v>
      </c>
      <c r="BA1130" s="1"/>
      <c r="BB1130" s="1"/>
      <c r="BC1130" s="1"/>
    </row>
    <row r="1131" spans="1:56" s="78" customFormat="1" ht="15" customHeight="1" x14ac:dyDescent="0.25">
      <c r="A1131" s="52" t="s">
        <v>5138</v>
      </c>
      <c r="B1131" s="34" t="s">
        <v>59</v>
      </c>
      <c r="C1131" s="53">
        <v>2026</v>
      </c>
      <c r="D1131" s="53">
        <v>2026</v>
      </c>
      <c r="E1131" s="54" t="s">
        <v>3703</v>
      </c>
      <c r="F1131" s="55" t="s">
        <v>50</v>
      </c>
      <c r="G1131" s="55" t="s">
        <v>50</v>
      </c>
      <c r="H1131" s="45" t="s">
        <v>2514</v>
      </c>
      <c r="I1131" s="56" t="s">
        <v>78</v>
      </c>
      <c r="J1131" s="56"/>
      <c r="K1131" s="56" t="s">
        <v>79</v>
      </c>
      <c r="L1131" s="55" t="str">
        <f>IF(K1131="Mine or Quarry","Mine","")</f>
        <v/>
      </c>
      <c r="M1131" s="55"/>
      <c r="N1131" s="56" t="s">
        <v>80</v>
      </c>
      <c r="O1131" s="56"/>
      <c r="P1131" s="56" t="s">
        <v>89</v>
      </c>
      <c r="Q1131" s="56" t="s">
        <v>89</v>
      </c>
      <c r="R1131" s="55"/>
      <c r="S1131" s="56" t="s">
        <v>81</v>
      </c>
      <c r="T1131" s="55" t="str">
        <f>IF(ISNUMBER(SEARCH(",",N1131)),"Y","N")</f>
        <v>N</v>
      </c>
      <c r="U1131" s="57">
        <v>-999</v>
      </c>
      <c r="V1131" s="57" t="s">
        <v>59</v>
      </c>
      <c r="W1131" s="55"/>
      <c r="X1131" s="54" t="s">
        <v>5138</v>
      </c>
      <c r="Y1131" s="52"/>
      <c r="Z1131" s="1" t="s">
        <v>61</v>
      </c>
      <c r="AA1131" s="1" t="s">
        <v>2515</v>
      </c>
      <c r="AB1131" s="1"/>
      <c r="AC1131" s="1"/>
      <c r="AD1131" s="3" t="s">
        <v>62</v>
      </c>
      <c r="AE1131" s="1" t="s">
        <v>464</v>
      </c>
      <c r="AF1131" s="1" t="s">
        <v>2516</v>
      </c>
      <c r="AG1131" s="1" t="s">
        <v>2517</v>
      </c>
      <c r="AH1131" s="1"/>
      <c r="AI1131" s="1"/>
      <c r="AJ1131" s="1"/>
      <c r="AK1131" s="1"/>
      <c r="AL1131" s="1"/>
      <c r="AM1131" s="1"/>
      <c r="AN1131" s="1"/>
      <c r="AO1131" s="1"/>
      <c r="AP1131" s="1"/>
      <c r="AQ1131" s="1"/>
      <c r="AR1131" s="1"/>
      <c r="AS1131" s="1"/>
      <c r="AT1131" s="1"/>
      <c r="AU1131" s="1"/>
      <c r="AV1131" s="1"/>
      <c r="AW1131" s="1"/>
      <c r="AX1131" s="1"/>
      <c r="AY1131" s="1"/>
      <c r="AZ1131" s="5" t="s">
        <v>2513</v>
      </c>
      <c r="BA1131" s="5"/>
      <c r="BB1131" s="1"/>
      <c r="BC1131" s="1"/>
    </row>
    <row r="1132" spans="1:56" s="78" customFormat="1" ht="15" customHeight="1" x14ac:dyDescent="0.25">
      <c r="A1132" s="52" t="s">
        <v>5139</v>
      </c>
      <c r="B1132" s="34" t="s">
        <v>59</v>
      </c>
      <c r="C1132" s="53">
        <v>2026</v>
      </c>
      <c r="D1132" s="53">
        <v>2026</v>
      </c>
      <c r="E1132" s="54" t="s">
        <v>3704</v>
      </c>
      <c r="F1132" s="55" t="s">
        <v>50</v>
      </c>
      <c r="G1132" s="55" t="s">
        <v>50</v>
      </c>
      <c r="H1132" s="45" t="s">
        <v>2519</v>
      </c>
      <c r="I1132" s="56" t="s">
        <v>78</v>
      </c>
      <c r="J1132" s="56"/>
      <c r="K1132" s="45" t="s">
        <v>71</v>
      </c>
      <c r="L1132" s="55" t="s">
        <v>88</v>
      </c>
      <c r="M1132" s="55"/>
      <c r="N1132" s="45" t="s">
        <v>110</v>
      </c>
      <c r="O1132" s="45"/>
      <c r="P1132" s="55" t="s">
        <v>73</v>
      </c>
      <c r="Q1132" s="55" t="s">
        <v>57</v>
      </c>
      <c r="R1132" s="55"/>
      <c r="S1132" s="56" t="s">
        <v>58</v>
      </c>
      <c r="T1132" s="55" t="s">
        <v>81</v>
      </c>
      <c r="U1132" s="57">
        <v>8.2780000000000005</v>
      </c>
      <c r="V1132" s="57" t="s">
        <v>101</v>
      </c>
      <c r="W1132" s="55"/>
      <c r="X1132" s="54" t="s">
        <v>5139</v>
      </c>
      <c r="Y1132" s="52"/>
      <c r="Z1132" s="3" t="s">
        <v>154</v>
      </c>
      <c r="AA1132" s="3" t="s">
        <v>2520</v>
      </c>
      <c r="AB1132" s="3"/>
      <c r="AC1132" s="3"/>
      <c r="AD1132" s="3" t="s">
        <v>62</v>
      </c>
      <c r="AE1132" s="2" t="s">
        <v>336</v>
      </c>
      <c r="AF1132" s="2"/>
      <c r="AG1132" s="3" t="s">
        <v>2521</v>
      </c>
      <c r="AH1132" s="58">
        <v>100</v>
      </c>
      <c r="AI1132" s="2"/>
      <c r="AJ1132" s="2"/>
      <c r="AK1132" s="2"/>
      <c r="AL1132" s="2"/>
      <c r="AM1132" s="2"/>
      <c r="AN1132" s="2"/>
      <c r="AO1132" s="2"/>
      <c r="AP1132" s="2"/>
      <c r="AQ1132" s="2"/>
      <c r="AR1132" s="2"/>
      <c r="AS1132" s="2"/>
      <c r="AT1132" s="2"/>
      <c r="AU1132" s="2"/>
      <c r="AV1132" s="2"/>
      <c r="AW1132" s="2"/>
      <c r="AX1132" s="2"/>
      <c r="AY1132" s="2"/>
      <c r="AZ1132" s="4" t="s">
        <v>2518</v>
      </c>
      <c r="BA1132" s="2"/>
      <c r="BB1132" s="1"/>
      <c r="BC1132" s="1"/>
    </row>
    <row r="1133" spans="1:56" s="78" customFormat="1" ht="15" customHeight="1" x14ac:dyDescent="0.25">
      <c r="A1133" s="52" t="s">
        <v>5140</v>
      </c>
      <c r="B1133" s="34" t="s">
        <v>59</v>
      </c>
      <c r="C1133" s="53">
        <v>2026</v>
      </c>
      <c r="D1133" s="53">
        <v>2026</v>
      </c>
      <c r="E1133" s="54" t="s">
        <v>3704</v>
      </c>
      <c r="F1133" s="55" t="s">
        <v>50</v>
      </c>
      <c r="G1133" s="55" t="s">
        <v>50</v>
      </c>
      <c r="H1133" s="45" t="s">
        <v>2519</v>
      </c>
      <c r="I1133" s="45" t="s">
        <v>78</v>
      </c>
      <c r="J1133" s="56"/>
      <c r="K1133" s="45" t="s">
        <v>74</v>
      </c>
      <c r="L1133" s="55" t="s">
        <v>88</v>
      </c>
      <c r="M1133" s="55"/>
      <c r="N1133" s="45" t="s">
        <v>110</v>
      </c>
      <c r="O1133" s="45"/>
      <c r="P1133" s="55" t="s">
        <v>75</v>
      </c>
      <c r="Q1133" s="56" t="s">
        <v>57</v>
      </c>
      <c r="R1133" s="55"/>
      <c r="S1133" s="56" t="s">
        <v>58</v>
      </c>
      <c r="T1133" s="55" t="s">
        <v>81</v>
      </c>
      <c r="U1133" s="73">
        <v>1.61</v>
      </c>
      <c r="V1133" s="57" t="s">
        <v>101</v>
      </c>
      <c r="W1133" s="55"/>
      <c r="X1133" s="54" t="s">
        <v>5140</v>
      </c>
      <c r="Y1133" s="52"/>
      <c r="Z1133" s="3" t="s">
        <v>154</v>
      </c>
      <c r="AA1133" s="3" t="s">
        <v>2520</v>
      </c>
      <c r="AB1133" s="3"/>
      <c r="AC1133" s="3"/>
      <c r="AD1133" s="3" t="s">
        <v>62</v>
      </c>
      <c r="AE1133" s="2" t="s">
        <v>336</v>
      </c>
      <c r="AF1133" s="2"/>
      <c r="AG1133" s="3" t="s">
        <v>2521</v>
      </c>
      <c r="AH1133" s="58">
        <v>100</v>
      </c>
      <c r="AI1133" s="1"/>
      <c r="AJ1133" s="2"/>
      <c r="AK1133" s="2"/>
      <c r="AL1133" s="2"/>
      <c r="AM1133" s="2"/>
      <c r="AN1133" s="2"/>
      <c r="AO1133" s="2"/>
      <c r="AP1133" s="2"/>
      <c r="AQ1133" s="2"/>
      <c r="AR1133" s="2"/>
      <c r="AS1133" s="2"/>
      <c r="AT1133" s="2"/>
      <c r="AU1133" s="2"/>
      <c r="AV1133" s="2"/>
      <c r="AW1133" s="2"/>
      <c r="AX1133" s="2"/>
      <c r="AY1133" s="2"/>
      <c r="AZ1133" s="4" t="s">
        <v>2518</v>
      </c>
      <c r="BA1133" s="2"/>
      <c r="BB1133" s="1"/>
      <c r="BC1133" s="1"/>
    </row>
    <row r="1134" spans="1:56" s="78" customFormat="1" ht="15" customHeight="1" x14ac:dyDescent="0.25">
      <c r="A1134" s="52" t="s">
        <v>5141</v>
      </c>
      <c r="B1134" s="34" t="s">
        <v>59</v>
      </c>
      <c r="C1134" s="53">
        <v>2026</v>
      </c>
      <c r="D1134" s="53">
        <v>2026</v>
      </c>
      <c r="E1134" s="54" t="s">
        <v>3704</v>
      </c>
      <c r="F1134" s="55" t="s">
        <v>50</v>
      </c>
      <c r="G1134" s="55" t="s">
        <v>50</v>
      </c>
      <c r="H1134" s="45" t="s">
        <v>2519</v>
      </c>
      <c r="I1134" s="56" t="s">
        <v>78</v>
      </c>
      <c r="J1134" s="56"/>
      <c r="K1134" s="45" t="s">
        <v>841</v>
      </c>
      <c r="L1134" s="55" t="s">
        <v>88</v>
      </c>
      <c r="M1134" s="55"/>
      <c r="N1134" s="45" t="s">
        <v>110</v>
      </c>
      <c r="O1134" s="45"/>
      <c r="P1134" s="55" t="s">
        <v>842</v>
      </c>
      <c r="Q1134" s="55" t="s">
        <v>57</v>
      </c>
      <c r="R1134" s="55"/>
      <c r="S1134" s="56" t="s">
        <v>58</v>
      </c>
      <c r="T1134" s="55" t="s">
        <v>81</v>
      </c>
      <c r="U1134" s="57">
        <v>3500</v>
      </c>
      <c r="V1134" s="57" t="s">
        <v>101</v>
      </c>
      <c r="W1134" s="55"/>
      <c r="X1134" s="54" t="s">
        <v>5141</v>
      </c>
      <c r="Y1134" s="52"/>
      <c r="Z1134" s="3" t="s">
        <v>154</v>
      </c>
      <c r="AA1134" s="3" t="s">
        <v>2520</v>
      </c>
      <c r="AB1134" s="3"/>
      <c r="AC1134" s="3"/>
      <c r="AD1134" s="3" t="s">
        <v>62</v>
      </c>
      <c r="AE1134" s="2" t="s">
        <v>336</v>
      </c>
      <c r="AF1134" s="2"/>
      <c r="AG1134" s="3" t="s">
        <v>2521</v>
      </c>
      <c r="AH1134" s="58">
        <v>100</v>
      </c>
      <c r="AI1134" s="2"/>
      <c r="AJ1134" s="2"/>
      <c r="AK1134" s="2"/>
      <c r="AL1134" s="2"/>
      <c r="AM1134" s="2"/>
      <c r="AN1134" s="2"/>
      <c r="AO1134" s="2"/>
      <c r="AP1134" s="2"/>
      <c r="AQ1134" s="2"/>
      <c r="AR1134" s="2"/>
      <c r="AS1134" s="2"/>
      <c r="AT1134" s="2"/>
      <c r="AU1134" s="2"/>
      <c r="AV1134" s="2"/>
      <c r="AW1134" s="2"/>
      <c r="AX1134" s="2"/>
      <c r="AY1134" s="2"/>
      <c r="AZ1134" s="4" t="s">
        <v>2518</v>
      </c>
      <c r="BA1134" s="2"/>
      <c r="BB1134" s="1"/>
      <c r="BC1134" s="1"/>
    </row>
    <row r="1135" spans="1:56" s="78" customFormat="1" ht="15" customHeight="1" x14ac:dyDescent="0.25">
      <c r="A1135" s="52" t="s">
        <v>5142</v>
      </c>
      <c r="B1135" s="34" t="s">
        <v>59</v>
      </c>
      <c r="C1135" s="53">
        <v>2026</v>
      </c>
      <c r="D1135" s="53">
        <v>2026</v>
      </c>
      <c r="E1135" s="54" t="s">
        <v>3705</v>
      </c>
      <c r="F1135" s="55" t="s">
        <v>50</v>
      </c>
      <c r="G1135" s="55" t="s">
        <v>50</v>
      </c>
      <c r="H1135" s="45" t="s">
        <v>2522</v>
      </c>
      <c r="I1135" s="45" t="s">
        <v>52</v>
      </c>
      <c r="J1135" s="56"/>
      <c r="K1135" s="45" t="s">
        <v>74</v>
      </c>
      <c r="L1135" s="55" t="s">
        <v>54</v>
      </c>
      <c r="M1135" s="55" t="s">
        <v>127</v>
      </c>
      <c r="N1135" s="55" t="s">
        <v>110</v>
      </c>
      <c r="O1135" s="56" t="s">
        <v>296</v>
      </c>
      <c r="P1135" s="55" t="s">
        <v>75</v>
      </c>
      <c r="Q1135" s="56" t="s">
        <v>57</v>
      </c>
      <c r="R1135" s="55"/>
      <c r="S1135" s="56" t="s">
        <v>58</v>
      </c>
      <c r="T1135" s="55" t="s">
        <v>81</v>
      </c>
      <c r="U1135" s="73">
        <v>1.61</v>
      </c>
      <c r="V1135" s="57" t="s">
        <v>101</v>
      </c>
      <c r="W1135" s="55"/>
      <c r="X1135" s="54" t="s">
        <v>5142</v>
      </c>
      <c r="Y1135" s="52"/>
      <c r="Z1135" s="3" t="s">
        <v>154</v>
      </c>
      <c r="AA1135" s="3" t="s">
        <v>2520</v>
      </c>
      <c r="AB1135" s="3"/>
      <c r="AC1135" s="3"/>
      <c r="AD1135" s="3" t="s">
        <v>62</v>
      </c>
      <c r="AE1135" s="2" t="s">
        <v>336</v>
      </c>
      <c r="AF1135" s="2"/>
      <c r="AG1135" s="3" t="s">
        <v>2521</v>
      </c>
      <c r="AH1135" s="58">
        <v>100</v>
      </c>
      <c r="AI1135" s="1"/>
      <c r="AJ1135" s="2"/>
      <c r="AK1135" s="2"/>
      <c r="AL1135" s="2"/>
      <c r="AM1135" s="2"/>
      <c r="AN1135" s="2"/>
      <c r="AO1135" s="2"/>
      <c r="AP1135" s="2"/>
      <c r="AQ1135" s="2"/>
      <c r="AR1135" s="2"/>
      <c r="AS1135" s="2"/>
      <c r="AT1135" s="2"/>
      <c r="AU1135" s="2"/>
      <c r="AV1135" s="2"/>
      <c r="AW1135" s="2"/>
      <c r="AX1135" s="2"/>
      <c r="AY1135" s="2"/>
      <c r="AZ1135" s="4" t="s">
        <v>2518</v>
      </c>
      <c r="BA1135" s="2"/>
      <c r="BB1135" s="1"/>
      <c r="BC1135" s="1"/>
    </row>
    <row r="1136" spans="1:56" s="78" customFormat="1" ht="15" customHeight="1" x14ac:dyDescent="0.25">
      <c r="A1136" s="52" t="s">
        <v>5143</v>
      </c>
      <c r="B1136" s="34" t="s">
        <v>59</v>
      </c>
      <c r="C1136" s="53">
        <v>2026</v>
      </c>
      <c r="D1136" s="53">
        <v>2026</v>
      </c>
      <c r="E1136" s="54" t="s">
        <v>3705</v>
      </c>
      <c r="F1136" s="55" t="s">
        <v>50</v>
      </c>
      <c r="G1136" s="55" t="s">
        <v>50</v>
      </c>
      <c r="H1136" s="45" t="s">
        <v>2522</v>
      </c>
      <c r="I1136" s="45" t="s">
        <v>52</v>
      </c>
      <c r="J1136" s="56"/>
      <c r="K1136" s="45" t="s">
        <v>71</v>
      </c>
      <c r="L1136" s="55" t="s">
        <v>54</v>
      </c>
      <c r="M1136" s="55" t="s">
        <v>127</v>
      </c>
      <c r="N1136" s="55" t="s">
        <v>110</v>
      </c>
      <c r="O1136" s="45" t="s">
        <v>296</v>
      </c>
      <c r="P1136" s="55" t="s">
        <v>73</v>
      </c>
      <c r="Q1136" s="55" t="s">
        <v>57</v>
      </c>
      <c r="R1136" s="55"/>
      <c r="S1136" s="56" t="s">
        <v>58</v>
      </c>
      <c r="T1136" s="55" t="s">
        <v>81</v>
      </c>
      <c r="U1136" s="57">
        <v>8.2780000000000005</v>
      </c>
      <c r="V1136" s="57" t="s">
        <v>101</v>
      </c>
      <c r="W1136" s="55"/>
      <c r="X1136" s="54" t="s">
        <v>5143</v>
      </c>
      <c r="Y1136" s="52"/>
      <c r="Z1136" s="3" t="s">
        <v>154</v>
      </c>
      <c r="AA1136" s="3" t="s">
        <v>2520</v>
      </c>
      <c r="AB1136" s="3"/>
      <c r="AC1136" s="3"/>
      <c r="AD1136" s="3" t="s">
        <v>62</v>
      </c>
      <c r="AE1136" s="2" t="s">
        <v>336</v>
      </c>
      <c r="AF1136" s="2"/>
      <c r="AG1136" s="3" t="s">
        <v>2521</v>
      </c>
      <c r="AH1136" s="58">
        <v>100</v>
      </c>
      <c r="AI1136" s="2"/>
      <c r="AJ1136" s="2"/>
      <c r="AK1136" s="2"/>
      <c r="AL1136" s="2"/>
      <c r="AM1136" s="2"/>
      <c r="AN1136" s="2"/>
      <c r="AO1136" s="2"/>
      <c r="AP1136" s="2"/>
      <c r="AQ1136" s="2"/>
      <c r="AR1136" s="2"/>
      <c r="AS1136" s="2"/>
      <c r="AT1136" s="2"/>
      <c r="AU1136" s="2"/>
      <c r="AV1136" s="2"/>
      <c r="AW1136" s="2"/>
      <c r="AX1136" s="2"/>
      <c r="AY1136" s="2"/>
      <c r="AZ1136" s="4" t="s">
        <v>2518</v>
      </c>
      <c r="BA1136" s="2"/>
      <c r="BB1136" s="1"/>
      <c r="BC1136" s="1"/>
      <c r="BD1136"/>
    </row>
    <row r="1137" spans="1:55" s="78" customFormat="1" ht="15" customHeight="1" x14ac:dyDescent="0.25">
      <c r="A1137" s="52" t="s">
        <v>5144</v>
      </c>
      <c r="B1137" s="34" t="s">
        <v>59</v>
      </c>
      <c r="C1137" s="53">
        <v>2026</v>
      </c>
      <c r="D1137" s="53">
        <v>2026</v>
      </c>
      <c r="E1137" s="54" t="s">
        <v>3706</v>
      </c>
      <c r="F1137" s="55" t="s">
        <v>50</v>
      </c>
      <c r="G1137" s="55" t="s">
        <v>50</v>
      </c>
      <c r="H1137" s="45" t="s">
        <v>2523</v>
      </c>
      <c r="I1137" s="56" t="s">
        <v>78</v>
      </c>
      <c r="J1137" s="56"/>
      <c r="K1137" s="55" t="s">
        <v>53</v>
      </c>
      <c r="L1137" s="55" t="s">
        <v>88</v>
      </c>
      <c r="M1137" s="55"/>
      <c r="N1137" s="45" t="s">
        <v>110</v>
      </c>
      <c r="O1137" s="55"/>
      <c r="P1137" s="55" t="s">
        <v>56</v>
      </c>
      <c r="Q1137" s="55" t="s">
        <v>57</v>
      </c>
      <c r="R1137" s="55"/>
      <c r="S1137" s="56" t="s">
        <v>58</v>
      </c>
      <c r="T1137" s="55" t="s">
        <v>81</v>
      </c>
      <c r="U1137" s="57">
        <v>1000</v>
      </c>
      <c r="V1137" s="57" t="s">
        <v>101</v>
      </c>
      <c r="W1137" s="55" t="s">
        <v>2797</v>
      </c>
      <c r="X1137" s="54" t="s">
        <v>5336</v>
      </c>
      <c r="Y1137" s="60"/>
      <c r="Z1137" s="1" t="s">
        <v>61</v>
      </c>
      <c r="AA1137" s="3" t="s">
        <v>2524</v>
      </c>
      <c r="AB1137" s="3"/>
      <c r="AC1137" s="3"/>
      <c r="AD1137" s="3" t="s">
        <v>62</v>
      </c>
      <c r="AE1137" s="2" t="s">
        <v>155</v>
      </c>
      <c r="AF1137" s="2"/>
      <c r="AG1137" s="3" t="s">
        <v>64</v>
      </c>
      <c r="AH1137" s="2">
        <v>100</v>
      </c>
      <c r="AI1137" s="3"/>
      <c r="AJ1137" s="3"/>
      <c r="AK1137" s="3"/>
      <c r="AL1137" s="3"/>
      <c r="AM1137" s="3"/>
      <c r="AN1137" s="3"/>
      <c r="AO1137" s="3"/>
      <c r="AP1137" s="3"/>
      <c r="AQ1137" s="3"/>
      <c r="AR1137" s="3"/>
      <c r="AS1137" s="3"/>
      <c r="AT1137" s="3"/>
      <c r="AU1137" s="3"/>
      <c r="AV1137" s="3"/>
      <c r="AW1137" s="3"/>
      <c r="AX1137" s="3"/>
      <c r="AY1137" s="3"/>
      <c r="AZ1137" s="4" t="s">
        <v>888</v>
      </c>
      <c r="BA1137" s="3"/>
      <c r="BB1137" s="1"/>
      <c r="BC1137" s="1"/>
    </row>
    <row r="1138" spans="1:55" s="78" customFormat="1" ht="15" customHeight="1" x14ac:dyDescent="0.25">
      <c r="A1138" s="52" t="s">
        <v>5145</v>
      </c>
      <c r="B1138" s="34" t="s">
        <v>59</v>
      </c>
      <c r="C1138" s="53">
        <v>2026</v>
      </c>
      <c r="D1138" s="53">
        <v>2026</v>
      </c>
      <c r="E1138" s="54" t="s">
        <v>3706</v>
      </c>
      <c r="F1138" s="55" t="s">
        <v>50</v>
      </c>
      <c r="G1138" s="55" t="s">
        <v>50</v>
      </c>
      <c r="H1138" s="45" t="s">
        <v>2523</v>
      </c>
      <c r="I1138" s="45" t="s">
        <v>78</v>
      </c>
      <c r="J1138" s="56"/>
      <c r="K1138" s="45" t="s">
        <v>137</v>
      </c>
      <c r="L1138" s="55" t="s">
        <v>88</v>
      </c>
      <c r="M1138" s="55"/>
      <c r="N1138" s="45" t="s">
        <v>110</v>
      </c>
      <c r="O1138" s="45"/>
      <c r="P1138" s="55" t="s">
        <v>138</v>
      </c>
      <c r="Q1138" s="55" t="s">
        <v>57</v>
      </c>
      <c r="R1138" s="55"/>
      <c r="S1138" s="56" t="s">
        <v>58</v>
      </c>
      <c r="T1138" s="55" t="s">
        <v>81</v>
      </c>
      <c r="U1138" s="57">
        <v>700</v>
      </c>
      <c r="V1138" s="57" t="s">
        <v>101</v>
      </c>
      <c r="W1138" s="55" t="s">
        <v>2797</v>
      </c>
      <c r="X1138" s="66" t="s">
        <v>5337</v>
      </c>
      <c r="Y1138" s="60"/>
      <c r="Z1138" s="1" t="s">
        <v>61</v>
      </c>
      <c r="AA1138" s="3" t="s">
        <v>2524</v>
      </c>
      <c r="AB1138" s="3"/>
      <c r="AC1138" s="3"/>
      <c r="AD1138" s="3" t="s">
        <v>62</v>
      </c>
      <c r="AE1138" s="2" t="s">
        <v>155</v>
      </c>
      <c r="AF1138" s="2"/>
      <c r="AG1138" s="3" t="s">
        <v>64</v>
      </c>
      <c r="AH1138" s="2">
        <v>100</v>
      </c>
      <c r="AI1138" s="2"/>
      <c r="AJ1138" s="2"/>
      <c r="AK1138" s="2"/>
      <c r="AL1138" s="2"/>
      <c r="AM1138" s="2"/>
      <c r="AN1138" s="2"/>
      <c r="AO1138" s="2"/>
      <c r="AP1138" s="2"/>
      <c r="AQ1138" s="2"/>
      <c r="AR1138" s="2"/>
      <c r="AS1138" s="2"/>
      <c r="AT1138" s="2"/>
      <c r="AU1138" s="2"/>
      <c r="AV1138" s="2"/>
      <c r="AW1138" s="2"/>
      <c r="AX1138" s="2"/>
      <c r="AY1138" s="2"/>
      <c r="AZ1138" s="4" t="s">
        <v>888</v>
      </c>
      <c r="BA1138" s="2"/>
      <c r="BB1138" s="1"/>
      <c r="BC1138" s="1"/>
    </row>
    <row r="1139" spans="1:55" s="78" customFormat="1" ht="15" customHeight="1" x14ac:dyDescent="0.25">
      <c r="A1139" s="52" t="s">
        <v>5146</v>
      </c>
      <c r="B1139" s="34" t="s">
        <v>59</v>
      </c>
      <c r="C1139" s="53">
        <v>2026</v>
      </c>
      <c r="D1139" s="53">
        <v>2026</v>
      </c>
      <c r="E1139" s="54" t="s">
        <v>3706</v>
      </c>
      <c r="F1139" s="55" t="s">
        <v>50</v>
      </c>
      <c r="G1139" s="55" t="s">
        <v>50</v>
      </c>
      <c r="H1139" s="45" t="s">
        <v>2523</v>
      </c>
      <c r="I1139" s="45" t="s">
        <v>78</v>
      </c>
      <c r="J1139" s="45" t="s">
        <v>65</v>
      </c>
      <c r="K1139" s="55" t="s">
        <v>66</v>
      </c>
      <c r="L1139" s="55" t="s">
        <v>88</v>
      </c>
      <c r="M1139" s="55"/>
      <c r="N1139" s="45" t="s">
        <v>110</v>
      </c>
      <c r="O1139" s="55"/>
      <c r="P1139" s="55" t="s">
        <v>67</v>
      </c>
      <c r="Q1139" s="55" t="s">
        <v>57</v>
      </c>
      <c r="R1139" s="55"/>
      <c r="S1139" s="56" t="s">
        <v>58</v>
      </c>
      <c r="T1139" s="55" t="s">
        <v>81</v>
      </c>
      <c r="U1139" s="73">
        <v>8.73</v>
      </c>
      <c r="V1139" s="57" t="s">
        <v>59</v>
      </c>
      <c r="W1139" s="55" t="s">
        <v>106</v>
      </c>
      <c r="X1139" s="54" t="s">
        <v>5146</v>
      </c>
      <c r="Y1139" s="60"/>
      <c r="Z1139" s="1" t="s">
        <v>61</v>
      </c>
      <c r="AA1139" s="3" t="s">
        <v>2524</v>
      </c>
      <c r="AB1139" s="3"/>
      <c r="AC1139" s="3"/>
      <c r="AD1139" s="3" t="s">
        <v>62</v>
      </c>
      <c r="AE1139" s="2" t="s">
        <v>155</v>
      </c>
      <c r="AF1139" s="2"/>
      <c r="AG1139" s="3" t="s">
        <v>64</v>
      </c>
      <c r="AH1139" s="2">
        <v>100</v>
      </c>
      <c r="AI1139" s="3"/>
      <c r="AJ1139" s="3"/>
      <c r="AK1139" s="3"/>
      <c r="AL1139" s="3"/>
      <c r="AM1139" s="3"/>
      <c r="AN1139" s="3"/>
      <c r="AO1139" s="3"/>
      <c r="AP1139" s="3"/>
      <c r="AQ1139" s="3"/>
      <c r="AR1139" s="3"/>
      <c r="AS1139" s="3"/>
      <c r="AT1139" s="3"/>
      <c r="AU1139" s="3"/>
      <c r="AV1139" s="3"/>
      <c r="AW1139" s="3"/>
      <c r="AX1139" s="3"/>
      <c r="AY1139" s="3"/>
      <c r="AZ1139" s="4" t="s">
        <v>888</v>
      </c>
      <c r="BA1139" s="3"/>
      <c r="BB1139" s="1"/>
      <c r="BC1139" s="1"/>
    </row>
    <row r="1140" spans="1:55" s="78" customFormat="1" ht="15" customHeight="1" x14ac:dyDescent="0.25">
      <c r="A1140" s="52" t="s">
        <v>5147</v>
      </c>
      <c r="B1140" s="34" t="s">
        <v>59</v>
      </c>
      <c r="C1140" s="53">
        <v>2026</v>
      </c>
      <c r="D1140" s="53">
        <v>2026</v>
      </c>
      <c r="E1140" s="54" t="s">
        <v>3706</v>
      </c>
      <c r="F1140" s="55" t="s">
        <v>50</v>
      </c>
      <c r="G1140" s="55" t="s">
        <v>50</v>
      </c>
      <c r="H1140" s="45" t="s">
        <v>2523</v>
      </c>
      <c r="I1140" s="45" t="s">
        <v>78</v>
      </c>
      <c r="J1140" s="45" t="s">
        <v>65</v>
      </c>
      <c r="K1140" s="55" t="s">
        <v>68</v>
      </c>
      <c r="L1140" s="55" t="s">
        <v>88</v>
      </c>
      <c r="M1140" s="55"/>
      <c r="N1140" s="45" t="s">
        <v>110</v>
      </c>
      <c r="O1140" s="55"/>
      <c r="P1140" s="55" t="s">
        <v>69</v>
      </c>
      <c r="Q1140" s="55" t="s">
        <v>57</v>
      </c>
      <c r="R1140" s="55"/>
      <c r="S1140" s="56" t="s">
        <v>58</v>
      </c>
      <c r="T1140" s="55" t="s">
        <v>81</v>
      </c>
      <c r="U1140" s="57">
        <v>2.3919999999999999</v>
      </c>
      <c r="V1140" s="57" t="s">
        <v>59</v>
      </c>
      <c r="W1140" s="55" t="s">
        <v>106</v>
      </c>
      <c r="X1140" s="54" t="s">
        <v>5147</v>
      </c>
      <c r="Y1140" s="60"/>
      <c r="Z1140" s="1" t="s">
        <v>61</v>
      </c>
      <c r="AA1140" s="3" t="s">
        <v>2524</v>
      </c>
      <c r="AB1140" s="3"/>
      <c r="AC1140" s="3"/>
      <c r="AD1140" s="3" t="s">
        <v>62</v>
      </c>
      <c r="AE1140" s="2" t="s">
        <v>155</v>
      </c>
      <c r="AF1140" s="2"/>
      <c r="AG1140" s="3" t="s">
        <v>64</v>
      </c>
      <c r="AH1140" s="2">
        <v>100</v>
      </c>
      <c r="AI1140" s="3"/>
      <c r="AJ1140" s="3"/>
      <c r="AK1140" s="3"/>
      <c r="AL1140" s="3"/>
      <c r="AM1140" s="3"/>
      <c r="AN1140" s="3"/>
      <c r="AO1140" s="3"/>
      <c r="AP1140" s="3"/>
      <c r="AQ1140" s="3"/>
      <c r="AR1140" s="3"/>
      <c r="AS1140" s="3"/>
      <c r="AT1140" s="3"/>
      <c r="AU1140" s="3"/>
      <c r="AV1140" s="3"/>
      <c r="AW1140" s="3"/>
      <c r="AX1140" s="3"/>
      <c r="AY1140" s="3"/>
      <c r="AZ1140" s="4" t="s">
        <v>888</v>
      </c>
      <c r="BA1140" s="3"/>
      <c r="BB1140" s="1"/>
      <c r="BC1140" s="1"/>
    </row>
    <row r="1141" spans="1:55" s="78" customFormat="1" ht="15" customHeight="1" x14ac:dyDescent="0.25">
      <c r="A1141" s="52" t="s">
        <v>5148</v>
      </c>
      <c r="B1141" s="34" t="s">
        <v>59</v>
      </c>
      <c r="C1141" s="53">
        <v>2026</v>
      </c>
      <c r="D1141" s="53">
        <v>2026</v>
      </c>
      <c r="E1141" s="54" t="s">
        <v>3706</v>
      </c>
      <c r="F1141" s="55" t="s">
        <v>50</v>
      </c>
      <c r="G1141" s="55" t="s">
        <v>50</v>
      </c>
      <c r="H1141" s="45" t="s">
        <v>2523</v>
      </c>
      <c r="I1141" s="45" t="s">
        <v>78</v>
      </c>
      <c r="J1141" s="45" t="s">
        <v>65</v>
      </c>
      <c r="K1141" s="55" t="s">
        <v>890</v>
      </c>
      <c r="L1141" s="55" t="s">
        <v>88</v>
      </c>
      <c r="M1141" s="55"/>
      <c r="N1141" s="45" t="s">
        <v>110</v>
      </c>
      <c r="O1141" s="55"/>
      <c r="P1141" s="55" t="s">
        <v>892</v>
      </c>
      <c r="Q1141" s="55" t="s">
        <v>57</v>
      </c>
      <c r="R1141" s="55"/>
      <c r="S1141" s="56" t="s">
        <v>58</v>
      </c>
      <c r="T1141" s="55" t="s">
        <v>81</v>
      </c>
      <c r="U1141" s="57">
        <v>-999</v>
      </c>
      <c r="V1141" s="57" t="s">
        <v>59</v>
      </c>
      <c r="W1141" s="55"/>
      <c r="X1141" s="54" t="s">
        <v>5148</v>
      </c>
      <c r="Y1141" s="60"/>
      <c r="Z1141" s="1" t="s">
        <v>61</v>
      </c>
      <c r="AA1141" s="3" t="s">
        <v>2524</v>
      </c>
      <c r="AB1141" s="3"/>
      <c r="AC1141" s="3"/>
      <c r="AD1141" s="3" t="s">
        <v>62</v>
      </c>
      <c r="AE1141" s="2" t="s">
        <v>155</v>
      </c>
      <c r="AF1141" s="2"/>
      <c r="AG1141" s="3" t="s">
        <v>64</v>
      </c>
      <c r="AH1141" s="2">
        <v>100</v>
      </c>
      <c r="AI1141" s="3"/>
      <c r="AJ1141" s="3"/>
      <c r="AK1141" s="3"/>
      <c r="AL1141" s="3"/>
      <c r="AM1141" s="3"/>
      <c r="AN1141" s="3"/>
      <c r="AO1141" s="3"/>
      <c r="AP1141" s="3"/>
      <c r="AQ1141" s="3"/>
      <c r="AR1141" s="3"/>
      <c r="AS1141" s="3"/>
      <c r="AT1141" s="3"/>
      <c r="AU1141" s="3"/>
      <c r="AV1141" s="3"/>
      <c r="AW1141" s="3"/>
      <c r="AX1141" s="3"/>
      <c r="AY1141" s="3"/>
      <c r="AZ1141" s="4" t="s">
        <v>888</v>
      </c>
      <c r="BA1141" s="3"/>
      <c r="BB1141" s="1"/>
      <c r="BC1141" s="1"/>
    </row>
    <row r="1142" spans="1:55" s="78" customFormat="1" ht="15" customHeight="1" x14ac:dyDescent="0.25">
      <c r="A1142" s="52" t="s">
        <v>5149</v>
      </c>
      <c r="B1142" s="34" t="s">
        <v>59</v>
      </c>
      <c r="C1142" s="53">
        <v>2026</v>
      </c>
      <c r="D1142" s="53">
        <v>2026</v>
      </c>
      <c r="E1142" s="54" t="s">
        <v>3706</v>
      </c>
      <c r="F1142" s="55" t="s">
        <v>50</v>
      </c>
      <c r="G1142" s="55" t="s">
        <v>50</v>
      </c>
      <c r="H1142" s="45" t="s">
        <v>2523</v>
      </c>
      <c r="I1142" s="45" t="s">
        <v>78</v>
      </c>
      <c r="J1142" s="56"/>
      <c r="K1142" s="55" t="s">
        <v>194</v>
      </c>
      <c r="L1142" s="55" t="s">
        <v>88</v>
      </c>
      <c r="M1142" s="55"/>
      <c r="N1142" s="45" t="s">
        <v>110</v>
      </c>
      <c r="O1142" s="55"/>
      <c r="P1142" s="55" t="s">
        <v>195</v>
      </c>
      <c r="Q1142" s="55" t="s">
        <v>57</v>
      </c>
      <c r="R1142" s="55"/>
      <c r="S1142" s="56" t="s">
        <v>58</v>
      </c>
      <c r="T1142" s="55" t="s">
        <v>81</v>
      </c>
      <c r="U1142" s="57">
        <v>-999</v>
      </c>
      <c r="V1142" s="57" t="s">
        <v>59</v>
      </c>
      <c r="W1142" s="55"/>
      <c r="X1142" s="54" t="s">
        <v>5149</v>
      </c>
      <c r="Y1142" s="60"/>
      <c r="Z1142" s="1" t="s">
        <v>61</v>
      </c>
      <c r="AA1142" s="3" t="s">
        <v>2524</v>
      </c>
      <c r="AB1142" s="3"/>
      <c r="AC1142" s="3"/>
      <c r="AD1142" s="3" t="s">
        <v>62</v>
      </c>
      <c r="AE1142" s="2" t="s">
        <v>155</v>
      </c>
      <c r="AF1142" s="2"/>
      <c r="AG1142" s="3" t="s">
        <v>64</v>
      </c>
      <c r="AH1142" s="2">
        <v>100</v>
      </c>
      <c r="AI1142" s="3"/>
      <c r="AJ1142" s="3"/>
      <c r="AK1142" s="3"/>
      <c r="AL1142" s="3"/>
      <c r="AM1142" s="3"/>
      <c r="AN1142" s="3"/>
      <c r="AO1142" s="3"/>
      <c r="AP1142" s="3"/>
      <c r="AQ1142" s="3"/>
      <c r="AR1142" s="3"/>
      <c r="AS1142" s="3"/>
      <c r="AT1142" s="3"/>
      <c r="AU1142" s="3"/>
      <c r="AV1142" s="3"/>
      <c r="AW1142" s="3"/>
      <c r="AX1142" s="3"/>
      <c r="AY1142" s="3"/>
      <c r="AZ1142" s="4" t="s">
        <v>888</v>
      </c>
      <c r="BA1142" s="3"/>
      <c r="BB1142" s="1"/>
      <c r="BC1142" s="1"/>
    </row>
    <row r="1143" spans="1:55" s="78" customFormat="1" ht="15" customHeight="1" x14ac:dyDescent="0.25">
      <c r="A1143" s="52" t="s">
        <v>5150</v>
      </c>
      <c r="B1143" s="34" t="s">
        <v>59</v>
      </c>
      <c r="C1143" s="53">
        <v>2026</v>
      </c>
      <c r="D1143" s="53">
        <v>2026</v>
      </c>
      <c r="E1143" s="54" t="s">
        <v>3706</v>
      </c>
      <c r="F1143" s="55" t="s">
        <v>50</v>
      </c>
      <c r="G1143" s="55" t="s">
        <v>50</v>
      </c>
      <c r="H1143" s="45" t="s">
        <v>2523</v>
      </c>
      <c r="I1143" s="45" t="s">
        <v>78</v>
      </c>
      <c r="J1143" s="56"/>
      <c r="K1143" s="55" t="s">
        <v>198</v>
      </c>
      <c r="L1143" s="55" t="s">
        <v>88</v>
      </c>
      <c r="M1143" s="55"/>
      <c r="N1143" s="45" t="s">
        <v>110</v>
      </c>
      <c r="O1143" s="55"/>
      <c r="P1143" s="55" t="s">
        <v>199</v>
      </c>
      <c r="Q1143" s="55" t="s">
        <v>57</v>
      </c>
      <c r="R1143" s="55"/>
      <c r="S1143" s="56" t="s">
        <v>58</v>
      </c>
      <c r="T1143" s="55" t="s">
        <v>81</v>
      </c>
      <c r="U1143" s="57">
        <v>-999</v>
      </c>
      <c r="V1143" s="57" t="s">
        <v>59</v>
      </c>
      <c r="W1143" s="55"/>
      <c r="X1143" s="54" t="s">
        <v>5150</v>
      </c>
      <c r="Y1143" s="60"/>
      <c r="Z1143" s="1" t="s">
        <v>61</v>
      </c>
      <c r="AA1143" s="3" t="s">
        <v>2524</v>
      </c>
      <c r="AB1143" s="3"/>
      <c r="AC1143" s="3"/>
      <c r="AD1143" s="3" t="s">
        <v>62</v>
      </c>
      <c r="AE1143" s="2" t="s">
        <v>155</v>
      </c>
      <c r="AF1143" s="2"/>
      <c r="AG1143" s="3" t="s">
        <v>64</v>
      </c>
      <c r="AH1143" s="2">
        <v>100</v>
      </c>
      <c r="AI1143" s="3"/>
      <c r="AJ1143" s="3"/>
      <c r="AK1143" s="3"/>
      <c r="AL1143" s="3"/>
      <c r="AM1143" s="3"/>
      <c r="AN1143" s="3"/>
      <c r="AO1143" s="3"/>
      <c r="AP1143" s="3"/>
      <c r="AQ1143" s="3"/>
      <c r="AR1143" s="3"/>
      <c r="AS1143" s="3"/>
      <c r="AT1143" s="3"/>
      <c r="AU1143" s="3"/>
      <c r="AV1143" s="3"/>
      <c r="AW1143" s="3"/>
      <c r="AX1143" s="3"/>
      <c r="AY1143" s="3"/>
      <c r="AZ1143" s="4" t="s">
        <v>888</v>
      </c>
      <c r="BA1143" s="3"/>
      <c r="BB1143" s="1"/>
      <c r="BC1143" s="1"/>
    </row>
    <row r="1144" spans="1:55" s="78" customFormat="1" ht="15" customHeight="1" x14ac:dyDescent="0.25">
      <c r="A1144" s="52" t="s">
        <v>5151</v>
      </c>
      <c r="B1144" s="34" t="s">
        <v>59</v>
      </c>
      <c r="C1144" s="53">
        <v>2026</v>
      </c>
      <c r="D1144" s="53">
        <v>2026</v>
      </c>
      <c r="E1144" s="54" t="s">
        <v>3707</v>
      </c>
      <c r="F1144" s="55" t="s">
        <v>50</v>
      </c>
      <c r="G1144" s="55" t="s">
        <v>50</v>
      </c>
      <c r="H1144" s="45" t="s">
        <v>2888</v>
      </c>
      <c r="I1144" s="56" t="s">
        <v>52</v>
      </c>
      <c r="J1144" s="56"/>
      <c r="K1144" s="56" t="s">
        <v>87</v>
      </c>
      <c r="L1144" s="55"/>
      <c r="M1144" s="55"/>
      <c r="N1144" s="56"/>
      <c r="O1144" s="56" t="s">
        <v>225</v>
      </c>
      <c r="P1144" s="56" t="s">
        <v>89</v>
      </c>
      <c r="Q1144" s="56" t="s">
        <v>89</v>
      </c>
      <c r="R1144" s="55"/>
      <c r="S1144" s="56" t="s">
        <v>81</v>
      </c>
      <c r="T1144" s="55" t="s">
        <v>81</v>
      </c>
      <c r="U1144" s="57">
        <v>-999</v>
      </c>
      <c r="V1144" s="57" t="s">
        <v>59</v>
      </c>
      <c r="W1144" s="55" t="s">
        <v>2319</v>
      </c>
      <c r="X1144" s="54" t="s">
        <v>5151</v>
      </c>
      <c r="Y1144" s="52"/>
      <c r="Z1144" s="1" t="s">
        <v>61</v>
      </c>
      <c r="AA1144" s="1" t="s">
        <v>2889</v>
      </c>
      <c r="AB1144" s="1"/>
      <c r="AC1144" s="1"/>
      <c r="AD1144" s="3" t="s">
        <v>62</v>
      </c>
      <c r="AE1144" s="1" t="s">
        <v>464</v>
      </c>
      <c r="AF1144" s="1" t="s">
        <v>1519</v>
      </c>
      <c r="AG1144" s="1" t="s">
        <v>233</v>
      </c>
      <c r="AH1144" s="2">
        <v>100</v>
      </c>
      <c r="AI1144" s="1"/>
      <c r="AJ1144" s="1"/>
      <c r="AK1144" s="1"/>
      <c r="AL1144" s="1"/>
      <c r="AM1144" s="1"/>
      <c r="AN1144" s="1"/>
      <c r="AO1144" s="1"/>
      <c r="AP1144" s="1"/>
      <c r="AQ1144" s="1"/>
      <c r="AR1144" s="1"/>
      <c r="AS1144" s="1"/>
      <c r="AT1144" s="1"/>
      <c r="AU1144" s="1"/>
      <c r="AV1144" s="1"/>
      <c r="AW1144" s="1"/>
      <c r="AX1144" s="1"/>
      <c r="AY1144" s="1"/>
      <c r="AZ1144" s="4" t="s">
        <v>2887</v>
      </c>
      <c r="BA1144" s="5"/>
      <c r="BB1144" s="1"/>
      <c r="BC1144" s="1"/>
    </row>
    <row r="1145" spans="1:55" s="78" customFormat="1" ht="15" customHeight="1" x14ac:dyDescent="0.25">
      <c r="A1145" s="52" t="s">
        <v>5152</v>
      </c>
      <c r="B1145" s="34" t="s">
        <v>59</v>
      </c>
      <c r="C1145" s="53">
        <v>2026</v>
      </c>
      <c r="D1145" s="53">
        <v>2026</v>
      </c>
      <c r="E1145" s="54" t="s">
        <v>3708</v>
      </c>
      <c r="F1145" s="55" t="s">
        <v>50</v>
      </c>
      <c r="G1145" s="55" t="s">
        <v>50</v>
      </c>
      <c r="H1145" s="45" t="s">
        <v>2525</v>
      </c>
      <c r="I1145" s="56" t="s">
        <v>52</v>
      </c>
      <c r="J1145" s="56"/>
      <c r="K1145" s="55" t="s">
        <v>140</v>
      </c>
      <c r="L1145" s="55" t="s">
        <v>2526</v>
      </c>
      <c r="M1145" s="55"/>
      <c r="N1145" s="56" t="s">
        <v>110</v>
      </c>
      <c r="O1145" s="56"/>
      <c r="P1145" s="55" t="s">
        <v>142</v>
      </c>
      <c r="Q1145" s="55" t="s">
        <v>57</v>
      </c>
      <c r="R1145" s="55"/>
      <c r="S1145" s="56" t="s">
        <v>58</v>
      </c>
      <c r="T1145" s="55" t="s">
        <v>81</v>
      </c>
      <c r="U1145" s="57">
        <v>-999</v>
      </c>
      <c r="V1145" s="57" t="s">
        <v>59</v>
      </c>
      <c r="W1145" s="55"/>
      <c r="X1145" s="54" t="s">
        <v>5152</v>
      </c>
      <c r="Y1145" s="60"/>
      <c r="Z1145" s="2" t="s">
        <v>61</v>
      </c>
      <c r="AA1145" s="1" t="s">
        <v>1796</v>
      </c>
      <c r="AB1145" s="1"/>
      <c r="AC1145" s="1"/>
      <c r="AD1145" s="3" t="s">
        <v>62</v>
      </c>
      <c r="AE1145" s="2" t="s">
        <v>592</v>
      </c>
      <c r="AF1145" s="2"/>
      <c r="AG1145" s="1" t="s">
        <v>1797</v>
      </c>
      <c r="AH1145" s="2">
        <v>100</v>
      </c>
      <c r="AI1145" s="1"/>
      <c r="AJ1145" s="1"/>
      <c r="AK1145" s="1"/>
      <c r="AL1145" s="1"/>
      <c r="AM1145" s="1"/>
      <c r="AN1145" s="1"/>
      <c r="AO1145" s="1"/>
      <c r="AP1145" s="1"/>
      <c r="AQ1145" s="1"/>
      <c r="AR1145" s="1"/>
      <c r="AS1145" s="1"/>
      <c r="AT1145" s="1"/>
      <c r="AU1145" s="1"/>
      <c r="AV1145" s="1"/>
      <c r="AW1145" s="1"/>
      <c r="AX1145" s="1"/>
      <c r="AY1145" s="1"/>
      <c r="AZ1145" s="4" t="s">
        <v>1793</v>
      </c>
      <c r="BA1145" s="1"/>
      <c r="BB1145" s="1"/>
      <c r="BC1145" s="1"/>
    </row>
    <row r="1146" spans="1:55" s="78" customFormat="1" ht="15" customHeight="1" x14ac:dyDescent="0.25">
      <c r="A1146" s="52" t="s">
        <v>5153</v>
      </c>
      <c r="B1146" s="34" t="s">
        <v>59</v>
      </c>
      <c r="C1146" s="53">
        <v>2026</v>
      </c>
      <c r="D1146" s="53">
        <v>2026</v>
      </c>
      <c r="E1146" s="54" t="s">
        <v>3708</v>
      </c>
      <c r="F1146" s="55" t="s">
        <v>50</v>
      </c>
      <c r="G1146" s="55" t="s">
        <v>50</v>
      </c>
      <c r="H1146" s="45" t="s">
        <v>2525</v>
      </c>
      <c r="I1146" s="56" t="s">
        <v>52</v>
      </c>
      <c r="J1146" s="56"/>
      <c r="K1146" s="55" t="s">
        <v>148</v>
      </c>
      <c r="L1146" s="55"/>
      <c r="M1146" s="55"/>
      <c r="N1146" s="56" t="s">
        <v>110</v>
      </c>
      <c r="O1146" s="56" t="s">
        <v>5357</v>
      </c>
      <c r="P1146" s="56" t="s">
        <v>150</v>
      </c>
      <c r="Q1146" s="61" t="s">
        <v>57</v>
      </c>
      <c r="R1146" s="55"/>
      <c r="S1146" s="56" t="s">
        <v>58</v>
      </c>
      <c r="T1146" s="55" t="s">
        <v>81</v>
      </c>
      <c r="U1146" s="57">
        <v>-999</v>
      </c>
      <c r="V1146" s="57" t="s">
        <v>59</v>
      </c>
      <c r="W1146" s="55"/>
      <c r="X1146" s="54" t="s">
        <v>5153</v>
      </c>
      <c r="Y1146" s="60"/>
      <c r="Z1146" s="2" t="s">
        <v>61</v>
      </c>
      <c r="AA1146" s="1" t="s">
        <v>1796</v>
      </c>
      <c r="AB1146" s="1"/>
      <c r="AC1146" s="1"/>
      <c r="AD1146" s="3" t="s">
        <v>62</v>
      </c>
      <c r="AE1146" s="2" t="s">
        <v>592</v>
      </c>
      <c r="AF1146" s="2"/>
      <c r="AG1146" s="1" t="s">
        <v>1797</v>
      </c>
      <c r="AH1146" s="2">
        <v>100</v>
      </c>
      <c r="AI1146" s="1"/>
      <c r="AJ1146" s="1"/>
      <c r="AK1146" s="1"/>
      <c r="AL1146" s="1"/>
      <c r="AM1146" s="1"/>
      <c r="AN1146" s="1"/>
      <c r="AO1146" s="1"/>
      <c r="AP1146" s="1"/>
      <c r="AQ1146" s="1"/>
      <c r="AR1146" s="1"/>
      <c r="AS1146" s="1"/>
      <c r="AT1146" s="1"/>
      <c r="AU1146" s="1"/>
      <c r="AV1146" s="1"/>
      <c r="AW1146" s="1"/>
      <c r="AX1146" s="1"/>
      <c r="AY1146" s="1"/>
      <c r="AZ1146" s="4" t="s">
        <v>1793</v>
      </c>
      <c r="BA1146" s="1"/>
      <c r="BB1146" s="1"/>
      <c r="BC1146" s="1"/>
    </row>
    <row r="1147" spans="1:55" s="78" customFormat="1" ht="15" customHeight="1" x14ac:dyDescent="0.25">
      <c r="A1147" s="52" t="s">
        <v>5154</v>
      </c>
      <c r="B1147" s="34" t="s">
        <v>59</v>
      </c>
      <c r="C1147" s="53">
        <v>2026</v>
      </c>
      <c r="D1147" s="53">
        <v>2026</v>
      </c>
      <c r="E1147" s="54" t="s">
        <v>3709</v>
      </c>
      <c r="F1147" s="55" t="s">
        <v>50</v>
      </c>
      <c r="G1147" s="55" t="s">
        <v>50</v>
      </c>
      <c r="H1147" s="45" t="s">
        <v>3994</v>
      </c>
      <c r="I1147" s="56" t="s">
        <v>52</v>
      </c>
      <c r="J1147" s="45"/>
      <c r="K1147" s="56" t="s">
        <v>633</v>
      </c>
      <c r="L1147" s="45"/>
      <c r="M1147" s="45"/>
      <c r="N1147" s="45" t="s">
        <v>418</v>
      </c>
      <c r="O1147" s="45"/>
      <c r="P1147" s="56" t="s">
        <v>89</v>
      </c>
      <c r="Q1147" s="55" t="s">
        <v>89</v>
      </c>
      <c r="R1147" s="45"/>
      <c r="S1147" s="56" t="s">
        <v>58</v>
      </c>
      <c r="T1147" s="55" t="s">
        <v>81</v>
      </c>
      <c r="U1147" s="45">
        <v>-999</v>
      </c>
      <c r="V1147" s="57" t="s">
        <v>59</v>
      </c>
      <c r="W1147" s="45"/>
      <c r="X1147" s="54" t="s">
        <v>5154</v>
      </c>
      <c r="Y1147" s="59"/>
      <c r="Z1147" s="3" t="s">
        <v>61</v>
      </c>
      <c r="AA1147" s="1" t="s">
        <v>3995</v>
      </c>
      <c r="AB1147" s="2"/>
      <c r="AC1147" s="2"/>
      <c r="AD1147" s="3" t="s">
        <v>62</v>
      </c>
      <c r="AE1147" s="3" t="s">
        <v>63</v>
      </c>
      <c r="AF1147" s="2"/>
      <c r="AG1147" s="1" t="s">
        <v>3996</v>
      </c>
      <c r="AH1147" s="59">
        <v>100</v>
      </c>
      <c r="AI1147" s="2"/>
      <c r="AJ1147" s="2"/>
      <c r="AK1147" s="2"/>
      <c r="AL1147" s="59"/>
      <c r="AM1147" s="2"/>
      <c r="AN1147" s="59"/>
      <c r="AO1147" s="2"/>
      <c r="AP1147" s="59"/>
      <c r="AQ1147" s="2"/>
      <c r="AR1147" s="59"/>
      <c r="AS1147" s="2"/>
      <c r="AT1147" s="59"/>
      <c r="AU1147" s="2"/>
      <c r="AV1147" s="59"/>
      <c r="AW1147" s="2"/>
      <c r="AX1147" s="59"/>
      <c r="AY1147" s="2"/>
      <c r="AZ1147" s="4" t="s">
        <v>3997</v>
      </c>
      <c r="BA1147" s="2"/>
      <c r="BB1147" s="2"/>
      <c r="BC1147" s="2"/>
    </row>
    <row r="1148" spans="1:55" s="78" customFormat="1" ht="15" customHeight="1" x14ac:dyDescent="0.25">
      <c r="A1148" s="52" t="s">
        <v>5155</v>
      </c>
      <c r="B1148" s="34" t="s">
        <v>59</v>
      </c>
      <c r="C1148" s="53">
        <v>2026</v>
      </c>
      <c r="D1148" s="53">
        <v>2026</v>
      </c>
      <c r="E1148" s="54" t="s">
        <v>3709</v>
      </c>
      <c r="F1148" s="55" t="s">
        <v>50</v>
      </c>
      <c r="G1148" s="55" t="s">
        <v>50</v>
      </c>
      <c r="H1148" s="45" t="s">
        <v>3994</v>
      </c>
      <c r="I1148" s="56" t="s">
        <v>52</v>
      </c>
      <c r="J1148" s="45"/>
      <c r="K1148" s="56" t="s">
        <v>346</v>
      </c>
      <c r="L1148" s="45"/>
      <c r="M1148" s="45"/>
      <c r="N1148" s="45" t="s">
        <v>1358</v>
      </c>
      <c r="O1148" s="45"/>
      <c r="P1148" s="56" t="s">
        <v>89</v>
      </c>
      <c r="Q1148" s="55" t="s">
        <v>89</v>
      </c>
      <c r="R1148" s="45"/>
      <c r="S1148" s="56" t="s">
        <v>58</v>
      </c>
      <c r="T1148" s="55" t="s">
        <v>81</v>
      </c>
      <c r="U1148" s="45">
        <v>-999</v>
      </c>
      <c r="V1148" s="57" t="s">
        <v>59</v>
      </c>
      <c r="W1148" s="45"/>
      <c r="X1148" s="54" t="s">
        <v>5155</v>
      </c>
      <c r="Y1148" s="59"/>
      <c r="Z1148" s="3" t="s">
        <v>61</v>
      </c>
      <c r="AA1148" s="1" t="s">
        <v>3995</v>
      </c>
      <c r="AB1148" s="2"/>
      <c r="AC1148" s="2"/>
      <c r="AD1148" s="3" t="s">
        <v>62</v>
      </c>
      <c r="AE1148" s="3" t="s">
        <v>63</v>
      </c>
      <c r="AF1148" s="2"/>
      <c r="AG1148" s="1" t="s">
        <v>3996</v>
      </c>
      <c r="AH1148" s="59">
        <v>100</v>
      </c>
      <c r="AI1148" s="2"/>
      <c r="AJ1148" s="2"/>
      <c r="AK1148" s="2"/>
      <c r="AL1148" s="59"/>
      <c r="AM1148" s="2"/>
      <c r="AN1148" s="59"/>
      <c r="AO1148" s="2"/>
      <c r="AP1148" s="59"/>
      <c r="AQ1148" s="2"/>
      <c r="AR1148" s="59"/>
      <c r="AS1148" s="2"/>
      <c r="AT1148" s="59"/>
      <c r="AU1148" s="2"/>
      <c r="AV1148" s="59"/>
      <c r="AW1148" s="2"/>
      <c r="AX1148" s="59"/>
      <c r="AY1148" s="2"/>
      <c r="AZ1148" s="4" t="s">
        <v>3997</v>
      </c>
      <c r="BA1148" s="2"/>
      <c r="BB1148" s="2"/>
      <c r="BC1148" s="2"/>
    </row>
    <row r="1149" spans="1:55" s="78" customFormat="1" ht="15" customHeight="1" x14ac:dyDescent="0.25">
      <c r="A1149" s="52" t="s">
        <v>5156</v>
      </c>
      <c r="B1149" s="34" t="s">
        <v>59</v>
      </c>
      <c r="C1149" s="53">
        <v>2026</v>
      </c>
      <c r="D1149" s="53">
        <v>2026</v>
      </c>
      <c r="E1149" s="54" t="s">
        <v>3710</v>
      </c>
      <c r="F1149" s="55" t="s">
        <v>50</v>
      </c>
      <c r="G1149" s="55" t="s">
        <v>50</v>
      </c>
      <c r="H1149" s="45" t="s">
        <v>2528</v>
      </c>
      <c r="I1149" s="56" t="s">
        <v>78</v>
      </c>
      <c r="J1149" s="56"/>
      <c r="K1149" s="56" t="s">
        <v>180</v>
      </c>
      <c r="L1149" s="55" t="str">
        <f>IF(K1149="Mine or Quarry","Mine","")</f>
        <v/>
      </c>
      <c r="M1149" s="55"/>
      <c r="N1149" s="56" t="s">
        <v>181</v>
      </c>
      <c r="O1149" s="56"/>
      <c r="P1149" s="55" t="s">
        <v>182</v>
      </c>
      <c r="Q1149" s="55" t="s">
        <v>5353</v>
      </c>
      <c r="R1149" s="55"/>
      <c r="S1149" s="56" t="s">
        <v>58</v>
      </c>
      <c r="T1149" s="55" t="str">
        <f>IF(ISNUMBER(SEARCH(",",N1149)),"Y","N")</f>
        <v>N</v>
      </c>
      <c r="U1149" s="57">
        <v>450</v>
      </c>
      <c r="V1149" s="57" t="s">
        <v>101</v>
      </c>
      <c r="W1149" s="55"/>
      <c r="X1149" s="54" t="s">
        <v>5156</v>
      </c>
      <c r="Y1149" s="52"/>
      <c r="Z1149" s="2" t="s">
        <v>154</v>
      </c>
      <c r="AA1149" s="1" t="s">
        <v>2529</v>
      </c>
      <c r="AB1149" s="1"/>
      <c r="AC1149" s="1"/>
      <c r="AD1149" s="3" t="s">
        <v>62</v>
      </c>
      <c r="AE1149" s="3" t="s">
        <v>574</v>
      </c>
      <c r="AF1149" s="3"/>
      <c r="AG1149" s="3" t="s">
        <v>1722</v>
      </c>
      <c r="AH1149" s="58">
        <v>100</v>
      </c>
      <c r="AI1149" s="1"/>
      <c r="AJ1149" s="60"/>
      <c r="AK1149" s="1"/>
      <c r="AL1149" s="1"/>
      <c r="AM1149" s="1"/>
      <c r="AN1149" s="1"/>
      <c r="AO1149" s="1"/>
      <c r="AP1149" s="1"/>
      <c r="AQ1149" s="1"/>
      <c r="AR1149" s="1"/>
      <c r="AS1149" s="1"/>
      <c r="AT1149" s="1"/>
      <c r="AU1149" s="1"/>
      <c r="AV1149" s="1"/>
      <c r="AW1149" s="1"/>
      <c r="AX1149" s="1"/>
      <c r="AY1149" s="1"/>
      <c r="AZ1149" s="4" t="s">
        <v>2527</v>
      </c>
      <c r="BA1149" s="4"/>
      <c r="BB1149" s="1"/>
      <c r="BC1149" s="1"/>
    </row>
    <row r="1150" spans="1:55" s="78" customFormat="1" ht="15" customHeight="1" x14ac:dyDescent="0.25">
      <c r="A1150" s="52" t="s">
        <v>5157</v>
      </c>
      <c r="B1150" s="34" t="s">
        <v>59</v>
      </c>
      <c r="C1150" s="53">
        <v>2026</v>
      </c>
      <c r="D1150" s="53">
        <v>2026</v>
      </c>
      <c r="E1150" s="54" t="s">
        <v>3710</v>
      </c>
      <c r="F1150" s="55" t="s">
        <v>50</v>
      </c>
      <c r="G1150" s="55" t="s">
        <v>50</v>
      </c>
      <c r="H1150" s="45" t="s">
        <v>2528</v>
      </c>
      <c r="I1150" s="56" t="s">
        <v>78</v>
      </c>
      <c r="J1150" s="56"/>
      <c r="K1150" s="45" t="s">
        <v>392</v>
      </c>
      <c r="L1150" s="55"/>
      <c r="M1150" s="55"/>
      <c r="N1150" s="55" t="s">
        <v>181</v>
      </c>
      <c r="O1150" s="55"/>
      <c r="P1150" s="55" t="s">
        <v>394</v>
      </c>
      <c r="Q1150" s="55" t="s">
        <v>57</v>
      </c>
      <c r="R1150" s="55"/>
      <c r="S1150" s="56" t="s">
        <v>58</v>
      </c>
      <c r="T1150" s="55" t="s">
        <v>81</v>
      </c>
      <c r="U1150" s="57">
        <v>2700</v>
      </c>
      <c r="V1150" s="57" t="s">
        <v>101</v>
      </c>
      <c r="W1150" s="55"/>
      <c r="X1150" s="54" t="s">
        <v>5157</v>
      </c>
      <c r="Y1150" s="52"/>
      <c r="Z1150" s="3" t="s">
        <v>154</v>
      </c>
      <c r="AA1150" s="1" t="s">
        <v>2529</v>
      </c>
      <c r="AB1150" s="1"/>
      <c r="AC1150" s="1"/>
      <c r="AD1150" s="3" t="s">
        <v>62</v>
      </c>
      <c r="AE1150" s="3" t="s">
        <v>574</v>
      </c>
      <c r="AF1150" s="3"/>
      <c r="AG1150" s="3" t="s">
        <v>1722</v>
      </c>
      <c r="AH1150" s="58">
        <v>100</v>
      </c>
      <c r="AI1150" s="3"/>
      <c r="AJ1150" s="53"/>
      <c r="AK1150" s="3"/>
      <c r="AL1150" s="3"/>
      <c r="AM1150" s="3"/>
      <c r="AN1150" s="3"/>
      <c r="AO1150" s="3"/>
      <c r="AP1150" s="3"/>
      <c r="AQ1150" s="3"/>
      <c r="AR1150" s="3"/>
      <c r="AS1150" s="3"/>
      <c r="AT1150" s="3"/>
      <c r="AU1150" s="3"/>
      <c r="AV1150" s="3"/>
      <c r="AW1150" s="3"/>
      <c r="AX1150" s="3"/>
      <c r="AY1150" s="3"/>
      <c r="AZ1150" s="4" t="s">
        <v>2527</v>
      </c>
      <c r="BA1150" s="32"/>
      <c r="BB1150" s="1"/>
      <c r="BC1150" s="1"/>
    </row>
    <row r="1151" spans="1:55" s="78" customFormat="1" ht="15" customHeight="1" x14ac:dyDescent="0.25">
      <c r="A1151" s="52" t="s">
        <v>5158</v>
      </c>
      <c r="B1151" s="34" t="s">
        <v>59</v>
      </c>
      <c r="C1151" s="53">
        <v>2026</v>
      </c>
      <c r="D1151" s="53">
        <v>2026</v>
      </c>
      <c r="E1151" s="54" t="s">
        <v>3711</v>
      </c>
      <c r="F1151" s="55" t="s">
        <v>50</v>
      </c>
      <c r="G1151" s="55" t="s">
        <v>50</v>
      </c>
      <c r="H1151" s="45" t="s">
        <v>2530</v>
      </c>
      <c r="I1151" s="56" t="s">
        <v>52</v>
      </c>
      <c r="J1151" s="56"/>
      <c r="K1151" s="56" t="s">
        <v>1019</v>
      </c>
      <c r="L1151" s="55" t="str">
        <f>IF(K1151="Mine or Quarry","Mine","")</f>
        <v/>
      </c>
      <c r="M1151" s="55"/>
      <c r="N1151" s="56"/>
      <c r="O1151" s="56" t="s">
        <v>1470</v>
      </c>
      <c r="P1151" s="56" t="s">
        <v>89</v>
      </c>
      <c r="Q1151" s="56" t="s">
        <v>89</v>
      </c>
      <c r="R1151" s="55"/>
      <c r="S1151" s="56" t="s">
        <v>81</v>
      </c>
      <c r="T1151" s="55" t="s">
        <v>81</v>
      </c>
      <c r="U1151" s="57">
        <v>-999</v>
      </c>
      <c r="V1151" s="57" t="s">
        <v>59</v>
      </c>
      <c r="W1151" s="55" t="s">
        <v>2319</v>
      </c>
      <c r="X1151" s="54" t="s">
        <v>5158</v>
      </c>
      <c r="Y1151" s="52"/>
      <c r="Z1151" s="1" t="s">
        <v>61</v>
      </c>
      <c r="AA1151" s="1" t="s">
        <v>2531</v>
      </c>
      <c r="AB1151" s="1"/>
      <c r="AC1151" s="1"/>
      <c r="AD1151" s="3" t="s">
        <v>62</v>
      </c>
      <c r="AE1151" s="1" t="s">
        <v>184</v>
      </c>
      <c r="AF1151" s="1"/>
      <c r="AG1151" s="1" t="s">
        <v>2532</v>
      </c>
      <c r="AH1151" s="2">
        <v>100</v>
      </c>
      <c r="AI1151" s="1"/>
      <c r="AJ1151" s="1"/>
      <c r="AK1151" s="1"/>
      <c r="AL1151" s="1"/>
      <c r="AM1151" s="1"/>
      <c r="AN1151" s="1"/>
      <c r="AO1151" s="1"/>
      <c r="AP1151" s="1"/>
      <c r="AQ1151" s="1"/>
      <c r="AR1151" s="1"/>
      <c r="AS1151" s="1"/>
      <c r="AT1151" s="1"/>
      <c r="AU1151" s="1"/>
      <c r="AV1151" s="1"/>
      <c r="AW1151" s="1"/>
      <c r="AX1151" s="1"/>
      <c r="AY1151" s="1"/>
      <c r="AZ1151" s="4" t="s">
        <v>1017</v>
      </c>
      <c r="BA1151" s="1"/>
      <c r="BB1151" s="1"/>
      <c r="BC1151" s="1"/>
    </row>
    <row r="1152" spans="1:55" s="78" customFormat="1" ht="15" customHeight="1" x14ac:dyDescent="0.25">
      <c r="A1152" s="52" t="s">
        <v>5159</v>
      </c>
      <c r="B1152" s="34" t="s">
        <v>59</v>
      </c>
      <c r="C1152" s="53">
        <v>2026</v>
      </c>
      <c r="D1152" s="53">
        <v>2026</v>
      </c>
      <c r="E1152" s="54" t="s">
        <v>3712</v>
      </c>
      <c r="F1152" s="55" t="s">
        <v>50</v>
      </c>
      <c r="G1152" s="55" t="s">
        <v>50</v>
      </c>
      <c r="H1152" s="45" t="s">
        <v>2534</v>
      </c>
      <c r="I1152" s="45" t="s">
        <v>52</v>
      </c>
      <c r="J1152" s="56"/>
      <c r="K1152" s="45" t="s">
        <v>2535</v>
      </c>
      <c r="L1152" s="55" t="s">
        <v>54</v>
      </c>
      <c r="M1152" s="55"/>
      <c r="N1152" s="45" t="s">
        <v>55</v>
      </c>
      <c r="O1152" s="45" t="s">
        <v>127</v>
      </c>
      <c r="P1152" s="55" t="s">
        <v>842</v>
      </c>
      <c r="Q1152" s="55" t="s">
        <v>57</v>
      </c>
      <c r="R1152" s="55"/>
      <c r="S1152" s="56" t="s">
        <v>81</v>
      </c>
      <c r="T1152" s="55" t="str">
        <f>IF(ISNUMBER(SEARCH(",",N1152)),"Y","N")</f>
        <v>N</v>
      </c>
      <c r="U1152" s="57">
        <v>900</v>
      </c>
      <c r="V1152" s="57" t="s">
        <v>101</v>
      </c>
      <c r="W1152" s="55"/>
      <c r="X1152" s="54" t="s">
        <v>5159</v>
      </c>
      <c r="Y1152" s="52"/>
      <c r="Z1152" s="3" t="s">
        <v>154</v>
      </c>
      <c r="AA1152" s="3" t="s">
        <v>621</v>
      </c>
      <c r="AB1152" s="3"/>
      <c r="AC1152" s="3"/>
      <c r="AD1152" s="3" t="s">
        <v>62</v>
      </c>
      <c r="AE1152" s="2" t="s">
        <v>336</v>
      </c>
      <c r="AF1152" s="2"/>
      <c r="AG1152" s="3" t="s">
        <v>2536</v>
      </c>
      <c r="AH1152" s="58">
        <v>100</v>
      </c>
      <c r="AI1152" s="2"/>
      <c r="AJ1152" s="2"/>
      <c r="AK1152" s="2"/>
      <c r="AL1152" s="2"/>
      <c r="AM1152" s="2"/>
      <c r="AN1152" s="2"/>
      <c r="AO1152" s="2"/>
      <c r="AP1152" s="2"/>
      <c r="AQ1152" s="2"/>
      <c r="AR1152" s="2"/>
      <c r="AS1152" s="2"/>
      <c r="AT1152" s="2"/>
      <c r="AU1152" s="2"/>
      <c r="AV1152" s="2"/>
      <c r="AW1152" s="2"/>
      <c r="AX1152" s="2"/>
      <c r="AY1152" s="2"/>
      <c r="AZ1152" s="4" t="s">
        <v>2533</v>
      </c>
      <c r="BA1152" s="2"/>
      <c r="BB1152" s="2"/>
      <c r="BC1152" s="2"/>
    </row>
    <row r="1153" spans="1:55" s="78" customFormat="1" ht="15" customHeight="1" x14ac:dyDescent="0.25">
      <c r="A1153" s="52" t="s">
        <v>5160</v>
      </c>
      <c r="B1153" s="34" t="s">
        <v>59</v>
      </c>
      <c r="C1153" s="53">
        <v>2026</v>
      </c>
      <c r="D1153" s="53">
        <v>2026</v>
      </c>
      <c r="E1153" s="54" t="s">
        <v>3713</v>
      </c>
      <c r="F1153" s="55" t="s">
        <v>50</v>
      </c>
      <c r="G1153" s="55" t="s">
        <v>50</v>
      </c>
      <c r="H1153" s="45" t="s">
        <v>2537</v>
      </c>
      <c r="I1153" s="56" t="s">
        <v>78</v>
      </c>
      <c r="J1153" s="56"/>
      <c r="K1153" s="55" t="s">
        <v>74</v>
      </c>
      <c r="L1153" s="55" t="s">
        <v>88</v>
      </c>
      <c r="M1153" s="55"/>
      <c r="N1153" s="55" t="s">
        <v>110</v>
      </c>
      <c r="O1153" s="55"/>
      <c r="P1153" s="55" t="s">
        <v>75</v>
      </c>
      <c r="Q1153" s="56" t="s">
        <v>57</v>
      </c>
      <c r="R1153" s="55"/>
      <c r="S1153" s="56" t="s">
        <v>58</v>
      </c>
      <c r="T1153" s="55" t="s">
        <v>81</v>
      </c>
      <c r="U1153" s="72">
        <v>258.40600000000001</v>
      </c>
      <c r="V1153" s="57" t="s">
        <v>101</v>
      </c>
      <c r="W1153" s="55"/>
      <c r="X1153" s="54" t="s">
        <v>5160</v>
      </c>
      <c r="Y1153" s="52"/>
      <c r="Z1153" s="3" t="s">
        <v>154</v>
      </c>
      <c r="AA1153" s="3" t="s">
        <v>621</v>
      </c>
      <c r="AB1153" s="3"/>
      <c r="AC1153" s="3"/>
      <c r="AD1153" s="3" t="s">
        <v>62</v>
      </c>
      <c r="AE1153" s="3" t="s">
        <v>336</v>
      </c>
      <c r="AF1153" s="3"/>
      <c r="AG1153" s="3" t="s">
        <v>2536</v>
      </c>
      <c r="AH1153" s="58">
        <v>100</v>
      </c>
      <c r="AI1153" s="1"/>
      <c r="AJ1153" s="3"/>
      <c r="AK1153" s="3"/>
      <c r="AL1153" s="3"/>
      <c r="AM1153" s="3"/>
      <c r="AN1153" s="3"/>
      <c r="AO1153" s="3"/>
      <c r="AP1153" s="3"/>
      <c r="AQ1153" s="3"/>
      <c r="AR1153" s="3"/>
      <c r="AS1153" s="3"/>
      <c r="AT1153" s="3"/>
      <c r="AU1153" s="3"/>
      <c r="AV1153" s="3"/>
      <c r="AW1153" s="3"/>
      <c r="AX1153" s="3"/>
      <c r="AY1153" s="3"/>
      <c r="AZ1153" s="4" t="s">
        <v>2533</v>
      </c>
      <c r="BA1153" s="32"/>
      <c r="BB1153" s="1"/>
      <c r="BC1153" s="1"/>
    </row>
    <row r="1154" spans="1:55" s="78" customFormat="1" ht="15" customHeight="1" x14ac:dyDescent="0.25">
      <c r="A1154" s="52" t="s">
        <v>5161</v>
      </c>
      <c r="B1154" s="34" t="s">
        <v>59</v>
      </c>
      <c r="C1154" s="53">
        <v>2026</v>
      </c>
      <c r="D1154" s="53">
        <v>2026</v>
      </c>
      <c r="E1154" s="54" t="s">
        <v>3713</v>
      </c>
      <c r="F1154" s="55" t="s">
        <v>50</v>
      </c>
      <c r="G1154" s="55" t="s">
        <v>50</v>
      </c>
      <c r="H1154" s="45" t="s">
        <v>2537</v>
      </c>
      <c r="I1154" s="56" t="s">
        <v>78</v>
      </c>
      <c r="J1154" s="56"/>
      <c r="K1154" s="55" t="s">
        <v>841</v>
      </c>
      <c r="L1154" s="55" t="s">
        <v>88</v>
      </c>
      <c r="M1154" s="55"/>
      <c r="N1154" s="55" t="s">
        <v>110</v>
      </c>
      <c r="O1154" s="55"/>
      <c r="P1154" s="55" t="s">
        <v>842</v>
      </c>
      <c r="Q1154" s="55" t="s">
        <v>57</v>
      </c>
      <c r="R1154" s="55"/>
      <c r="S1154" s="56" t="s">
        <v>58</v>
      </c>
      <c r="T1154" s="55" t="s">
        <v>81</v>
      </c>
      <c r="U1154" s="57">
        <v>900</v>
      </c>
      <c r="V1154" s="57" t="s">
        <v>101</v>
      </c>
      <c r="W1154" s="55"/>
      <c r="X1154" s="54" t="s">
        <v>5161</v>
      </c>
      <c r="Y1154" s="52"/>
      <c r="Z1154" s="3" t="s">
        <v>154</v>
      </c>
      <c r="AA1154" s="3" t="s">
        <v>621</v>
      </c>
      <c r="AB1154" s="3"/>
      <c r="AC1154" s="3"/>
      <c r="AD1154" s="3" t="s">
        <v>62</v>
      </c>
      <c r="AE1154" s="3" t="s">
        <v>336</v>
      </c>
      <c r="AF1154" s="3"/>
      <c r="AG1154" s="3" t="s">
        <v>2536</v>
      </c>
      <c r="AH1154" s="58">
        <v>100</v>
      </c>
      <c r="AI1154" s="3"/>
      <c r="AJ1154" s="3"/>
      <c r="AK1154" s="3"/>
      <c r="AL1154" s="3"/>
      <c r="AM1154" s="3"/>
      <c r="AN1154" s="3"/>
      <c r="AO1154" s="3"/>
      <c r="AP1154" s="3"/>
      <c r="AQ1154" s="3"/>
      <c r="AR1154" s="3"/>
      <c r="AS1154" s="3"/>
      <c r="AT1154" s="3"/>
      <c r="AU1154" s="3"/>
      <c r="AV1154" s="3"/>
      <c r="AW1154" s="3"/>
      <c r="AX1154" s="3"/>
      <c r="AY1154" s="3"/>
      <c r="AZ1154" s="4" t="s">
        <v>2533</v>
      </c>
      <c r="BA1154" s="3"/>
      <c r="BB1154" s="1"/>
      <c r="BC1154" s="1"/>
    </row>
    <row r="1155" spans="1:55" s="78" customFormat="1" ht="15" customHeight="1" x14ac:dyDescent="0.25">
      <c r="A1155" s="52" t="s">
        <v>5162</v>
      </c>
      <c r="B1155" s="34" t="s">
        <v>59</v>
      </c>
      <c r="C1155" s="53">
        <v>2026</v>
      </c>
      <c r="D1155" s="53">
        <v>2026</v>
      </c>
      <c r="E1155" s="54" t="s">
        <v>3713</v>
      </c>
      <c r="F1155" s="55" t="s">
        <v>50</v>
      </c>
      <c r="G1155" s="55" t="s">
        <v>50</v>
      </c>
      <c r="H1155" s="45" t="s">
        <v>2537</v>
      </c>
      <c r="I1155" s="56" t="s">
        <v>78</v>
      </c>
      <c r="J1155" s="56"/>
      <c r="K1155" s="55" t="s">
        <v>53</v>
      </c>
      <c r="L1155" s="55" t="s">
        <v>88</v>
      </c>
      <c r="M1155" s="55"/>
      <c r="N1155" s="55" t="s">
        <v>110</v>
      </c>
      <c r="O1155" s="55"/>
      <c r="P1155" s="55" t="s">
        <v>56</v>
      </c>
      <c r="Q1155" s="55" t="s">
        <v>57</v>
      </c>
      <c r="R1155" s="55"/>
      <c r="S1155" s="56" t="s">
        <v>58</v>
      </c>
      <c r="T1155" s="55" t="s">
        <v>81</v>
      </c>
      <c r="U1155" s="57">
        <v>640</v>
      </c>
      <c r="V1155" s="57" t="s">
        <v>101</v>
      </c>
      <c r="W1155" s="55"/>
      <c r="X1155" s="54" t="s">
        <v>5162</v>
      </c>
      <c r="Y1155" s="52"/>
      <c r="Z1155" s="3" t="s">
        <v>154</v>
      </c>
      <c r="AA1155" s="3" t="s">
        <v>621</v>
      </c>
      <c r="AB1155" s="3"/>
      <c r="AC1155" s="3"/>
      <c r="AD1155" s="3" t="s">
        <v>62</v>
      </c>
      <c r="AE1155" s="3" t="s">
        <v>336</v>
      </c>
      <c r="AF1155" s="3"/>
      <c r="AG1155" s="3" t="s">
        <v>2536</v>
      </c>
      <c r="AH1155" s="58">
        <v>100</v>
      </c>
      <c r="AI1155" s="3"/>
      <c r="AJ1155" s="3"/>
      <c r="AK1155" s="3"/>
      <c r="AL1155" s="3"/>
      <c r="AM1155" s="3"/>
      <c r="AN1155" s="3"/>
      <c r="AO1155" s="3"/>
      <c r="AP1155" s="3"/>
      <c r="AQ1155" s="3"/>
      <c r="AR1155" s="3"/>
      <c r="AS1155" s="3"/>
      <c r="AT1155" s="3"/>
      <c r="AU1155" s="3"/>
      <c r="AV1155" s="3"/>
      <c r="AW1155" s="3"/>
      <c r="AX1155" s="3"/>
      <c r="AY1155" s="3"/>
      <c r="AZ1155" s="4" t="s">
        <v>2533</v>
      </c>
      <c r="BA1155" s="32"/>
      <c r="BB1155" s="1"/>
      <c r="BC1155" s="1"/>
    </row>
    <row r="1156" spans="1:55" s="78" customFormat="1" ht="15" customHeight="1" x14ac:dyDescent="0.25">
      <c r="A1156" s="52" t="s">
        <v>5163</v>
      </c>
      <c r="B1156" s="34" t="s">
        <v>59</v>
      </c>
      <c r="C1156" s="53">
        <v>2026</v>
      </c>
      <c r="D1156" s="53">
        <v>2026</v>
      </c>
      <c r="E1156" s="54" t="s">
        <v>3713</v>
      </c>
      <c r="F1156" s="55" t="s">
        <v>50</v>
      </c>
      <c r="G1156" s="55" t="s">
        <v>50</v>
      </c>
      <c r="H1156" s="45" t="s">
        <v>2537</v>
      </c>
      <c r="I1156" s="56" t="s">
        <v>78</v>
      </c>
      <c r="J1156" s="56"/>
      <c r="K1156" s="55" t="s">
        <v>582</v>
      </c>
      <c r="L1156" s="55" t="s">
        <v>88</v>
      </c>
      <c r="M1156" s="55"/>
      <c r="N1156" s="55" t="s">
        <v>110</v>
      </c>
      <c r="O1156" s="55"/>
      <c r="P1156" s="55" t="s">
        <v>583</v>
      </c>
      <c r="Q1156" s="61" t="s">
        <v>57</v>
      </c>
      <c r="R1156" s="55"/>
      <c r="S1156" s="56" t="s">
        <v>58</v>
      </c>
      <c r="T1156" s="55" t="s">
        <v>81</v>
      </c>
      <c r="U1156" s="57">
        <v>1000</v>
      </c>
      <c r="V1156" s="57" t="s">
        <v>101</v>
      </c>
      <c r="W1156" s="55"/>
      <c r="X1156" s="54" t="s">
        <v>5163</v>
      </c>
      <c r="Y1156" s="52"/>
      <c r="Z1156" s="3" t="s">
        <v>154</v>
      </c>
      <c r="AA1156" s="3" t="s">
        <v>621</v>
      </c>
      <c r="AB1156" s="3"/>
      <c r="AC1156" s="3"/>
      <c r="AD1156" s="3" t="s">
        <v>62</v>
      </c>
      <c r="AE1156" s="3" t="s">
        <v>336</v>
      </c>
      <c r="AF1156" s="3"/>
      <c r="AG1156" s="3" t="s">
        <v>2536</v>
      </c>
      <c r="AH1156" s="58">
        <v>100</v>
      </c>
      <c r="AI1156" s="3"/>
      <c r="AJ1156" s="3"/>
      <c r="AK1156" s="3"/>
      <c r="AL1156" s="3"/>
      <c r="AM1156" s="3"/>
      <c r="AN1156" s="3"/>
      <c r="AO1156" s="3"/>
      <c r="AP1156" s="3"/>
      <c r="AQ1156" s="3"/>
      <c r="AR1156" s="3"/>
      <c r="AS1156" s="3"/>
      <c r="AT1156" s="3"/>
      <c r="AU1156" s="3"/>
      <c r="AV1156" s="3"/>
      <c r="AW1156" s="3"/>
      <c r="AX1156" s="3"/>
      <c r="AY1156" s="3"/>
      <c r="AZ1156" s="4" t="s">
        <v>2533</v>
      </c>
      <c r="BA1156" s="32"/>
      <c r="BB1156" s="1"/>
      <c r="BC1156" s="1"/>
    </row>
    <row r="1157" spans="1:55" s="78" customFormat="1" ht="15" customHeight="1" x14ac:dyDescent="0.25">
      <c r="A1157" s="52" t="s">
        <v>5164</v>
      </c>
      <c r="B1157" s="34" t="s">
        <v>59</v>
      </c>
      <c r="C1157" s="53">
        <v>2026</v>
      </c>
      <c r="D1157" s="53">
        <v>2026</v>
      </c>
      <c r="E1157" s="54" t="s">
        <v>3714</v>
      </c>
      <c r="F1157" s="55" t="s">
        <v>50</v>
      </c>
      <c r="G1157" s="55" t="s">
        <v>50</v>
      </c>
      <c r="H1157" s="45" t="s">
        <v>2538</v>
      </c>
      <c r="I1157" s="56" t="s">
        <v>52</v>
      </c>
      <c r="J1157" s="56"/>
      <c r="K1157" s="55" t="s">
        <v>53</v>
      </c>
      <c r="L1157" s="55" t="s">
        <v>54</v>
      </c>
      <c r="M1157" s="55"/>
      <c r="N1157" s="55" t="s">
        <v>327</v>
      </c>
      <c r="O1157" s="55"/>
      <c r="P1157" s="55" t="s">
        <v>56</v>
      </c>
      <c r="Q1157" s="55" t="s">
        <v>57</v>
      </c>
      <c r="R1157" s="55"/>
      <c r="S1157" s="56" t="s">
        <v>58</v>
      </c>
      <c r="T1157" s="55" t="s">
        <v>81</v>
      </c>
      <c r="U1157" s="57">
        <v>600</v>
      </c>
      <c r="V1157" s="57" t="s">
        <v>101</v>
      </c>
      <c r="W1157" s="55"/>
      <c r="X1157" s="54" t="s">
        <v>5164</v>
      </c>
      <c r="Y1157" s="52"/>
      <c r="Z1157" s="3" t="s">
        <v>154</v>
      </c>
      <c r="AA1157" s="3" t="s">
        <v>621</v>
      </c>
      <c r="AB1157" s="3"/>
      <c r="AC1157" s="3"/>
      <c r="AD1157" s="3" t="s">
        <v>62</v>
      </c>
      <c r="AE1157" s="3" t="s">
        <v>336</v>
      </c>
      <c r="AF1157" s="3"/>
      <c r="AG1157" s="3" t="s">
        <v>2536</v>
      </c>
      <c r="AH1157" s="58">
        <v>100</v>
      </c>
      <c r="AI1157" s="3"/>
      <c r="AJ1157" s="3"/>
      <c r="AK1157" s="3"/>
      <c r="AL1157" s="3"/>
      <c r="AM1157" s="3"/>
      <c r="AN1157" s="3"/>
      <c r="AO1157" s="3"/>
      <c r="AP1157" s="3"/>
      <c r="AQ1157" s="3"/>
      <c r="AR1157" s="3"/>
      <c r="AS1157" s="3"/>
      <c r="AT1157" s="3"/>
      <c r="AU1157" s="3"/>
      <c r="AV1157" s="3"/>
      <c r="AW1157" s="3"/>
      <c r="AX1157" s="3"/>
      <c r="AY1157" s="3"/>
      <c r="AZ1157" s="4" t="s">
        <v>2533</v>
      </c>
      <c r="BA1157" s="3"/>
      <c r="BB1157" s="1"/>
      <c r="BC1157" s="1"/>
    </row>
    <row r="1158" spans="1:55" s="78" customFormat="1" ht="15" customHeight="1" x14ac:dyDescent="0.25">
      <c r="A1158" s="52" t="s">
        <v>5165</v>
      </c>
      <c r="B1158" s="34" t="s">
        <v>59</v>
      </c>
      <c r="C1158" s="53">
        <v>2026</v>
      </c>
      <c r="D1158" s="53">
        <v>2026</v>
      </c>
      <c r="E1158" s="54" t="s">
        <v>3714</v>
      </c>
      <c r="F1158" s="55" t="s">
        <v>50</v>
      </c>
      <c r="G1158" s="55" t="s">
        <v>50</v>
      </c>
      <c r="H1158" s="45" t="s">
        <v>2538</v>
      </c>
      <c r="I1158" s="45" t="s">
        <v>52</v>
      </c>
      <c r="J1158" s="56"/>
      <c r="K1158" s="55" t="s">
        <v>74</v>
      </c>
      <c r="L1158" s="55" t="s">
        <v>54</v>
      </c>
      <c r="M1158" s="55" t="s">
        <v>127</v>
      </c>
      <c r="N1158" s="55" t="s">
        <v>110</v>
      </c>
      <c r="O1158" s="56" t="s">
        <v>296</v>
      </c>
      <c r="P1158" s="55" t="s">
        <v>75</v>
      </c>
      <c r="Q1158" s="56" t="s">
        <v>57</v>
      </c>
      <c r="R1158" s="55"/>
      <c r="S1158" s="56" t="s">
        <v>58</v>
      </c>
      <c r="T1158" s="55" t="str">
        <f>IF(ISNUMBER(SEARCH(",",N1158)),"Y","N")</f>
        <v>N</v>
      </c>
      <c r="U1158" s="72">
        <v>258.40600000000001</v>
      </c>
      <c r="V1158" s="57" t="s">
        <v>101</v>
      </c>
      <c r="W1158" s="55"/>
      <c r="X1158" s="54" t="s">
        <v>5165</v>
      </c>
      <c r="Y1158" s="52"/>
      <c r="Z1158" s="3" t="s">
        <v>154</v>
      </c>
      <c r="AA1158" s="3" t="s">
        <v>621</v>
      </c>
      <c r="AB1158" s="3"/>
      <c r="AC1158" s="3"/>
      <c r="AD1158" s="3" t="s">
        <v>62</v>
      </c>
      <c r="AE1158" s="3" t="s">
        <v>336</v>
      </c>
      <c r="AF1158" s="3"/>
      <c r="AG1158" s="3" t="s">
        <v>2536</v>
      </c>
      <c r="AH1158" s="58">
        <v>100</v>
      </c>
      <c r="AI1158" s="1"/>
      <c r="AJ1158" s="3"/>
      <c r="AK1158" s="3"/>
      <c r="AL1158" s="3"/>
      <c r="AM1158" s="3"/>
      <c r="AN1158" s="3"/>
      <c r="AO1158" s="3"/>
      <c r="AP1158" s="3"/>
      <c r="AQ1158" s="3"/>
      <c r="AR1158" s="3"/>
      <c r="AS1158" s="3"/>
      <c r="AT1158" s="3"/>
      <c r="AU1158" s="3"/>
      <c r="AV1158" s="3"/>
      <c r="AW1158" s="3"/>
      <c r="AX1158" s="3"/>
      <c r="AY1158" s="3"/>
      <c r="AZ1158" s="4" t="s">
        <v>2533</v>
      </c>
      <c r="BA1158" s="3"/>
      <c r="BB1158" s="1"/>
      <c r="BC1158" s="1"/>
    </row>
    <row r="1159" spans="1:55" s="78" customFormat="1" ht="15" customHeight="1" x14ac:dyDescent="0.25">
      <c r="A1159" s="52" t="s">
        <v>5166</v>
      </c>
      <c r="B1159" s="34" t="s">
        <v>59</v>
      </c>
      <c r="C1159" s="53">
        <v>2026</v>
      </c>
      <c r="D1159" s="53">
        <v>2026</v>
      </c>
      <c r="E1159" s="54" t="s">
        <v>3715</v>
      </c>
      <c r="F1159" s="55" t="s">
        <v>50</v>
      </c>
      <c r="G1159" s="55" t="s">
        <v>50</v>
      </c>
      <c r="H1159" s="45" t="s">
        <v>2539</v>
      </c>
      <c r="I1159" s="56" t="s">
        <v>52</v>
      </c>
      <c r="J1159" s="56"/>
      <c r="K1159" s="56" t="s">
        <v>87</v>
      </c>
      <c r="L1159" s="55" t="str">
        <f>IF(K1159="Mine or Quarry","Mine","")</f>
        <v/>
      </c>
      <c r="M1159" s="55"/>
      <c r="N1159" s="56"/>
      <c r="O1159" s="56" t="s">
        <v>2892</v>
      </c>
      <c r="P1159" s="56" t="s">
        <v>89</v>
      </c>
      <c r="Q1159" s="56" t="s">
        <v>89</v>
      </c>
      <c r="R1159" s="55"/>
      <c r="S1159" s="56" t="s">
        <v>81</v>
      </c>
      <c r="T1159" s="55" t="s">
        <v>58</v>
      </c>
      <c r="U1159" s="57">
        <v>-999</v>
      </c>
      <c r="V1159" s="57" t="s">
        <v>59</v>
      </c>
      <c r="W1159" s="55" t="s">
        <v>2319</v>
      </c>
      <c r="X1159" s="54" t="s">
        <v>5166</v>
      </c>
      <c r="Y1159" s="52"/>
      <c r="Z1159" s="1" t="s">
        <v>61</v>
      </c>
      <c r="AA1159" s="1" t="s">
        <v>2540</v>
      </c>
      <c r="AB1159" s="1"/>
      <c r="AC1159" s="1"/>
      <c r="AD1159" s="3" t="s">
        <v>62</v>
      </c>
      <c r="AE1159" s="1" t="s">
        <v>1077</v>
      </c>
      <c r="AF1159" s="1" t="s">
        <v>947</v>
      </c>
      <c r="AG1159" s="1" t="s">
        <v>947</v>
      </c>
      <c r="AH1159" s="1"/>
      <c r="AI1159" s="1"/>
      <c r="AJ1159" s="1"/>
      <c r="AK1159" s="1"/>
      <c r="AL1159" s="1"/>
      <c r="AM1159" s="1"/>
      <c r="AN1159" s="1"/>
      <c r="AO1159" s="1"/>
      <c r="AP1159" s="1"/>
      <c r="AQ1159" s="1"/>
      <c r="AR1159" s="1"/>
      <c r="AS1159" s="1"/>
      <c r="AT1159" s="1"/>
      <c r="AU1159" s="1"/>
      <c r="AV1159" s="1"/>
      <c r="AW1159" s="1"/>
      <c r="AX1159" s="1"/>
      <c r="AY1159" s="1"/>
      <c r="AZ1159" s="5" t="s">
        <v>1074</v>
      </c>
      <c r="BA1159" s="5"/>
      <c r="BB1159" s="1"/>
      <c r="BC1159" s="1"/>
    </row>
    <row r="1160" spans="1:55" s="78" customFormat="1" ht="15" customHeight="1" x14ac:dyDescent="0.25">
      <c r="A1160" s="52" t="s">
        <v>5167</v>
      </c>
      <c r="B1160" s="34" t="s">
        <v>59</v>
      </c>
      <c r="C1160" s="53">
        <v>2026</v>
      </c>
      <c r="D1160" s="53">
        <v>2026</v>
      </c>
      <c r="E1160" s="54" t="s">
        <v>3716</v>
      </c>
      <c r="F1160" s="55" t="s">
        <v>50</v>
      </c>
      <c r="G1160" s="55" t="s">
        <v>50</v>
      </c>
      <c r="H1160" s="45" t="s">
        <v>2542</v>
      </c>
      <c r="I1160" s="61" t="s">
        <v>78</v>
      </c>
      <c r="J1160" s="56"/>
      <c r="K1160" s="55" t="s">
        <v>133</v>
      </c>
      <c r="L1160" s="55" t="s">
        <v>88</v>
      </c>
      <c r="M1160" s="55"/>
      <c r="N1160" s="55" t="s">
        <v>1289</v>
      </c>
      <c r="O1160" s="55"/>
      <c r="P1160" s="55" t="s">
        <v>134</v>
      </c>
      <c r="Q1160" s="55" t="s">
        <v>57</v>
      </c>
      <c r="R1160" s="55"/>
      <c r="S1160" s="56" t="s">
        <v>81</v>
      </c>
      <c r="T1160" s="55" t="s">
        <v>81</v>
      </c>
      <c r="U1160" s="57">
        <v>4230</v>
      </c>
      <c r="V1160" s="57" t="s">
        <v>101</v>
      </c>
      <c r="W1160" s="55"/>
      <c r="X1160" s="54" t="s">
        <v>5167</v>
      </c>
      <c r="Y1160" s="52"/>
      <c r="Z1160" s="3" t="s">
        <v>154</v>
      </c>
      <c r="AA1160" s="3" t="s">
        <v>3976</v>
      </c>
      <c r="AB1160" s="3"/>
      <c r="AC1160" s="3"/>
      <c r="AD1160" s="3" t="s">
        <v>62</v>
      </c>
      <c r="AE1160" s="3" t="s">
        <v>366</v>
      </c>
      <c r="AF1160" s="3"/>
      <c r="AG1160" s="3" t="s">
        <v>1080</v>
      </c>
      <c r="AH1160" s="53">
        <v>55</v>
      </c>
      <c r="AI1160" s="3" t="s">
        <v>2543</v>
      </c>
      <c r="AJ1160" s="53">
        <v>45</v>
      </c>
      <c r="AK1160" s="3"/>
      <c r="AL1160" s="53"/>
      <c r="AM1160" s="3"/>
      <c r="AN1160" s="53"/>
      <c r="AO1160" s="3"/>
      <c r="AP1160" s="53"/>
      <c r="AQ1160" s="3"/>
      <c r="AR1160" s="53"/>
      <c r="AS1160" s="3"/>
      <c r="AT1160" s="53"/>
      <c r="AU1160" s="3"/>
      <c r="AV1160" s="53"/>
      <c r="AW1160" s="3"/>
      <c r="AX1160" s="53"/>
      <c r="AY1160" s="3"/>
      <c r="AZ1160" s="4" t="s">
        <v>2541</v>
      </c>
      <c r="BA1160" s="3"/>
      <c r="BB1160" s="1"/>
      <c r="BC1160" s="1"/>
    </row>
    <row r="1161" spans="1:55" s="78" customFormat="1" ht="15" customHeight="1" x14ac:dyDescent="0.25">
      <c r="A1161" s="52" t="s">
        <v>5168</v>
      </c>
      <c r="B1161" s="34" t="s">
        <v>59</v>
      </c>
      <c r="C1161" s="53">
        <v>2026</v>
      </c>
      <c r="D1161" s="53">
        <v>2026</v>
      </c>
      <c r="E1161" s="54" t="s">
        <v>3717</v>
      </c>
      <c r="F1161" s="55" t="s">
        <v>50</v>
      </c>
      <c r="G1161" s="55" t="s">
        <v>50</v>
      </c>
      <c r="H1161" s="45" t="s">
        <v>2544</v>
      </c>
      <c r="I1161" s="61" t="s">
        <v>52</v>
      </c>
      <c r="J1161" s="56"/>
      <c r="K1161" s="55" t="s">
        <v>133</v>
      </c>
      <c r="L1161" s="55" t="s">
        <v>54</v>
      </c>
      <c r="M1161" s="55"/>
      <c r="N1161" s="55" t="s">
        <v>240</v>
      </c>
      <c r="O1161" s="55"/>
      <c r="P1161" s="55" t="s">
        <v>134</v>
      </c>
      <c r="Q1161" s="55" t="s">
        <v>57</v>
      </c>
      <c r="R1161" s="55"/>
      <c r="S1161" s="56" t="s">
        <v>81</v>
      </c>
      <c r="T1161" s="55" t="s">
        <v>81</v>
      </c>
      <c r="U1161" s="57">
        <v>4230</v>
      </c>
      <c r="V1161" s="57" t="s">
        <v>101</v>
      </c>
      <c r="W1161" s="55"/>
      <c r="X1161" s="54" t="s">
        <v>5168</v>
      </c>
      <c r="Y1161" s="52"/>
      <c r="Z1161" s="3" t="s">
        <v>154</v>
      </c>
      <c r="AA1161" s="3" t="s">
        <v>3976</v>
      </c>
      <c r="AB1161" s="3"/>
      <c r="AC1161" s="3"/>
      <c r="AD1161" s="3" t="s">
        <v>62</v>
      </c>
      <c r="AE1161" s="3" t="s">
        <v>366</v>
      </c>
      <c r="AF1161" s="3"/>
      <c r="AG1161" s="3" t="s">
        <v>1080</v>
      </c>
      <c r="AH1161" s="53">
        <v>55</v>
      </c>
      <c r="AI1161" s="3" t="s">
        <v>2543</v>
      </c>
      <c r="AJ1161" s="53">
        <v>45</v>
      </c>
      <c r="AK1161" s="3"/>
      <c r="AL1161" s="53"/>
      <c r="AM1161" s="3"/>
      <c r="AN1161" s="53"/>
      <c r="AO1161" s="3"/>
      <c r="AP1161" s="53"/>
      <c r="AQ1161" s="3"/>
      <c r="AR1161" s="53"/>
      <c r="AS1161" s="3"/>
      <c r="AT1161" s="53"/>
      <c r="AU1161" s="3"/>
      <c r="AV1161" s="53"/>
      <c r="AW1161" s="3"/>
      <c r="AX1161" s="53"/>
      <c r="AY1161" s="3"/>
      <c r="AZ1161" s="4" t="s">
        <v>2541</v>
      </c>
      <c r="BA1161" s="3"/>
      <c r="BB1161" s="1"/>
      <c r="BC1161" s="1"/>
    </row>
    <row r="1162" spans="1:55" s="78" customFormat="1" ht="15" customHeight="1" x14ac:dyDescent="0.25">
      <c r="A1162" s="52" t="s">
        <v>5169</v>
      </c>
      <c r="B1162" s="34" t="s">
        <v>59</v>
      </c>
      <c r="C1162" s="53">
        <v>2026</v>
      </c>
      <c r="D1162" s="53">
        <v>2026</v>
      </c>
      <c r="E1162" s="54" t="s">
        <v>3718</v>
      </c>
      <c r="F1162" s="55" t="s">
        <v>50</v>
      </c>
      <c r="G1162" s="55" t="s">
        <v>50</v>
      </c>
      <c r="H1162" s="45" t="s">
        <v>2547</v>
      </c>
      <c r="I1162" s="56" t="s">
        <v>52</v>
      </c>
      <c r="J1162" s="56"/>
      <c r="K1162" s="56" t="s">
        <v>79</v>
      </c>
      <c r="L1162" s="55" t="str">
        <f>IF(K1162="Mine or Quarry","Mine","")</f>
        <v/>
      </c>
      <c r="M1162" s="55"/>
      <c r="N1162" s="56" t="s">
        <v>80</v>
      </c>
      <c r="O1162" s="56"/>
      <c r="P1162" s="56" t="s">
        <v>89</v>
      </c>
      <c r="Q1162" s="56" t="s">
        <v>89</v>
      </c>
      <c r="R1162" s="55"/>
      <c r="S1162" s="56" t="s">
        <v>81</v>
      </c>
      <c r="T1162" s="55" t="str">
        <f t="shared" ref="T1162:T1168" si="19">IF(ISNUMBER(SEARCH(",",N1162)),"Y","N")</f>
        <v>N</v>
      </c>
      <c r="U1162" s="57">
        <v>-999</v>
      </c>
      <c r="V1162" s="57" t="s">
        <v>59</v>
      </c>
      <c r="W1162" s="55" t="s">
        <v>2319</v>
      </c>
      <c r="X1162" s="54" t="s">
        <v>5169</v>
      </c>
      <c r="Y1162" s="52"/>
      <c r="Z1162" s="1" t="s">
        <v>61</v>
      </c>
      <c r="AA1162" s="1" t="s">
        <v>2166</v>
      </c>
      <c r="AB1162" s="1"/>
      <c r="AC1162" s="1"/>
      <c r="AD1162" s="3" t="s">
        <v>62</v>
      </c>
      <c r="AE1162" s="1" t="s">
        <v>184</v>
      </c>
      <c r="AF1162" s="1" t="s">
        <v>775</v>
      </c>
      <c r="AG1162" s="1" t="s">
        <v>776</v>
      </c>
      <c r="AH1162" s="59">
        <v>100</v>
      </c>
      <c r="AI1162" s="1"/>
      <c r="AJ1162" s="1"/>
      <c r="AK1162" s="1"/>
      <c r="AL1162" s="1"/>
      <c r="AM1162" s="1"/>
      <c r="AN1162" s="1"/>
      <c r="AO1162" s="1"/>
      <c r="AP1162" s="1"/>
      <c r="AQ1162" s="1"/>
      <c r="AR1162" s="1"/>
      <c r="AS1162" s="1"/>
      <c r="AT1162" s="1"/>
      <c r="AU1162" s="1"/>
      <c r="AV1162" s="1"/>
      <c r="AW1162" s="1"/>
      <c r="AX1162" s="1"/>
      <c r="AY1162" s="1"/>
      <c r="AZ1162" s="5" t="s">
        <v>2546</v>
      </c>
      <c r="BA1162" s="5"/>
      <c r="BB1162" s="1"/>
      <c r="BC1162" s="1"/>
    </row>
    <row r="1163" spans="1:55" s="78" customFormat="1" ht="15" customHeight="1" x14ac:dyDescent="0.25">
      <c r="A1163" s="52" t="s">
        <v>5170</v>
      </c>
      <c r="B1163" s="34" t="s">
        <v>59</v>
      </c>
      <c r="C1163" s="53">
        <v>2026</v>
      </c>
      <c r="D1163" s="53">
        <v>2026</v>
      </c>
      <c r="E1163" s="54" t="s">
        <v>3719</v>
      </c>
      <c r="F1163" s="55" t="s">
        <v>50</v>
      </c>
      <c r="G1163" s="55" t="s">
        <v>50</v>
      </c>
      <c r="H1163" s="45" t="s">
        <v>2549</v>
      </c>
      <c r="I1163" s="56" t="s">
        <v>78</v>
      </c>
      <c r="J1163" s="56"/>
      <c r="K1163" s="56" t="s">
        <v>74</v>
      </c>
      <c r="L1163" s="55" t="str">
        <f>IF(K1163="Mines and Quarries","Mine","")</f>
        <v/>
      </c>
      <c r="M1163" s="55"/>
      <c r="N1163" s="56" t="s">
        <v>110</v>
      </c>
      <c r="O1163" s="56"/>
      <c r="P1163" s="55" t="s">
        <v>75</v>
      </c>
      <c r="Q1163" s="56" t="s">
        <v>57</v>
      </c>
      <c r="R1163" s="55"/>
      <c r="S1163" s="56" t="s">
        <v>58</v>
      </c>
      <c r="T1163" s="55" t="str">
        <f t="shared" si="19"/>
        <v>N</v>
      </c>
      <c r="U1163" s="57">
        <v>-999</v>
      </c>
      <c r="V1163" s="57" t="s">
        <v>59</v>
      </c>
      <c r="W1163" s="55" t="s">
        <v>2319</v>
      </c>
      <c r="X1163" s="54" t="s">
        <v>5170</v>
      </c>
      <c r="Y1163" s="60"/>
      <c r="Z1163" s="1" t="s">
        <v>61</v>
      </c>
      <c r="AA1163" s="1" t="s">
        <v>584</v>
      </c>
      <c r="AB1163" s="1"/>
      <c r="AC1163" s="1"/>
      <c r="AD1163" s="3" t="s">
        <v>62</v>
      </c>
      <c r="AE1163" s="1" t="s">
        <v>524</v>
      </c>
      <c r="AF1163" s="1" t="s">
        <v>585</v>
      </c>
      <c r="AG1163" s="1" t="s">
        <v>586</v>
      </c>
      <c r="AH1163" s="58">
        <v>100</v>
      </c>
      <c r="AI1163" s="1"/>
      <c r="AJ1163" s="1"/>
      <c r="AK1163" s="1"/>
      <c r="AL1163" s="1"/>
      <c r="AM1163" s="1"/>
      <c r="AN1163" s="1"/>
      <c r="AO1163" s="1"/>
      <c r="AP1163" s="1"/>
      <c r="AQ1163" s="1"/>
      <c r="AR1163" s="1"/>
      <c r="AS1163" s="1"/>
      <c r="AT1163" s="1"/>
      <c r="AU1163" s="1"/>
      <c r="AV1163" s="1"/>
      <c r="AW1163" s="1"/>
      <c r="AX1163" s="1"/>
      <c r="AY1163" s="1"/>
      <c r="AZ1163" s="5" t="s">
        <v>587</v>
      </c>
      <c r="BA1163" s="5"/>
      <c r="BB1163" s="1"/>
      <c r="BC1163" s="1"/>
    </row>
    <row r="1164" spans="1:55" s="78" customFormat="1" ht="15" customHeight="1" x14ac:dyDescent="0.25">
      <c r="A1164" s="52" t="s">
        <v>5171</v>
      </c>
      <c r="B1164" s="34" t="s">
        <v>59</v>
      </c>
      <c r="C1164" s="53">
        <v>2026</v>
      </c>
      <c r="D1164" s="53">
        <v>2026</v>
      </c>
      <c r="E1164" s="54" t="s">
        <v>3719</v>
      </c>
      <c r="F1164" s="55" t="s">
        <v>50</v>
      </c>
      <c r="G1164" s="55" t="s">
        <v>50</v>
      </c>
      <c r="H1164" s="45" t="s">
        <v>2549</v>
      </c>
      <c r="I1164" s="56" t="s">
        <v>78</v>
      </c>
      <c r="J1164" s="56"/>
      <c r="K1164" s="56" t="s">
        <v>313</v>
      </c>
      <c r="L1164" s="56" t="s">
        <v>88</v>
      </c>
      <c r="M1164" s="55"/>
      <c r="N1164" s="56" t="s">
        <v>110</v>
      </c>
      <c r="O1164" s="56"/>
      <c r="P1164" s="61" t="s">
        <v>314</v>
      </c>
      <c r="Q1164" s="61" t="s">
        <v>57</v>
      </c>
      <c r="R1164" s="55"/>
      <c r="S1164" s="56" t="s">
        <v>58</v>
      </c>
      <c r="T1164" s="55" t="str">
        <f t="shared" si="19"/>
        <v>N</v>
      </c>
      <c r="U1164" s="57">
        <v>-999</v>
      </c>
      <c r="V1164" s="57" t="s">
        <v>59</v>
      </c>
      <c r="W1164" s="55" t="s">
        <v>2319</v>
      </c>
      <c r="X1164" s="54" t="s">
        <v>5171</v>
      </c>
      <c r="Y1164" s="60"/>
      <c r="Z1164" s="1" t="s">
        <v>61</v>
      </c>
      <c r="AA1164" s="65" t="s">
        <v>584</v>
      </c>
      <c r="AB1164" s="65"/>
      <c r="AC1164" s="65"/>
      <c r="AD1164" s="3" t="s">
        <v>62</v>
      </c>
      <c r="AE1164" s="1" t="s">
        <v>524</v>
      </c>
      <c r="AF1164" s="1" t="s">
        <v>585</v>
      </c>
      <c r="AG1164" s="1" t="s">
        <v>586</v>
      </c>
      <c r="AH1164" s="2">
        <v>100</v>
      </c>
      <c r="AI1164" s="1"/>
      <c r="AJ1164" s="1"/>
      <c r="AK1164" s="1"/>
      <c r="AL1164" s="1"/>
      <c r="AM1164" s="1"/>
      <c r="AN1164" s="1"/>
      <c r="AO1164" s="1"/>
      <c r="AP1164" s="1"/>
      <c r="AQ1164" s="1"/>
      <c r="AR1164" s="1"/>
      <c r="AS1164" s="1"/>
      <c r="AT1164" s="1"/>
      <c r="AU1164" s="1"/>
      <c r="AV1164" s="1"/>
      <c r="AW1164" s="1"/>
      <c r="AX1164" s="1"/>
      <c r="AY1164" s="1"/>
      <c r="AZ1164" s="4" t="s">
        <v>5347</v>
      </c>
      <c r="BA1164" s="1"/>
      <c r="BB1164" s="1"/>
      <c r="BC1164" s="1"/>
    </row>
    <row r="1165" spans="1:55" s="78" customFormat="1" ht="15" customHeight="1" x14ac:dyDescent="0.25">
      <c r="A1165" s="52" t="s">
        <v>5172</v>
      </c>
      <c r="B1165" s="34" t="s">
        <v>59</v>
      </c>
      <c r="C1165" s="53">
        <v>2026</v>
      </c>
      <c r="D1165" s="53">
        <v>2026</v>
      </c>
      <c r="E1165" s="54" t="s">
        <v>3719</v>
      </c>
      <c r="F1165" s="55" t="s">
        <v>50</v>
      </c>
      <c r="G1165" s="55" t="s">
        <v>50</v>
      </c>
      <c r="H1165" s="45" t="s">
        <v>2549</v>
      </c>
      <c r="I1165" s="56" t="s">
        <v>78</v>
      </c>
      <c r="J1165" s="56"/>
      <c r="K1165" s="56" t="s">
        <v>582</v>
      </c>
      <c r="L1165" s="55" t="s">
        <v>88</v>
      </c>
      <c r="M1165" s="55"/>
      <c r="N1165" s="56" t="s">
        <v>110</v>
      </c>
      <c r="O1165" s="56"/>
      <c r="P1165" s="61" t="s">
        <v>583</v>
      </c>
      <c r="Q1165" s="61" t="s">
        <v>57</v>
      </c>
      <c r="R1165" s="55"/>
      <c r="S1165" s="56" t="s">
        <v>58</v>
      </c>
      <c r="T1165" s="55" t="str">
        <f t="shared" si="19"/>
        <v>N</v>
      </c>
      <c r="U1165" s="57">
        <v>26000</v>
      </c>
      <c r="V1165" s="57" t="s">
        <v>101</v>
      </c>
      <c r="W1165" s="55" t="s">
        <v>2319</v>
      </c>
      <c r="X1165" s="54" t="s">
        <v>5172</v>
      </c>
      <c r="Y1165" s="60"/>
      <c r="Z1165" s="1" t="s">
        <v>61</v>
      </c>
      <c r="AA1165" s="65" t="s">
        <v>584</v>
      </c>
      <c r="AB1165" s="65"/>
      <c r="AC1165" s="65"/>
      <c r="AD1165" s="3" t="s">
        <v>62</v>
      </c>
      <c r="AE1165" s="1" t="s">
        <v>524</v>
      </c>
      <c r="AF1165" s="1" t="s">
        <v>585</v>
      </c>
      <c r="AG1165" s="1" t="s">
        <v>586</v>
      </c>
      <c r="AH1165" s="58">
        <v>100</v>
      </c>
      <c r="AI1165" s="1"/>
      <c r="AJ1165" s="1"/>
      <c r="AK1165" s="1"/>
      <c r="AL1165" s="1"/>
      <c r="AM1165" s="1"/>
      <c r="AN1165" s="1"/>
      <c r="AO1165" s="1"/>
      <c r="AP1165" s="1"/>
      <c r="AQ1165" s="1"/>
      <c r="AR1165" s="1"/>
      <c r="AS1165" s="1"/>
      <c r="AT1165" s="1"/>
      <c r="AU1165" s="1"/>
      <c r="AV1165" s="1"/>
      <c r="AW1165" s="1"/>
      <c r="AX1165" s="1"/>
      <c r="AY1165" s="1"/>
      <c r="AZ1165" s="4" t="s">
        <v>2545</v>
      </c>
      <c r="BA1165" s="1"/>
      <c r="BB1165" s="1"/>
      <c r="BC1165" s="1"/>
    </row>
    <row r="1166" spans="1:55" s="78" customFormat="1" ht="15" customHeight="1" x14ac:dyDescent="0.25">
      <c r="A1166" s="52" t="s">
        <v>5173</v>
      </c>
      <c r="B1166" s="34" t="s">
        <v>59</v>
      </c>
      <c r="C1166" s="53">
        <v>2026</v>
      </c>
      <c r="D1166" s="53">
        <v>2026</v>
      </c>
      <c r="E1166" s="54" t="s">
        <v>3719</v>
      </c>
      <c r="F1166" s="55" t="s">
        <v>50</v>
      </c>
      <c r="G1166" s="55" t="s">
        <v>50</v>
      </c>
      <c r="H1166" s="45" t="s">
        <v>2549</v>
      </c>
      <c r="I1166" s="56" t="s">
        <v>78</v>
      </c>
      <c r="J1166" s="56"/>
      <c r="K1166" s="56" t="s">
        <v>53</v>
      </c>
      <c r="L1166" s="55"/>
      <c r="M1166" s="55"/>
      <c r="N1166" s="56" t="s">
        <v>110</v>
      </c>
      <c r="O1166" s="56"/>
      <c r="P1166" s="55" t="s">
        <v>56</v>
      </c>
      <c r="Q1166" s="55" t="s">
        <v>57</v>
      </c>
      <c r="R1166" s="55"/>
      <c r="S1166" s="56" t="s">
        <v>58</v>
      </c>
      <c r="T1166" s="55" t="str">
        <f t="shared" si="19"/>
        <v>N</v>
      </c>
      <c r="U1166" s="57">
        <v>-999</v>
      </c>
      <c r="V1166" s="57" t="s">
        <v>59</v>
      </c>
      <c r="W1166" s="55" t="s">
        <v>2319</v>
      </c>
      <c r="X1166" s="54" t="s">
        <v>5173</v>
      </c>
      <c r="Y1166" s="60"/>
      <c r="Z1166" s="1" t="s">
        <v>61</v>
      </c>
      <c r="AA1166" s="65" t="s">
        <v>584</v>
      </c>
      <c r="AB1166" s="65"/>
      <c r="AC1166" s="65"/>
      <c r="AD1166" s="3" t="s">
        <v>62</v>
      </c>
      <c r="AE1166" s="3" t="s">
        <v>524</v>
      </c>
      <c r="AF1166" s="1" t="s">
        <v>585</v>
      </c>
      <c r="AG1166" s="1" t="s">
        <v>586</v>
      </c>
      <c r="AH1166" s="2">
        <v>100</v>
      </c>
      <c r="AI1166" s="1"/>
      <c r="AJ1166" s="1"/>
      <c r="AK1166" s="1"/>
      <c r="AL1166" s="1"/>
      <c r="AM1166" s="1"/>
      <c r="AN1166" s="1"/>
      <c r="AO1166" s="1"/>
      <c r="AP1166" s="1"/>
      <c r="AQ1166" s="1"/>
      <c r="AR1166" s="1"/>
      <c r="AS1166" s="1"/>
      <c r="AT1166" s="1"/>
      <c r="AU1166" s="1"/>
      <c r="AV1166" s="1"/>
      <c r="AW1166" s="1"/>
      <c r="AX1166" s="1"/>
      <c r="AY1166" s="1"/>
      <c r="AZ1166" s="4" t="s">
        <v>2548</v>
      </c>
      <c r="BA1166" s="1"/>
      <c r="BB1166" s="1"/>
      <c r="BC1166" s="1"/>
    </row>
    <row r="1167" spans="1:55" s="78" customFormat="1" ht="15" customHeight="1" x14ac:dyDescent="0.25">
      <c r="A1167" s="52" t="s">
        <v>5174</v>
      </c>
      <c r="B1167" s="34" t="s">
        <v>59</v>
      </c>
      <c r="C1167" s="53">
        <v>2026</v>
      </c>
      <c r="D1167" s="53">
        <v>2026</v>
      </c>
      <c r="E1167" s="54" t="s">
        <v>3720</v>
      </c>
      <c r="F1167" s="55" t="s">
        <v>50</v>
      </c>
      <c r="G1167" s="55" t="s">
        <v>50</v>
      </c>
      <c r="H1167" s="45" t="s">
        <v>2550</v>
      </c>
      <c r="I1167" s="61" t="s">
        <v>78</v>
      </c>
      <c r="J1167" s="56"/>
      <c r="K1167" s="45" t="s">
        <v>180</v>
      </c>
      <c r="L1167" s="55"/>
      <c r="M1167" s="55"/>
      <c r="N1167" s="55" t="s">
        <v>181</v>
      </c>
      <c r="O1167" s="55"/>
      <c r="P1167" s="55" t="s">
        <v>182</v>
      </c>
      <c r="Q1167" s="55" t="s">
        <v>5353</v>
      </c>
      <c r="R1167" s="55"/>
      <c r="S1167" s="56" t="s">
        <v>81</v>
      </c>
      <c r="T1167" s="55" t="str">
        <f t="shared" si="19"/>
        <v>N</v>
      </c>
      <c r="U1167" s="57">
        <v>-999</v>
      </c>
      <c r="V1167" s="57" t="s">
        <v>59</v>
      </c>
      <c r="W1167" s="55"/>
      <c r="X1167" s="54" t="s">
        <v>5174</v>
      </c>
      <c r="Y1167" s="53"/>
      <c r="Z1167" s="3" t="s">
        <v>154</v>
      </c>
      <c r="AA1167" s="3" t="s">
        <v>449</v>
      </c>
      <c r="AB1167" s="3"/>
      <c r="AC1167" s="3"/>
      <c r="AD1167" s="3" t="s">
        <v>62</v>
      </c>
      <c r="AE1167" s="3" t="s">
        <v>387</v>
      </c>
      <c r="AF1167" s="3"/>
      <c r="AG1167" s="3" t="s">
        <v>450</v>
      </c>
      <c r="AH1167" s="58">
        <v>100</v>
      </c>
      <c r="AI1167" s="3"/>
      <c r="AJ1167" s="53"/>
      <c r="AK1167" s="3"/>
      <c r="AL1167" s="3"/>
      <c r="AM1167" s="3"/>
      <c r="AN1167" s="3"/>
      <c r="AO1167" s="3"/>
      <c r="AP1167" s="3"/>
      <c r="AQ1167" s="3"/>
      <c r="AR1167" s="3"/>
      <c r="AS1167" s="3"/>
      <c r="AT1167" s="3"/>
      <c r="AU1167" s="3"/>
      <c r="AV1167" s="3"/>
      <c r="AW1167" s="3"/>
      <c r="AX1167" s="3"/>
      <c r="AY1167" s="3"/>
      <c r="AZ1167" s="4" t="s">
        <v>447</v>
      </c>
      <c r="BA1167" s="3"/>
      <c r="BB1167" s="1"/>
      <c r="BC1167" s="1"/>
    </row>
    <row r="1168" spans="1:55" s="78" customFormat="1" ht="15" customHeight="1" x14ac:dyDescent="0.25">
      <c r="A1168" s="52" t="s">
        <v>5175</v>
      </c>
      <c r="B1168" s="34" t="s">
        <v>59</v>
      </c>
      <c r="C1168" s="53">
        <v>2026</v>
      </c>
      <c r="D1168" s="53">
        <v>2026</v>
      </c>
      <c r="E1168" s="54" t="s">
        <v>3721</v>
      </c>
      <c r="F1168" s="55" t="s">
        <v>50</v>
      </c>
      <c r="G1168" s="55" t="s">
        <v>50</v>
      </c>
      <c r="H1168" s="45" t="s">
        <v>2551</v>
      </c>
      <c r="I1168" s="45" t="s">
        <v>52</v>
      </c>
      <c r="J1168" s="56"/>
      <c r="K1168" s="45" t="s">
        <v>180</v>
      </c>
      <c r="L1168" s="55" t="str">
        <f>IF(K1168="Mine or Quarry","Mine","")</f>
        <v/>
      </c>
      <c r="M1168" s="55"/>
      <c r="N1168" s="55" t="s">
        <v>110</v>
      </c>
      <c r="O1168" s="55" t="s">
        <v>188</v>
      </c>
      <c r="P1168" s="55" t="s">
        <v>182</v>
      </c>
      <c r="Q1168" s="55" t="s">
        <v>5353</v>
      </c>
      <c r="R1168" s="55"/>
      <c r="S1168" s="56" t="s">
        <v>81</v>
      </c>
      <c r="T1168" s="55" t="str">
        <f t="shared" si="19"/>
        <v>N</v>
      </c>
      <c r="U1168" s="57">
        <v>1860</v>
      </c>
      <c r="V1168" s="57" t="s">
        <v>101</v>
      </c>
      <c r="W1168" s="55"/>
      <c r="X1168" s="62" t="s">
        <v>5175</v>
      </c>
      <c r="Y1168" s="53"/>
      <c r="Z1168" s="3" t="s">
        <v>2005</v>
      </c>
      <c r="AA1168" s="3" t="s">
        <v>2552</v>
      </c>
      <c r="AB1168" s="3"/>
      <c r="AC1168" s="3"/>
      <c r="AD1168" s="3" t="s">
        <v>62</v>
      </c>
      <c r="AE1168" s="3" t="s">
        <v>387</v>
      </c>
      <c r="AF1168" s="3"/>
      <c r="AG1168" s="3" t="s">
        <v>450</v>
      </c>
      <c r="AH1168" s="58">
        <v>100</v>
      </c>
      <c r="AI1168" s="3"/>
      <c r="AJ1168" s="53"/>
      <c r="AK1168" s="3"/>
      <c r="AL1168" s="3"/>
      <c r="AM1168" s="3"/>
      <c r="AN1168" s="3"/>
      <c r="AO1168" s="3"/>
      <c r="AP1168" s="3"/>
      <c r="AQ1168" s="3"/>
      <c r="AR1168" s="3"/>
      <c r="AS1168" s="3"/>
      <c r="AT1168" s="3"/>
      <c r="AU1168" s="3"/>
      <c r="AV1168" s="3"/>
      <c r="AW1168" s="3"/>
      <c r="AX1168" s="3"/>
      <c r="AY1168" s="3"/>
      <c r="AZ1168" s="4" t="s">
        <v>447</v>
      </c>
      <c r="BA1168" s="3"/>
      <c r="BB1168" s="1"/>
      <c r="BC1168" s="1"/>
    </row>
    <row r="1169" spans="1:55" s="78" customFormat="1" ht="15" customHeight="1" x14ac:dyDescent="0.25">
      <c r="A1169" s="52" t="s">
        <v>5176</v>
      </c>
      <c r="B1169" s="34" t="s">
        <v>59</v>
      </c>
      <c r="C1169" s="53">
        <v>2026</v>
      </c>
      <c r="D1169" s="53">
        <v>2026</v>
      </c>
      <c r="E1169" s="54" t="s">
        <v>3722</v>
      </c>
      <c r="F1169" s="55" t="s">
        <v>50</v>
      </c>
      <c r="G1169" s="55" t="s">
        <v>50</v>
      </c>
      <c r="H1169" s="45" t="s">
        <v>2554</v>
      </c>
      <c r="I1169" s="61" t="s">
        <v>52</v>
      </c>
      <c r="J1169" s="56"/>
      <c r="K1169" s="55" t="s">
        <v>126</v>
      </c>
      <c r="L1169" s="55"/>
      <c r="M1169" s="55"/>
      <c r="N1169" s="55" t="s">
        <v>127</v>
      </c>
      <c r="O1169" s="55" t="s">
        <v>201</v>
      </c>
      <c r="P1169" s="55" t="s">
        <v>129</v>
      </c>
      <c r="Q1169" s="56" t="s">
        <v>57</v>
      </c>
      <c r="R1169" s="55"/>
      <c r="S1169" s="56" t="s">
        <v>58</v>
      </c>
      <c r="T1169" s="55" t="s">
        <v>81</v>
      </c>
      <c r="U1169" s="57">
        <v>-999</v>
      </c>
      <c r="V1169" s="57" t="s">
        <v>59</v>
      </c>
      <c r="W1169" s="55" t="s">
        <v>2319</v>
      </c>
      <c r="X1169" s="54" t="s">
        <v>5176</v>
      </c>
      <c r="Y1169" s="52"/>
      <c r="Z1169" s="3" t="s">
        <v>61</v>
      </c>
      <c r="AA1169" s="3" t="s">
        <v>1728</v>
      </c>
      <c r="AB1169" s="3"/>
      <c r="AC1169" s="3"/>
      <c r="AD1169" s="3" t="s">
        <v>62</v>
      </c>
      <c r="AE1169" s="3" t="s">
        <v>83</v>
      </c>
      <c r="AF1169" s="3"/>
      <c r="AG1169" s="3" t="s">
        <v>242</v>
      </c>
      <c r="AH1169" s="58">
        <v>100</v>
      </c>
      <c r="AI1169" s="3"/>
      <c r="AJ1169" s="3"/>
      <c r="AK1169" s="3"/>
      <c r="AL1169" s="3"/>
      <c r="AM1169" s="3"/>
      <c r="AN1169" s="3"/>
      <c r="AO1169" s="3"/>
      <c r="AP1169" s="3"/>
      <c r="AQ1169" s="3"/>
      <c r="AR1169" s="3"/>
      <c r="AS1169" s="3"/>
      <c r="AT1169" s="3"/>
      <c r="AU1169" s="3"/>
      <c r="AV1169" s="3"/>
      <c r="AW1169" s="3"/>
      <c r="AX1169" s="3"/>
      <c r="AY1169" s="3"/>
      <c r="AZ1169" s="4" t="s">
        <v>2553</v>
      </c>
      <c r="BA1169" s="3"/>
      <c r="BB1169" s="1"/>
      <c r="BC1169" s="1"/>
    </row>
    <row r="1170" spans="1:55" s="78" customFormat="1" ht="15" customHeight="1" x14ac:dyDescent="0.25">
      <c r="A1170" s="52" t="s">
        <v>5177</v>
      </c>
      <c r="B1170" s="34" t="s">
        <v>59</v>
      </c>
      <c r="C1170" s="53">
        <v>2026</v>
      </c>
      <c r="D1170" s="53">
        <v>2026</v>
      </c>
      <c r="E1170" s="54" t="s">
        <v>3722</v>
      </c>
      <c r="F1170" s="55" t="s">
        <v>50</v>
      </c>
      <c r="G1170" s="55" t="s">
        <v>50</v>
      </c>
      <c r="H1170" s="45" t="s">
        <v>2554</v>
      </c>
      <c r="I1170" s="61" t="s">
        <v>52</v>
      </c>
      <c r="J1170" s="56"/>
      <c r="K1170" s="55" t="s">
        <v>133</v>
      </c>
      <c r="L1170" s="55" t="s">
        <v>54</v>
      </c>
      <c r="M1170" s="55" t="s">
        <v>113</v>
      </c>
      <c r="N1170" s="55" t="s">
        <v>423</v>
      </c>
      <c r="O1170" s="55"/>
      <c r="P1170" s="55" t="s">
        <v>134</v>
      </c>
      <c r="Q1170" s="55" t="s">
        <v>57</v>
      </c>
      <c r="R1170" s="55"/>
      <c r="S1170" s="56" t="s">
        <v>58</v>
      </c>
      <c r="T1170" s="55" t="s">
        <v>81</v>
      </c>
      <c r="U1170" s="57">
        <v>-999</v>
      </c>
      <c r="V1170" s="57" t="s">
        <v>59</v>
      </c>
      <c r="W1170" s="55" t="s">
        <v>2319</v>
      </c>
      <c r="X1170" s="54" t="s">
        <v>5177</v>
      </c>
      <c r="Y1170" s="52"/>
      <c r="Z1170" s="3" t="s">
        <v>61</v>
      </c>
      <c r="AA1170" s="3" t="s">
        <v>1728</v>
      </c>
      <c r="AB1170" s="3"/>
      <c r="AC1170" s="3"/>
      <c r="AD1170" s="3" t="s">
        <v>62</v>
      </c>
      <c r="AE1170" s="3" t="s">
        <v>83</v>
      </c>
      <c r="AF1170" s="3"/>
      <c r="AG1170" s="3" t="s">
        <v>242</v>
      </c>
      <c r="AH1170" s="58">
        <v>100</v>
      </c>
      <c r="AI1170" s="3"/>
      <c r="AJ1170" s="3"/>
      <c r="AK1170" s="3"/>
      <c r="AL1170" s="3"/>
      <c r="AM1170" s="3"/>
      <c r="AN1170" s="3"/>
      <c r="AO1170" s="3"/>
      <c r="AP1170" s="3"/>
      <c r="AQ1170" s="3"/>
      <c r="AR1170" s="3"/>
      <c r="AS1170" s="3"/>
      <c r="AT1170" s="3"/>
      <c r="AU1170" s="3"/>
      <c r="AV1170" s="3"/>
      <c r="AW1170" s="3"/>
      <c r="AX1170" s="3"/>
      <c r="AY1170" s="3"/>
      <c r="AZ1170" s="4" t="s">
        <v>2553</v>
      </c>
      <c r="BA1170" s="3"/>
      <c r="BB1170" s="1"/>
      <c r="BC1170" s="1"/>
    </row>
    <row r="1171" spans="1:55" s="78" customFormat="1" ht="15" customHeight="1" x14ac:dyDescent="0.25">
      <c r="A1171" s="52" t="s">
        <v>5178</v>
      </c>
      <c r="B1171" s="34" t="s">
        <v>59</v>
      </c>
      <c r="C1171" s="53">
        <v>2026</v>
      </c>
      <c r="D1171" s="53">
        <v>2026</v>
      </c>
      <c r="E1171" s="54" t="s">
        <v>3722</v>
      </c>
      <c r="F1171" s="55" t="s">
        <v>50</v>
      </c>
      <c r="G1171" s="55" t="s">
        <v>50</v>
      </c>
      <c r="H1171" s="45" t="s">
        <v>2554</v>
      </c>
      <c r="I1171" s="61" t="s">
        <v>52</v>
      </c>
      <c r="J1171" s="56"/>
      <c r="K1171" s="55" t="s">
        <v>135</v>
      </c>
      <c r="L1171" s="55" t="s">
        <v>54</v>
      </c>
      <c r="M1171" s="55"/>
      <c r="N1171" s="55" t="s">
        <v>201</v>
      </c>
      <c r="O1171" s="55"/>
      <c r="P1171" s="55" t="s">
        <v>136</v>
      </c>
      <c r="Q1171" s="55" t="s">
        <v>57</v>
      </c>
      <c r="R1171" s="55"/>
      <c r="S1171" s="56" t="s">
        <v>58</v>
      </c>
      <c r="T1171" s="55" t="s">
        <v>81</v>
      </c>
      <c r="U1171" s="57">
        <v>-999</v>
      </c>
      <c r="V1171" s="57" t="s">
        <v>59</v>
      </c>
      <c r="W1171" s="55" t="s">
        <v>2319</v>
      </c>
      <c r="X1171" s="54" t="s">
        <v>5178</v>
      </c>
      <c r="Y1171" s="52"/>
      <c r="Z1171" s="3" t="s">
        <v>61</v>
      </c>
      <c r="AA1171" s="3" t="s">
        <v>1728</v>
      </c>
      <c r="AB1171" s="3"/>
      <c r="AC1171" s="3"/>
      <c r="AD1171" s="3" t="s">
        <v>62</v>
      </c>
      <c r="AE1171" s="3" t="s">
        <v>83</v>
      </c>
      <c r="AF1171" s="3"/>
      <c r="AG1171" s="3" t="s">
        <v>242</v>
      </c>
      <c r="AH1171" s="58">
        <v>100</v>
      </c>
      <c r="AI1171" s="3"/>
      <c r="AJ1171" s="3"/>
      <c r="AK1171" s="3"/>
      <c r="AL1171" s="3"/>
      <c r="AM1171" s="3"/>
      <c r="AN1171" s="3"/>
      <c r="AO1171" s="3"/>
      <c r="AP1171" s="3"/>
      <c r="AQ1171" s="3"/>
      <c r="AR1171" s="3"/>
      <c r="AS1171" s="3"/>
      <c r="AT1171" s="3"/>
      <c r="AU1171" s="3"/>
      <c r="AV1171" s="3"/>
      <c r="AW1171" s="3"/>
      <c r="AX1171" s="3"/>
      <c r="AY1171" s="3"/>
      <c r="AZ1171" s="4" t="s">
        <v>2553</v>
      </c>
      <c r="BA1171" s="3"/>
      <c r="BB1171" s="1"/>
      <c r="BC1171" s="1"/>
    </row>
    <row r="1172" spans="1:55" s="78" customFormat="1" ht="15" customHeight="1" x14ac:dyDescent="0.25">
      <c r="A1172" s="52" t="s">
        <v>5179</v>
      </c>
      <c r="B1172" s="34" t="s">
        <v>59</v>
      </c>
      <c r="C1172" s="53">
        <v>2026</v>
      </c>
      <c r="D1172" s="53">
        <v>2026</v>
      </c>
      <c r="E1172" s="54" t="s">
        <v>3722</v>
      </c>
      <c r="F1172" s="55" t="s">
        <v>50</v>
      </c>
      <c r="G1172" s="55" t="s">
        <v>50</v>
      </c>
      <c r="H1172" s="45" t="s">
        <v>2554</v>
      </c>
      <c r="I1172" s="61" t="s">
        <v>52</v>
      </c>
      <c r="J1172" s="56"/>
      <c r="K1172" s="55" t="s">
        <v>137</v>
      </c>
      <c r="L1172" s="55" t="s">
        <v>54</v>
      </c>
      <c r="M1172" s="55" t="s">
        <v>113</v>
      </c>
      <c r="N1172" s="55" t="s">
        <v>201</v>
      </c>
      <c r="O1172" s="55"/>
      <c r="P1172" s="55" t="s">
        <v>138</v>
      </c>
      <c r="Q1172" s="55" t="s">
        <v>57</v>
      </c>
      <c r="R1172" s="55"/>
      <c r="S1172" s="56" t="s">
        <v>58</v>
      </c>
      <c r="T1172" s="55" t="s">
        <v>81</v>
      </c>
      <c r="U1172" s="57">
        <v>-999</v>
      </c>
      <c r="V1172" s="57" t="s">
        <v>59</v>
      </c>
      <c r="W1172" s="55" t="s">
        <v>2319</v>
      </c>
      <c r="X1172" s="54" t="s">
        <v>5179</v>
      </c>
      <c r="Y1172" s="52"/>
      <c r="Z1172" s="3" t="s">
        <v>61</v>
      </c>
      <c r="AA1172" s="3" t="s">
        <v>1728</v>
      </c>
      <c r="AB1172" s="3"/>
      <c r="AC1172" s="3"/>
      <c r="AD1172" s="3" t="s">
        <v>62</v>
      </c>
      <c r="AE1172" s="3" t="s">
        <v>83</v>
      </c>
      <c r="AF1172" s="3"/>
      <c r="AG1172" s="3" t="s">
        <v>242</v>
      </c>
      <c r="AH1172" s="58">
        <v>100</v>
      </c>
      <c r="AI1172" s="3"/>
      <c r="AJ1172" s="3"/>
      <c r="AK1172" s="3"/>
      <c r="AL1172" s="3"/>
      <c r="AM1172" s="3"/>
      <c r="AN1172" s="3"/>
      <c r="AO1172" s="3"/>
      <c r="AP1172" s="3"/>
      <c r="AQ1172" s="3"/>
      <c r="AR1172" s="3"/>
      <c r="AS1172" s="3"/>
      <c r="AT1172" s="3"/>
      <c r="AU1172" s="3"/>
      <c r="AV1172" s="3"/>
      <c r="AW1172" s="3"/>
      <c r="AX1172" s="3"/>
      <c r="AY1172" s="3"/>
      <c r="AZ1172" s="4" t="s">
        <v>2553</v>
      </c>
      <c r="BA1172" s="3"/>
      <c r="BB1172" s="1"/>
      <c r="BC1172" s="1"/>
    </row>
    <row r="1173" spans="1:55" s="78" customFormat="1" ht="15" customHeight="1" x14ac:dyDescent="0.25">
      <c r="A1173" s="52" t="s">
        <v>5180</v>
      </c>
      <c r="B1173" s="34" t="s">
        <v>59</v>
      </c>
      <c r="C1173" s="53">
        <v>2026</v>
      </c>
      <c r="D1173" s="53">
        <v>2026</v>
      </c>
      <c r="E1173" s="54" t="s">
        <v>3723</v>
      </c>
      <c r="F1173" s="55" t="s">
        <v>50</v>
      </c>
      <c r="G1173" s="55" t="s">
        <v>50</v>
      </c>
      <c r="H1173" s="45" t="s">
        <v>2555</v>
      </c>
      <c r="I1173" s="56" t="s">
        <v>78</v>
      </c>
      <c r="J1173" s="56"/>
      <c r="K1173" s="45" t="s">
        <v>53</v>
      </c>
      <c r="L1173" s="55" t="s">
        <v>88</v>
      </c>
      <c r="M1173" s="55"/>
      <c r="N1173" s="45" t="s">
        <v>110</v>
      </c>
      <c r="O1173" s="45"/>
      <c r="P1173" s="55" t="s">
        <v>56</v>
      </c>
      <c r="Q1173" s="55" t="s">
        <v>57</v>
      </c>
      <c r="R1173" s="55"/>
      <c r="S1173" s="56" t="s">
        <v>58</v>
      </c>
      <c r="T1173" s="55" t="s">
        <v>81</v>
      </c>
      <c r="U1173" s="57">
        <v>9000</v>
      </c>
      <c r="V1173" s="57" t="s">
        <v>101</v>
      </c>
      <c r="W1173" s="55" t="s">
        <v>2319</v>
      </c>
      <c r="X1173" s="54" t="s">
        <v>5180</v>
      </c>
      <c r="Y1173" s="52"/>
      <c r="Z1173" s="1" t="s">
        <v>154</v>
      </c>
      <c r="AA1173" s="2" t="s">
        <v>2556</v>
      </c>
      <c r="AB1173" s="2"/>
      <c r="AC1173" s="2"/>
      <c r="AD1173" s="3" t="s">
        <v>62</v>
      </c>
      <c r="AE1173" s="2" t="s">
        <v>1054</v>
      </c>
      <c r="AF1173" s="2"/>
      <c r="AG1173" s="1" t="s">
        <v>439</v>
      </c>
      <c r="AH1173" s="59">
        <v>60</v>
      </c>
      <c r="AI1173" s="2" t="s">
        <v>2557</v>
      </c>
      <c r="AJ1173" s="59">
        <v>40</v>
      </c>
      <c r="AK1173" s="2"/>
      <c r="AL1173" s="59"/>
      <c r="AM1173" s="2"/>
      <c r="AN1173" s="59"/>
      <c r="AO1173" s="2"/>
      <c r="AP1173" s="59"/>
      <c r="AQ1173" s="2"/>
      <c r="AR1173" s="59"/>
      <c r="AS1173" s="2"/>
      <c r="AT1173" s="59"/>
      <c r="AU1173" s="2"/>
      <c r="AV1173" s="59"/>
      <c r="AW1173" s="2"/>
      <c r="AX1173" s="59"/>
      <c r="AY1173" s="2"/>
      <c r="AZ1173" s="4" t="s">
        <v>3938</v>
      </c>
      <c r="BA1173" s="2" t="s">
        <v>3939</v>
      </c>
      <c r="BB1173" s="1"/>
      <c r="BC1173" s="1"/>
    </row>
    <row r="1174" spans="1:55" s="78" customFormat="1" ht="15" customHeight="1" x14ac:dyDescent="0.25">
      <c r="A1174" s="52" t="s">
        <v>5181</v>
      </c>
      <c r="B1174" s="34" t="s">
        <v>59</v>
      </c>
      <c r="C1174" s="53">
        <v>2026</v>
      </c>
      <c r="D1174" s="53">
        <v>2026</v>
      </c>
      <c r="E1174" s="54" t="s">
        <v>3723</v>
      </c>
      <c r="F1174" s="55" t="s">
        <v>50</v>
      </c>
      <c r="G1174" s="55" t="s">
        <v>50</v>
      </c>
      <c r="H1174" s="45" t="s">
        <v>2555</v>
      </c>
      <c r="I1174" s="61" t="s">
        <v>78</v>
      </c>
      <c r="J1174" s="56"/>
      <c r="K1174" s="55" t="s">
        <v>126</v>
      </c>
      <c r="L1174" s="55" t="s">
        <v>88</v>
      </c>
      <c r="M1174" s="55"/>
      <c r="N1174" s="55" t="s">
        <v>110</v>
      </c>
      <c r="O1174" s="55"/>
      <c r="P1174" s="55" t="s">
        <v>129</v>
      </c>
      <c r="Q1174" s="56" t="s">
        <v>57</v>
      </c>
      <c r="R1174" s="55"/>
      <c r="S1174" s="56" t="s">
        <v>58</v>
      </c>
      <c r="T1174" s="55" t="s">
        <v>81</v>
      </c>
      <c r="U1174" s="57">
        <v>350</v>
      </c>
      <c r="V1174" s="57" t="s">
        <v>101</v>
      </c>
      <c r="W1174" s="55" t="s">
        <v>2319</v>
      </c>
      <c r="X1174" s="54" t="s">
        <v>5181</v>
      </c>
      <c r="Y1174" s="52"/>
      <c r="Z1174" s="3" t="s">
        <v>154</v>
      </c>
      <c r="AA1174" s="2" t="s">
        <v>2556</v>
      </c>
      <c r="AB1174" s="2"/>
      <c r="AC1174" s="2"/>
      <c r="AD1174" s="3" t="s">
        <v>62</v>
      </c>
      <c r="AE1174" s="3" t="s">
        <v>1054</v>
      </c>
      <c r="AF1174" s="3"/>
      <c r="AG1174" s="1" t="s">
        <v>439</v>
      </c>
      <c r="AH1174" s="59">
        <v>60</v>
      </c>
      <c r="AI1174" s="2" t="s">
        <v>2557</v>
      </c>
      <c r="AJ1174" s="59">
        <v>40</v>
      </c>
      <c r="AK1174" s="3"/>
      <c r="AL1174" s="53"/>
      <c r="AM1174" s="3"/>
      <c r="AN1174" s="53"/>
      <c r="AO1174" s="3"/>
      <c r="AP1174" s="53"/>
      <c r="AQ1174" s="3"/>
      <c r="AR1174" s="53"/>
      <c r="AS1174" s="3"/>
      <c r="AT1174" s="53"/>
      <c r="AU1174" s="3"/>
      <c r="AV1174" s="53"/>
      <c r="AW1174" s="3"/>
      <c r="AX1174" s="53"/>
      <c r="AY1174" s="3"/>
      <c r="AZ1174" s="4" t="s">
        <v>3938</v>
      </c>
      <c r="BA1174" s="3" t="s">
        <v>3939</v>
      </c>
      <c r="BB1174" s="1"/>
      <c r="BC1174" s="1"/>
    </row>
    <row r="1175" spans="1:55" s="78" customFormat="1" ht="15" customHeight="1" x14ac:dyDescent="0.25">
      <c r="A1175" s="52" t="s">
        <v>5182</v>
      </c>
      <c r="B1175" s="34" t="s">
        <v>59</v>
      </c>
      <c r="C1175" s="53">
        <v>2026</v>
      </c>
      <c r="D1175" s="53">
        <v>2026</v>
      </c>
      <c r="E1175" s="54" t="s">
        <v>3723</v>
      </c>
      <c r="F1175" s="55" t="s">
        <v>50</v>
      </c>
      <c r="G1175" s="55" t="s">
        <v>50</v>
      </c>
      <c r="H1175" s="45" t="s">
        <v>2555</v>
      </c>
      <c r="I1175" s="45" t="s">
        <v>78</v>
      </c>
      <c r="J1175" s="56"/>
      <c r="K1175" s="45" t="s">
        <v>137</v>
      </c>
      <c r="L1175" s="55" t="s">
        <v>88</v>
      </c>
      <c r="M1175" s="55"/>
      <c r="N1175" s="45" t="s">
        <v>110</v>
      </c>
      <c r="O1175" s="45"/>
      <c r="P1175" s="55" t="s">
        <v>138</v>
      </c>
      <c r="Q1175" s="55" t="s">
        <v>57</v>
      </c>
      <c r="R1175" s="55"/>
      <c r="S1175" s="56" t="s">
        <v>58</v>
      </c>
      <c r="T1175" s="55" t="s">
        <v>81</v>
      </c>
      <c r="U1175" s="57">
        <v>14750</v>
      </c>
      <c r="V1175" s="57" t="s">
        <v>101</v>
      </c>
      <c r="W1175" s="55" t="s">
        <v>106</v>
      </c>
      <c r="X1175" s="54" t="s">
        <v>5182</v>
      </c>
      <c r="Y1175" s="52"/>
      <c r="Z1175" s="1" t="s">
        <v>154</v>
      </c>
      <c r="AA1175" s="2" t="s">
        <v>2556</v>
      </c>
      <c r="AB1175" s="2"/>
      <c r="AC1175" s="2"/>
      <c r="AD1175" s="3" t="s">
        <v>62</v>
      </c>
      <c r="AE1175" s="2" t="s">
        <v>1054</v>
      </c>
      <c r="AF1175" s="2"/>
      <c r="AG1175" s="1" t="s">
        <v>439</v>
      </c>
      <c r="AH1175" s="59">
        <v>60</v>
      </c>
      <c r="AI1175" s="2" t="s">
        <v>2557</v>
      </c>
      <c r="AJ1175" s="59">
        <v>40</v>
      </c>
      <c r="AK1175" s="2"/>
      <c r="AL1175" s="59"/>
      <c r="AM1175" s="2"/>
      <c r="AN1175" s="59"/>
      <c r="AO1175" s="2"/>
      <c r="AP1175" s="59"/>
      <c r="AQ1175" s="2"/>
      <c r="AR1175" s="59"/>
      <c r="AS1175" s="2"/>
      <c r="AT1175" s="59"/>
      <c r="AU1175" s="2"/>
      <c r="AV1175" s="59"/>
      <c r="AW1175" s="2"/>
      <c r="AX1175" s="59"/>
      <c r="AY1175" s="2"/>
      <c r="AZ1175" s="4" t="s">
        <v>3938</v>
      </c>
      <c r="BA1175" s="2" t="s">
        <v>3939</v>
      </c>
      <c r="BB1175" s="1"/>
      <c r="BC1175" s="1"/>
    </row>
    <row r="1176" spans="1:55" s="78" customFormat="1" ht="15" customHeight="1" x14ac:dyDescent="0.25">
      <c r="A1176" s="52" t="s">
        <v>5183</v>
      </c>
      <c r="B1176" s="34" t="s">
        <v>59</v>
      </c>
      <c r="C1176" s="53">
        <v>2026</v>
      </c>
      <c r="D1176" s="53">
        <v>2026</v>
      </c>
      <c r="E1176" s="54" t="s">
        <v>3724</v>
      </c>
      <c r="F1176" s="55" t="s">
        <v>50</v>
      </c>
      <c r="G1176" s="55" t="s">
        <v>50</v>
      </c>
      <c r="H1176" s="45" t="s">
        <v>2559</v>
      </c>
      <c r="I1176" s="45" t="s">
        <v>52</v>
      </c>
      <c r="J1176" s="56"/>
      <c r="K1176" s="55" t="s">
        <v>582</v>
      </c>
      <c r="L1176" s="55" t="s">
        <v>54</v>
      </c>
      <c r="M1176" s="55" t="s">
        <v>113</v>
      </c>
      <c r="N1176" s="56" t="s">
        <v>141</v>
      </c>
      <c r="O1176" s="56"/>
      <c r="P1176" s="61" t="s">
        <v>583</v>
      </c>
      <c r="Q1176" s="61" t="s">
        <v>57</v>
      </c>
      <c r="R1176" s="55"/>
      <c r="S1176" s="56" t="s">
        <v>81</v>
      </c>
      <c r="T1176" s="55" t="str">
        <f>IF(ISNUMBER(SEARCH(",",N1176)),"Y","N")</f>
        <v>N</v>
      </c>
      <c r="U1176" s="57">
        <v>130000</v>
      </c>
      <c r="V1176" s="57" t="s">
        <v>101</v>
      </c>
      <c r="W1176" s="55"/>
      <c r="X1176" s="54" t="s">
        <v>5183</v>
      </c>
      <c r="Y1176" s="52"/>
      <c r="Z1176" s="3" t="s">
        <v>61</v>
      </c>
      <c r="AA1176" s="1" t="s">
        <v>2560</v>
      </c>
      <c r="AB1176" s="1"/>
      <c r="AC1176" s="1"/>
      <c r="AD1176" s="3" t="s">
        <v>62</v>
      </c>
      <c r="AE1176" s="3" t="s">
        <v>360</v>
      </c>
      <c r="AF1176" s="3"/>
      <c r="AG1176" s="3" t="s">
        <v>2561</v>
      </c>
      <c r="AH1176" s="58">
        <v>100</v>
      </c>
      <c r="AI1176" s="1"/>
      <c r="AJ1176" s="1"/>
      <c r="AK1176" s="1"/>
      <c r="AL1176" s="1"/>
      <c r="AM1176" s="1"/>
      <c r="AN1176" s="1"/>
      <c r="AO1176" s="1"/>
      <c r="AP1176" s="1"/>
      <c r="AQ1176" s="1"/>
      <c r="AR1176" s="1"/>
      <c r="AS1176" s="1"/>
      <c r="AT1176" s="1"/>
      <c r="AU1176" s="1"/>
      <c r="AV1176" s="1"/>
      <c r="AW1176" s="1"/>
      <c r="AX1176" s="1"/>
      <c r="AY1176" s="1"/>
      <c r="AZ1176" s="4" t="s">
        <v>2558</v>
      </c>
      <c r="BA1176" s="1"/>
      <c r="BB1176" s="1"/>
      <c r="BC1176" s="1"/>
    </row>
    <row r="1177" spans="1:55" s="78" customFormat="1" ht="15" customHeight="1" x14ac:dyDescent="0.25">
      <c r="A1177" s="52" t="s">
        <v>5184</v>
      </c>
      <c r="B1177" s="34" t="s">
        <v>59</v>
      </c>
      <c r="C1177" s="53">
        <v>2026</v>
      </c>
      <c r="D1177" s="53">
        <v>2026</v>
      </c>
      <c r="E1177" s="54" t="s">
        <v>3725</v>
      </c>
      <c r="F1177" s="55" t="s">
        <v>50</v>
      </c>
      <c r="G1177" s="55" t="s">
        <v>50</v>
      </c>
      <c r="H1177" s="45" t="s">
        <v>2562</v>
      </c>
      <c r="I1177" s="45" t="s">
        <v>52</v>
      </c>
      <c r="J1177" s="56"/>
      <c r="K1177" s="55" t="s">
        <v>582</v>
      </c>
      <c r="L1177" s="55" t="s">
        <v>317</v>
      </c>
      <c r="M1177" s="55" t="s">
        <v>113</v>
      </c>
      <c r="N1177" s="61" t="s">
        <v>141</v>
      </c>
      <c r="O1177" s="61"/>
      <c r="P1177" s="61" t="s">
        <v>583</v>
      </c>
      <c r="Q1177" s="61" t="s">
        <v>57</v>
      </c>
      <c r="R1177" s="55"/>
      <c r="S1177" s="56" t="s">
        <v>81</v>
      </c>
      <c r="T1177" s="55" t="str">
        <f>IF(ISNUMBER(SEARCH(",",N1177)),"Y","N")</f>
        <v>N</v>
      </c>
      <c r="U1177" s="57">
        <v>130000</v>
      </c>
      <c r="V1177" s="57" t="s">
        <v>101</v>
      </c>
      <c r="W1177" s="55"/>
      <c r="X1177" s="54" t="s">
        <v>5184</v>
      </c>
      <c r="Y1177" s="52"/>
      <c r="Z1177" s="3" t="s">
        <v>61</v>
      </c>
      <c r="AA1177" s="65" t="s">
        <v>2560</v>
      </c>
      <c r="AB1177" s="65"/>
      <c r="AC1177" s="65"/>
      <c r="AD1177" s="3" t="s">
        <v>62</v>
      </c>
      <c r="AE1177" s="3" t="s">
        <v>360</v>
      </c>
      <c r="AF1177" s="3"/>
      <c r="AG1177" s="3" t="s">
        <v>2561</v>
      </c>
      <c r="AH1177" s="58">
        <v>100</v>
      </c>
      <c r="AI1177" s="65"/>
      <c r="AJ1177" s="65"/>
      <c r="AK1177" s="65"/>
      <c r="AL1177" s="65"/>
      <c r="AM1177" s="65"/>
      <c r="AN1177" s="65"/>
      <c r="AO1177" s="65"/>
      <c r="AP1177" s="65"/>
      <c r="AQ1177" s="65"/>
      <c r="AR1177" s="65"/>
      <c r="AS1177" s="65"/>
      <c r="AT1177" s="65"/>
      <c r="AU1177" s="65"/>
      <c r="AV1177" s="65"/>
      <c r="AW1177" s="65"/>
      <c r="AX1177" s="65"/>
      <c r="AY1177" s="65"/>
      <c r="AZ1177" s="4" t="s">
        <v>2558</v>
      </c>
      <c r="BA1177" s="65"/>
      <c r="BB1177" s="1"/>
      <c r="BC1177" s="1"/>
    </row>
    <row r="1178" spans="1:55" s="78" customFormat="1" ht="15" customHeight="1" x14ac:dyDescent="0.25">
      <c r="A1178" s="52" t="s">
        <v>5185</v>
      </c>
      <c r="B1178" s="34" t="s">
        <v>59</v>
      </c>
      <c r="C1178" s="53">
        <v>2026</v>
      </c>
      <c r="D1178" s="53">
        <v>2026</v>
      </c>
      <c r="E1178" s="54" t="s">
        <v>3726</v>
      </c>
      <c r="F1178" s="55" t="s">
        <v>50</v>
      </c>
      <c r="G1178" s="55" t="s">
        <v>50</v>
      </c>
      <c r="H1178" s="45" t="s">
        <v>2564</v>
      </c>
      <c r="I1178" s="56" t="s">
        <v>52</v>
      </c>
      <c r="J1178" s="56"/>
      <c r="K1178" s="55" t="s">
        <v>633</v>
      </c>
      <c r="L1178" s="55"/>
      <c r="M1178" s="55"/>
      <c r="N1178" s="56" t="s">
        <v>418</v>
      </c>
      <c r="O1178" s="56"/>
      <c r="P1178" s="56" t="s">
        <v>89</v>
      </c>
      <c r="Q1178" s="61" t="s">
        <v>89</v>
      </c>
      <c r="R1178" s="55"/>
      <c r="S1178" s="56" t="s">
        <v>81</v>
      </c>
      <c r="T1178" s="55" t="s">
        <v>81</v>
      </c>
      <c r="U1178" s="57">
        <v>730000</v>
      </c>
      <c r="V1178" s="57" t="s">
        <v>101</v>
      </c>
      <c r="W1178" s="55"/>
      <c r="X1178" s="54" t="s">
        <v>5185</v>
      </c>
      <c r="Y1178" s="52"/>
      <c r="Z1178" s="2" t="s">
        <v>61</v>
      </c>
      <c r="AA1178" s="1" t="s">
        <v>2565</v>
      </c>
      <c r="AB1178" s="1"/>
      <c r="AC1178" s="1"/>
      <c r="AD1178" s="3" t="s">
        <v>62</v>
      </c>
      <c r="AE1178" s="2" t="s">
        <v>131</v>
      </c>
      <c r="AF1178" s="2" t="s">
        <v>2566</v>
      </c>
      <c r="AG1178" s="1" t="s">
        <v>2567</v>
      </c>
      <c r="AH1178" s="2">
        <v>100</v>
      </c>
      <c r="AI1178" s="1"/>
      <c r="AJ1178" s="1"/>
      <c r="AK1178" s="1"/>
      <c r="AL1178" s="1"/>
      <c r="AM1178" s="1"/>
      <c r="AN1178" s="1"/>
      <c r="AO1178" s="1"/>
      <c r="AP1178" s="1"/>
      <c r="AQ1178" s="1"/>
      <c r="AR1178" s="1"/>
      <c r="AS1178" s="1"/>
      <c r="AT1178" s="1"/>
      <c r="AU1178" s="1"/>
      <c r="AV1178" s="1"/>
      <c r="AW1178" s="1"/>
      <c r="AX1178" s="1"/>
      <c r="AY1178" s="1"/>
      <c r="AZ1178" s="4" t="s">
        <v>2563</v>
      </c>
      <c r="BA1178" s="1"/>
      <c r="BB1178" s="1"/>
      <c r="BC1178" s="1"/>
    </row>
    <row r="1179" spans="1:55" s="78" customFormat="1" ht="15" customHeight="1" x14ac:dyDescent="0.25">
      <c r="A1179" s="52" t="s">
        <v>5186</v>
      </c>
      <c r="B1179" s="34" t="s">
        <v>59</v>
      </c>
      <c r="C1179" s="53">
        <v>2026</v>
      </c>
      <c r="D1179" s="53">
        <v>2026</v>
      </c>
      <c r="E1179" s="54" t="s">
        <v>3727</v>
      </c>
      <c r="F1179" s="55" t="s">
        <v>50</v>
      </c>
      <c r="G1179" s="55" t="s">
        <v>50</v>
      </c>
      <c r="H1179" s="45" t="s">
        <v>2569</v>
      </c>
      <c r="I1179" s="56" t="s">
        <v>78</v>
      </c>
      <c r="J1179" s="56"/>
      <c r="K1179" s="56" t="s">
        <v>79</v>
      </c>
      <c r="L1179" s="55" t="str">
        <f>IF(K1179="Mine or Quarry","Mine","")</f>
        <v/>
      </c>
      <c r="M1179" s="55"/>
      <c r="N1179" s="56" t="s">
        <v>80</v>
      </c>
      <c r="O1179" s="56"/>
      <c r="P1179" s="56" t="s">
        <v>89</v>
      </c>
      <c r="Q1179" s="56" t="s">
        <v>89</v>
      </c>
      <c r="R1179" s="55"/>
      <c r="S1179" s="56" t="s">
        <v>81</v>
      </c>
      <c r="T1179" s="55" t="str">
        <f>IF(ISNUMBER(SEARCH(",",N1179)),"Y","N")</f>
        <v>N</v>
      </c>
      <c r="U1179" s="57">
        <v>-999</v>
      </c>
      <c r="V1179" s="57" t="s">
        <v>59</v>
      </c>
      <c r="W1179" s="55"/>
      <c r="X1179" s="54" t="s">
        <v>5186</v>
      </c>
      <c r="Y1179" s="52"/>
      <c r="Z1179" s="1" t="s">
        <v>514</v>
      </c>
      <c r="AA1179" s="1" t="s">
        <v>2570</v>
      </c>
      <c r="AB1179" s="1"/>
      <c r="AC1179" s="1"/>
      <c r="AD1179" s="3" t="s">
        <v>62</v>
      </c>
      <c r="AE1179" s="1" t="s">
        <v>306</v>
      </c>
      <c r="AF1179" s="1"/>
      <c r="AG1179" s="1" t="s">
        <v>1483</v>
      </c>
      <c r="AH1179" s="1"/>
      <c r="AI1179" s="1"/>
      <c r="AJ1179" s="1"/>
      <c r="AK1179" s="1"/>
      <c r="AL1179" s="1"/>
      <c r="AM1179" s="1"/>
      <c r="AN1179" s="1"/>
      <c r="AO1179" s="1"/>
      <c r="AP1179" s="1"/>
      <c r="AQ1179" s="1"/>
      <c r="AR1179" s="1"/>
      <c r="AS1179" s="1"/>
      <c r="AT1179" s="1"/>
      <c r="AU1179" s="1"/>
      <c r="AV1179" s="1"/>
      <c r="AW1179" s="1"/>
      <c r="AX1179" s="1"/>
      <c r="AY1179" s="1"/>
      <c r="AZ1179" s="5" t="s">
        <v>2568</v>
      </c>
      <c r="BA1179" s="5"/>
      <c r="BB1179" s="1"/>
      <c r="BC1179" s="1"/>
    </row>
    <row r="1180" spans="1:55" s="78" customFormat="1" ht="15" customHeight="1" x14ac:dyDescent="0.25">
      <c r="A1180" s="52" t="s">
        <v>5187</v>
      </c>
      <c r="B1180" s="34" t="s">
        <v>59</v>
      </c>
      <c r="C1180" s="53">
        <v>2026</v>
      </c>
      <c r="D1180" s="53">
        <v>2026</v>
      </c>
      <c r="E1180" s="54" t="s">
        <v>3728</v>
      </c>
      <c r="F1180" s="55" t="s">
        <v>50</v>
      </c>
      <c r="G1180" s="55" t="s">
        <v>50</v>
      </c>
      <c r="H1180" s="45" t="s">
        <v>2571</v>
      </c>
      <c r="I1180" s="56" t="s">
        <v>52</v>
      </c>
      <c r="J1180" s="56"/>
      <c r="K1180" s="55" t="s">
        <v>582</v>
      </c>
      <c r="L1180" s="55" t="s">
        <v>88</v>
      </c>
      <c r="M1180" s="55"/>
      <c r="N1180" s="55" t="s">
        <v>400</v>
      </c>
      <c r="O1180" s="55"/>
      <c r="P1180" s="61" t="s">
        <v>583</v>
      </c>
      <c r="Q1180" s="61" t="s">
        <v>57</v>
      </c>
      <c r="R1180" s="55"/>
      <c r="S1180" s="56" t="s">
        <v>81</v>
      </c>
      <c r="T1180" s="55" t="s">
        <v>81</v>
      </c>
      <c r="U1180" s="57">
        <v>-999</v>
      </c>
      <c r="V1180" s="57" t="s">
        <v>59</v>
      </c>
      <c r="W1180" s="55"/>
      <c r="X1180" s="54" t="s">
        <v>5187</v>
      </c>
      <c r="Y1180" s="52"/>
      <c r="Z1180" s="3" t="s">
        <v>61</v>
      </c>
      <c r="AA1180" s="3" t="s">
        <v>2572</v>
      </c>
      <c r="AB1180" s="3"/>
      <c r="AC1180" s="3"/>
      <c r="AD1180" s="3" t="s">
        <v>62</v>
      </c>
      <c r="AE1180" s="3" t="s">
        <v>184</v>
      </c>
      <c r="AF1180" s="3"/>
      <c r="AG1180" s="3" t="s">
        <v>2390</v>
      </c>
      <c r="AH1180" s="58">
        <v>100</v>
      </c>
      <c r="AI1180" s="3"/>
      <c r="AJ1180" s="3"/>
      <c r="AK1180" s="3"/>
      <c r="AL1180" s="3"/>
      <c r="AM1180" s="3"/>
      <c r="AN1180" s="3"/>
      <c r="AO1180" s="3"/>
      <c r="AP1180" s="3"/>
      <c r="AQ1180" s="3"/>
      <c r="AR1180" s="3"/>
      <c r="AS1180" s="3"/>
      <c r="AT1180" s="3"/>
      <c r="AU1180" s="3"/>
      <c r="AV1180" s="3"/>
      <c r="AW1180" s="3"/>
      <c r="AX1180" s="3"/>
      <c r="AY1180" s="3"/>
      <c r="AZ1180" s="4" t="s">
        <v>2387</v>
      </c>
      <c r="BA1180" s="3"/>
      <c r="BB1180" s="1"/>
      <c r="BC1180" s="1"/>
    </row>
    <row r="1181" spans="1:55" s="78" customFormat="1" ht="15" customHeight="1" x14ac:dyDescent="0.25">
      <c r="A1181" s="52" t="s">
        <v>5188</v>
      </c>
      <c r="B1181" s="34" t="s">
        <v>59</v>
      </c>
      <c r="C1181" s="53">
        <v>2026</v>
      </c>
      <c r="D1181" s="53">
        <v>2026</v>
      </c>
      <c r="E1181" s="54" t="s">
        <v>3729</v>
      </c>
      <c r="F1181" s="55" t="s">
        <v>50</v>
      </c>
      <c r="G1181" s="55" t="s">
        <v>50</v>
      </c>
      <c r="H1181" s="45" t="s">
        <v>2574</v>
      </c>
      <c r="I1181" s="56" t="s">
        <v>52</v>
      </c>
      <c r="J1181" s="56"/>
      <c r="K1181" s="55" t="s">
        <v>582</v>
      </c>
      <c r="L1181" s="55"/>
      <c r="M1181" s="55" t="s">
        <v>113</v>
      </c>
      <c r="N1181" s="55" t="s">
        <v>699</v>
      </c>
      <c r="O1181" s="55"/>
      <c r="P1181" s="55" t="s">
        <v>583</v>
      </c>
      <c r="Q1181" s="61" t="s">
        <v>57</v>
      </c>
      <c r="R1181" s="55"/>
      <c r="S1181" s="56" t="s">
        <v>58</v>
      </c>
      <c r="T1181" s="55" t="s">
        <v>81</v>
      </c>
      <c r="U1181" s="57">
        <v>-999</v>
      </c>
      <c r="V1181" s="57" t="s">
        <v>59</v>
      </c>
      <c r="W1181" s="55" t="s">
        <v>2319</v>
      </c>
      <c r="X1181" s="54" t="s">
        <v>5188</v>
      </c>
      <c r="Y1181" s="52"/>
      <c r="Z1181" s="3" t="s">
        <v>61</v>
      </c>
      <c r="AA1181" s="3" t="s">
        <v>2572</v>
      </c>
      <c r="AB1181" s="3"/>
      <c r="AC1181" s="3"/>
      <c r="AD1181" s="3" t="s">
        <v>62</v>
      </c>
      <c r="AE1181" s="3" t="s">
        <v>184</v>
      </c>
      <c r="AF1181" s="3" t="s">
        <v>2575</v>
      </c>
      <c r="AG1181" s="3" t="s">
        <v>2576</v>
      </c>
      <c r="AH1181" s="58">
        <v>100</v>
      </c>
      <c r="AI1181" s="3"/>
      <c r="AJ1181" s="3"/>
      <c r="AK1181" s="3"/>
      <c r="AL1181" s="3"/>
      <c r="AM1181" s="3"/>
      <c r="AN1181" s="3"/>
      <c r="AO1181" s="3"/>
      <c r="AP1181" s="3"/>
      <c r="AQ1181" s="3"/>
      <c r="AR1181" s="3"/>
      <c r="AS1181" s="3"/>
      <c r="AT1181" s="3"/>
      <c r="AU1181" s="3"/>
      <c r="AV1181" s="3"/>
      <c r="AW1181" s="3"/>
      <c r="AX1181" s="3"/>
      <c r="AY1181" s="3"/>
      <c r="AZ1181" s="4" t="s">
        <v>2573</v>
      </c>
      <c r="BA1181" s="3"/>
      <c r="BB1181" s="1"/>
      <c r="BC1181" s="1"/>
    </row>
    <row r="1182" spans="1:55" s="78" customFormat="1" ht="15" customHeight="1" x14ac:dyDescent="0.25">
      <c r="A1182" s="52" t="s">
        <v>5189</v>
      </c>
      <c r="B1182" s="34" t="s">
        <v>59</v>
      </c>
      <c r="C1182" s="53">
        <v>2026</v>
      </c>
      <c r="D1182" s="53">
        <v>2026</v>
      </c>
      <c r="E1182" s="54" t="s">
        <v>3729</v>
      </c>
      <c r="F1182" s="55" t="s">
        <v>50</v>
      </c>
      <c r="G1182" s="55" t="s">
        <v>50</v>
      </c>
      <c r="H1182" s="45" t="s">
        <v>2574</v>
      </c>
      <c r="I1182" s="56" t="s">
        <v>52</v>
      </c>
      <c r="J1182" s="56"/>
      <c r="K1182" s="55" t="s">
        <v>2577</v>
      </c>
      <c r="L1182" s="55"/>
      <c r="M1182" s="55" t="s">
        <v>113</v>
      </c>
      <c r="N1182" s="55" t="s">
        <v>699</v>
      </c>
      <c r="O1182" s="55"/>
      <c r="P1182" s="55" t="s">
        <v>2578</v>
      </c>
      <c r="Q1182" s="55" t="s">
        <v>57</v>
      </c>
      <c r="R1182" s="55"/>
      <c r="S1182" s="56" t="s">
        <v>58</v>
      </c>
      <c r="T1182" s="55" t="s">
        <v>81</v>
      </c>
      <c r="U1182" s="57">
        <v>-999</v>
      </c>
      <c r="V1182" s="57" t="s">
        <v>59</v>
      </c>
      <c r="W1182" s="55" t="s">
        <v>2319</v>
      </c>
      <c r="X1182" s="54" t="s">
        <v>5189</v>
      </c>
      <c r="Y1182" s="52"/>
      <c r="Z1182" s="3" t="s">
        <v>61</v>
      </c>
      <c r="AA1182" s="3" t="s">
        <v>2572</v>
      </c>
      <c r="AB1182" s="3"/>
      <c r="AC1182" s="3"/>
      <c r="AD1182" s="3" t="s">
        <v>62</v>
      </c>
      <c r="AE1182" s="3" t="s">
        <v>184</v>
      </c>
      <c r="AF1182" s="3" t="s">
        <v>2575</v>
      </c>
      <c r="AG1182" s="3" t="s">
        <v>2576</v>
      </c>
      <c r="AH1182" s="58">
        <v>100</v>
      </c>
      <c r="AI1182" s="3"/>
      <c r="AJ1182" s="3"/>
      <c r="AK1182" s="3"/>
      <c r="AL1182" s="3"/>
      <c r="AM1182" s="3"/>
      <c r="AN1182" s="3"/>
      <c r="AO1182" s="3"/>
      <c r="AP1182" s="3"/>
      <c r="AQ1182" s="3"/>
      <c r="AR1182" s="3"/>
      <c r="AS1182" s="3"/>
      <c r="AT1182" s="3"/>
      <c r="AU1182" s="3"/>
      <c r="AV1182" s="3"/>
      <c r="AW1182" s="3"/>
      <c r="AX1182" s="3"/>
      <c r="AY1182" s="3"/>
      <c r="AZ1182" s="4" t="s">
        <v>2573</v>
      </c>
      <c r="BA1182" s="3"/>
      <c r="BB1182" s="1"/>
      <c r="BC1182" s="1"/>
    </row>
    <row r="1183" spans="1:55" s="78" customFormat="1" ht="15" customHeight="1" x14ac:dyDescent="0.25">
      <c r="A1183" s="52" t="s">
        <v>5190</v>
      </c>
      <c r="B1183" s="34" t="s">
        <v>59</v>
      </c>
      <c r="C1183" s="53">
        <v>2026</v>
      </c>
      <c r="D1183" s="53">
        <v>2026</v>
      </c>
      <c r="E1183" s="54" t="s">
        <v>3730</v>
      </c>
      <c r="F1183" s="55" t="s">
        <v>50</v>
      </c>
      <c r="G1183" s="55" t="s">
        <v>50</v>
      </c>
      <c r="H1183" s="45" t="s">
        <v>2579</v>
      </c>
      <c r="I1183" s="45" t="s">
        <v>52</v>
      </c>
      <c r="J1183" s="56" t="s">
        <v>165</v>
      </c>
      <c r="K1183" s="55" t="s">
        <v>652</v>
      </c>
      <c r="L1183" s="55"/>
      <c r="M1183" s="55"/>
      <c r="N1183" s="56" t="s">
        <v>653</v>
      </c>
      <c r="O1183" s="56"/>
      <c r="P1183" s="56" t="s">
        <v>598</v>
      </c>
      <c r="Q1183" s="55" t="s">
        <v>57</v>
      </c>
      <c r="R1183" s="55"/>
      <c r="S1183" s="56" t="s">
        <v>81</v>
      </c>
      <c r="T1183" s="55" t="s">
        <v>81</v>
      </c>
      <c r="U1183" s="57">
        <v>2000000</v>
      </c>
      <c r="V1183" s="57" t="s">
        <v>101</v>
      </c>
      <c r="W1183" s="55" t="s">
        <v>2319</v>
      </c>
      <c r="X1183" s="54" t="s">
        <v>5190</v>
      </c>
      <c r="Y1183" s="52"/>
      <c r="Z1183" s="1" t="s">
        <v>61</v>
      </c>
      <c r="AA1183" s="1" t="s">
        <v>2580</v>
      </c>
      <c r="AB1183" s="1"/>
      <c r="AC1183" s="1"/>
      <c r="AD1183" s="3" t="s">
        <v>62</v>
      </c>
      <c r="AE1183" s="3" t="s">
        <v>184</v>
      </c>
      <c r="AF1183" s="3"/>
      <c r="AG1183" s="3" t="s">
        <v>2581</v>
      </c>
      <c r="AH1183" s="58">
        <v>100</v>
      </c>
      <c r="AI1183" s="1"/>
      <c r="AJ1183" s="1"/>
      <c r="AK1183" s="1"/>
      <c r="AL1183" s="1"/>
      <c r="AM1183" s="1"/>
      <c r="AN1183" s="1"/>
      <c r="AO1183" s="1"/>
      <c r="AP1183" s="1"/>
      <c r="AQ1183" s="1"/>
      <c r="AR1183" s="1"/>
      <c r="AS1183" s="1"/>
      <c r="AT1183" s="1"/>
      <c r="AU1183" s="1"/>
      <c r="AV1183" s="1"/>
      <c r="AW1183" s="1"/>
      <c r="AX1183" s="1"/>
      <c r="AY1183" s="1"/>
      <c r="AZ1183" s="4" t="s">
        <v>2597</v>
      </c>
      <c r="BA1183" s="1" t="s">
        <v>3940</v>
      </c>
      <c r="BB1183" s="1"/>
      <c r="BC1183" s="1"/>
    </row>
    <row r="1184" spans="1:55" s="78" customFormat="1" ht="15" customHeight="1" x14ac:dyDescent="0.25">
      <c r="A1184" s="52" t="s">
        <v>5191</v>
      </c>
      <c r="B1184" s="34" t="s">
        <v>59</v>
      </c>
      <c r="C1184" s="53">
        <v>2026</v>
      </c>
      <c r="D1184" s="53">
        <v>2026</v>
      </c>
      <c r="E1184" s="54" t="s">
        <v>3731</v>
      </c>
      <c r="F1184" s="55" t="s">
        <v>50</v>
      </c>
      <c r="G1184" s="55" t="s">
        <v>50</v>
      </c>
      <c r="H1184" s="45" t="s">
        <v>3010</v>
      </c>
      <c r="I1184" s="56" t="s">
        <v>78</v>
      </c>
      <c r="J1184" s="56"/>
      <c r="K1184" s="55" t="s">
        <v>133</v>
      </c>
      <c r="L1184" s="55" t="s">
        <v>88</v>
      </c>
      <c r="M1184" s="55"/>
      <c r="N1184" s="55" t="s">
        <v>181</v>
      </c>
      <c r="O1184" s="55"/>
      <c r="P1184" s="55" t="s">
        <v>134</v>
      </c>
      <c r="Q1184" s="55" t="s">
        <v>57</v>
      </c>
      <c r="R1184" s="55"/>
      <c r="S1184" s="56" t="s">
        <v>81</v>
      </c>
      <c r="T1184" s="55" t="str">
        <f>IF(ISNUMBER(SEARCH(",",N1184)),"Y","N")</f>
        <v>N</v>
      </c>
      <c r="U1184" s="57">
        <v>40000</v>
      </c>
      <c r="V1184" s="57" t="s">
        <v>101</v>
      </c>
      <c r="W1184" s="55"/>
      <c r="X1184" s="54" t="s">
        <v>5191</v>
      </c>
      <c r="Y1184" s="52"/>
      <c r="Z1184" s="3" t="s">
        <v>154</v>
      </c>
      <c r="AA1184" s="3" t="s">
        <v>2583</v>
      </c>
      <c r="AB1184" s="3"/>
      <c r="AC1184" s="3"/>
      <c r="AD1184" s="3" t="s">
        <v>62</v>
      </c>
      <c r="AE1184" s="3" t="s">
        <v>83</v>
      </c>
      <c r="AF1184" s="3"/>
      <c r="AG1184" s="3" t="s">
        <v>2584</v>
      </c>
      <c r="AH1184" s="58">
        <v>100</v>
      </c>
      <c r="AI1184" s="3"/>
      <c r="AJ1184" s="3"/>
      <c r="AK1184" s="3"/>
      <c r="AL1184" s="3"/>
      <c r="AM1184" s="3"/>
      <c r="AN1184" s="3"/>
      <c r="AO1184" s="3"/>
      <c r="AP1184" s="3"/>
      <c r="AQ1184" s="3"/>
      <c r="AR1184" s="3"/>
      <c r="AS1184" s="3"/>
      <c r="AT1184" s="3"/>
      <c r="AU1184" s="3"/>
      <c r="AV1184" s="3"/>
      <c r="AW1184" s="3"/>
      <c r="AX1184" s="3"/>
      <c r="AY1184" s="3"/>
      <c r="AZ1184" s="4" t="s">
        <v>2582</v>
      </c>
      <c r="BA1184" s="3"/>
      <c r="BB1184" s="1"/>
      <c r="BC1184" s="1"/>
    </row>
    <row r="1185" spans="1:55" s="78" customFormat="1" ht="15" customHeight="1" x14ac:dyDescent="0.25">
      <c r="A1185" s="52" t="s">
        <v>5192</v>
      </c>
      <c r="B1185" s="34" t="s">
        <v>59</v>
      </c>
      <c r="C1185" s="53">
        <v>2026</v>
      </c>
      <c r="D1185" s="53">
        <v>2026</v>
      </c>
      <c r="E1185" s="54" t="s">
        <v>3732</v>
      </c>
      <c r="F1185" s="55" t="s">
        <v>50</v>
      </c>
      <c r="G1185" s="55" t="s">
        <v>50</v>
      </c>
      <c r="H1185" s="45" t="s">
        <v>3011</v>
      </c>
      <c r="I1185" s="56" t="s">
        <v>52</v>
      </c>
      <c r="J1185" s="56"/>
      <c r="K1185" s="55" t="s">
        <v>133</v>
      </c>
      <c r="L1185" s="55" t="s">
        <v>54</v>
      </c>
      <c r="M1185" s="55"/>
      <c r="N1185" s="55" t="s">
        <v>2585</v>
      </c>
      <c r="O1185" s="55"/>
      <c r="P1185" s="55" t="s">
        <v>134</v>
      </c>
      <c r="Q1185" s="55" t="s">
        <v>57</v>
      </c>
      <c r="R1185" s="55"/>
      <c r="S1185" s="56" t="s">
        <v>81</v>
      </c>
      <c r="T1185" s="55" t="str">
        <f>IF(ISNUMBER(SEARCH(",",N1185)),"Y","N")</f>
        <v>Y</v>
      </c>
      <c r="U1185" s="57">
        <v>40000</v>
      </c>
      <c r="V1185" s="57" t="s">
        <v>101</v>
      </c>
      <c r="W1185" s="55"/>
      <c r="X1185" s="54" t="s">
        <v>5192</v>
      </c>
      <c r="Y1185" s="52"/>
      <c r="Z1185" s="3" t="s">
        <v>154</v>
      </c>
      <c r="AA1185" s="3" t="s">
        <v>2583</v>
      </c>
      <c r="AB1185" s="3"/>
      <c r="AC1185" s="3"/>
      <c r="AD1185" s="3" t="s">
        <v>62</v>
      </c>
      <c r="AE1185" s="3" t="s">
        <v>83</v>
      </c>
      <c r="AF1185" s="3"/>
      <c r="AG1185" s="3" t="s">
        <v>2584</v>
      </c>
      <c r="AH1185" s="58">
        <v>100</v>
      </c>
      <c r="AI1185" s="3"/>
      <c r="AJ1185" s="3"/>
      <c r="AK1185" s="3"/>
      <c r="AL1185" s="3"/>
      <c r="AM1185" s="3"/>
      <c r="AN1185" s="3"/>
      <c r="AO1185" s="3"/>
      <c r="AP1185" s="3"/>
      <c r="AQ1185" s="3"/>
      <c r="AR1185" s="3"/>
      <c r="AS1185" s="3"/>
      <c r="AT1185" s="3"/>
      <c r="AU1185" s="3"/>
      <c r="AV1185" s="3"/>
      <c r="AW1185" s="3"/>
      <c r="AX1185" s="3"/>
      <c r="AY1185" s="3"/>
      <c r="AZ1185" s="4" t="s">
        <v>2582</v>
      </c>
      <c r="BA1185" s="3"/>
      <c r="BB1185" s="1"/>
      <c r="BC1185" s="1"/>
    </row>
    <row r="1186" spans="1:55" s="78" customFormat="1" ht="15" customHeight="1" x14ac:dyDescent="0.25">
      <c r="A1186" s="52" t="s">
        <v>5193</v>
      </c>
      <c r="B1186" s="34" t="s">
        <v>59</v>
      </c>
      <c r="C1186" s="53">
        <v>2026</v>
      </c>
      <c r="D1186" s="53">
        <v>2026</v>
      </c>
      <c r="E1186" s="54" t="s">
        <v>3733</v>
      </c>
      <c r="F1186" s="55" t="s">
        <v>50</v>
      </c>
      <c r="G1186" s="55" t="s">
        <v>50</v>
      </c>
      <c r="H1186" s="45" t="s">
        <v>2587</v>
      </c>
      <c r="I1186" s="56" t="s">
        <v>78</v>
      </c>
      <c r="J1186" s="56"/>
      <c r="K1186" s="56" t="s">
        <v>53</v>
      </c>
      <c r="L1186" s="56" t="s">
        <v>88</v>
      </c>
      <c r="M1186" s="55"/>
      <c r="N1186" s="56" t="s">
        <v>110</v>
      </c>
      <c r="O1186" s="56"/>
      <c r="P1186" s="55" t="s">
        <v>56</v>
      </c>
      <c r="Q1186" s="55" t="s">
        <v>57</v>
      </c>
      <c r="R1186" s="55"/>
      <c r="S1186" s="56" t="s">
        <v>58</v>
      </c>
      <c r="T1186" s="55" t="str">
        <f>IF(ISNUMBER(SEARCH(",",N1186)),"Y","N")</f>
        <v>N</v>
      </c>
      <c r="U1186" s="57">
        <v>65000</v>
      </c>
      <c r="V1186" s="57" t="s">
        <v>101</v>
      </c>
      <c r="W1186" s="55"/>
      <c r="X1186" s="54" t="s">
        <v>5193</v>
      </c>
      <c r="Y1186" s="60"/>
      <c r="Z1186" s="1" t="s">
        <v>61</v>
      </c>
      <c r="AA1186" s="1" t="s">
        <v>107</v>
      </c>
      <c r="AB1186" s="1"/>
      <c r="AC1186" s="1"/>
      <c r="AD1186" s="3" t="s">
        <v>62</v>
      </c>
      <c r="AE1186" s="1" t="s">
        <v>108</v>
      </c>
      <c r="AF1186" s="1" t="s">
        <v>2588</v>
      </c>
      <c r="AG1186" s="1" t="s">
        <v>197</v>
      </c>
      <c r="AH1186" s="2">
        <v>100</v>
      </c>
      <c r="AI1186" s="1"/>
      <c r="AJ1186" s="1"/>
      <c r="AK1186" s="1"/>
      <c r="AL1186" s="1"/>
      <c r="AM1186" s="1"/>
      <c r="AN1186" s="1"/>
      <c r="AO1186" s="1"/>
      <c r="AP1186" s="1"/>
      <c r="AQ1186" s="1"/>
      <c r="AR1186" s="1"/>
      <c r="AS1186" s="1"/>
      <c r="AT1186" s="1"/>
      <c r="AU1186" s="1"/>
      <c r="AV1186" s="1"/>
      <c r="AW1186" s="1"/>
      <c r="AX1186" s="1"/>
      <c r="AY1186" s="1"/>
      <c r="AZ1186" s="4" t="s">
        <v>2586</v>
      </c>
      <c r="BA1186" s="4"/>
      <c r="BB1186" s="1"/>
      <c r="BC1186" s="1"/>
    </row>
    <row r="1187" spans="1:55" s="78" customFormat="1" ht="15" customHeight="1" x14ac:dyDescent="0.25">
      <c r="A1187" s="52" t="s">
        <v>5194</v>
      </c>
      <c r="B1187" s="34" t="s">
        <v>59</v>
      </c>
      <c r="C1187" s="53">
        <v>2026</v>
      </c>
      <c r="D1187" s="53">
        <v>2026</v>
      </c>
      <c r="E1187" s="54" t="s">
        <v>3733</v>
      </c>
      <c r="F1187" s="55" t="s">
        <v>50</v>
      </c>
      <c r="G1187" s="55" t="s">
        <v>50</v>
      </c>
      <c r="H1187" s="45" t="s">
        <v>2587</v>
      </c>
      <c r="I1187" s="56" t="s">
        <v>78</v>
      </c>
      <c r="J1187" s="56"/>
      <c r="K1187" s="55" t="s">
        <v>264</v>
      </c>
      <c r="L1187" s="56" t="s">
        <v>88</v>
      </c>
      <c r="M1187" s="55"/>
      <c r="N1187" s="55" t="s">
        <v>110</v>
      </c>
      <c r="O1187" s="55"/>
      <c r="P1187" s="55" t="s">
        <v>265</v>
      </c>
      <c r="Q1187" s="55" t="s">
        <v>57</v>
      </c>
      <c r="R1187" s="55"/>
      <c r="S1187" s="56" t="s">
        <v>58</v>
      </c>
      <c r="T1187" s="55" t="s">
        <v>81</v>
      </c>
      <c r="U1187" s="57">
        <v>540</v>
      </c>
      <c r="V1187" s="57" t="s">
        <v>101</v>
      </c>
      <c r="W1187" s="55" t="s">
        <v>2319</v>
      </c>
      <c r="X1187" s="54" t="s">
        <v>5194</v>
      </c>
      <c r="Y1187" s="60"/>
      <c r="Z1187" s="2" t="s">
        <v>61</v>
      </c>
      <c r="AA1187" s="1" t="s">
        <v>107</v>
      </c>
      <c r="AB1187" s="1"/>
      <c r="AC1187" s="1"/>
      <c r="AD1187" s="3" t="s">
        <v>62</v>
      </c>
      <c r="AE1187" s="3" t="s">
        <v>108</v>
      </c>
      <c r="AF1187" s="1" t="s">
        <v>2588</v>
      </c>
      <c r="AG1187" s="1" t="s">
        <v>197</v>
      </c>
      <c r="AH1187" s="2">
        <v>100</v>
      </c>
      <c r="AI1187" s="3"/>
      <c r="AJ1187" s="3"/>
      <c r="AK1187" s="3"/>
      <c r="AL1187" s="3"/>
      <c r="AM1187" s="3"/>
      <c r="AN1187" s="3"/>
      <c r="AO1187" s="3"/>
      <c r="AP1187" s="3"/>
      <c r="AQ1187" s="3"/>
      <c r="AR1187" s="3"/>
      <c r="AS1187" s="3"/>
      <c r="AT1187" s="3"/>
      <c r="AU1187" s="3"/>
      <c r="AV1187" s="3"/>
      <c r="AW1187" s="3"/>
      <c r="AX1187" s="3"/>
      <c r="AY1187" s="3"/>
      <c r="AZ1187" s="4" t="s">
        <v>2586</v>
      </c>
      <c r="BA1187" s="4"/>
      <c r="BB1187" s="1"/>
      <c r="BC1187" s="1"/>
    </row>
    <row r="1188" spans="1:55" s="78" customFormat="1" ht="15" customHeight="1" x14ac:dyDescent="0.25">
      <c r="A1188" s="52" t="s">
        <v>5195</v>
      </c>
      <c r="B1188" s="34" t="s">
        <v>59</v>
      </c>
      <c r="C1188" s="53">
        <v>2026</v>
      </c>
      <c r="D1188" s="53">
        <v>2026</v>
      </c>
      <c r="E1188" s="54" t="s">
        <v>3733</v>
      </c>
      <c r="F1188" s="55" t="s">
        <v>50</v>
      </c>
      <c r="G1188" s="55" t="s">
        <v>50</v>
      </c>
      <c r="H1188" s="45" t="s">
        <v>2587</v>
      </c>
      <c r="I1188" s="56" t="s">
        <v>78</v>
      </c>
      <c r="J1188" s="56"/>
      <c r="K1188" s="56" t="s">
        <v>74</v>
      </c>
      <c r="L1188" s="56" t="s">
        <v>88</v>
      </c>
      <c r="M1188" s="55"/>
      <c r="N1188" s="56" t="s">
        <v>110</v>
      </c>
      <c r="O1188" s="56"/>
      <c r="P1188" s="55" t="s">
        <v>75</v>
      </c>
      <c r="Q1188" s="56" t="s">
        <v>57</v>
      </c>
      <c r="R1188" s="55"/>
      <c r="S1188" s="56" t="s">
        <v>58</v>
      </c>
      <c r="T1188" s="55" t="str">
        <f>IF(ISNUMBER(SEARCH(",",N1188)),"Y","N")</f>
        <v>N</v>
      </c>
      <c r="U1188" s="57">
        <v>56.698999999999998</v>
      </c>
      <c r="V1188" s="57" t="s">
        <v>101</v>
      </c>
      <c r="W1188" s="55" t="s">
        <v>2319</v>
      </c>
      <c r="X1188" s="54" t="s">
        <v>5195</v>
      </c>
      <c r="Y1188" s="60"/>
      <c r="Z1188" s="1" t="s">
        <v>61</v>
      </c>
      <c r="AA1188" s="1" t="s">
        <v>107</v>
      </c>
      <c r="AB1188" s="1"/>
      <c r="AC1188" s="1"/>
      <c r="AD1188" s="3" t="s">
        <v>62</v>
      </c>
      <c r="AE1188" s="1" t="s">
        <v>108</v>
      </c>
      <c r="AF1188" s="1" t="s">
        <v>2588</v>
      </c>
      <c r="AG1188" s="1" t="s">
        <v>197</v>
      </c>
      <c r="AH1188" s="2">
        <v>100</v>
      </c>
      <c r="AI1188" s="1"/>
      <c r="AJ1188" s="1"/>
      <c r="AK1188" s="1"/>
      <c r="AL1188" s="1"/>
      <c r="AM1188" s="1"/>
      <c r="AN1188" s="1"/>
      <c r="AO1188" s="1"/>
      <c r="AP1188" s="1"/>
      <c r="AQ1188" s="1"/>
      <c r="AR1188" s="1"/>
      <c r="AS1188" s="1"/>
      <c r="AT1188" s="1"/>
      <c r="AU1188" s="1"/>
      <c r="AV1188" s="1"/>
      <c r="AW1188" s="1"/>
      <c r="AX1188" s="1"/>
      <c r="AY1188" s="1"/>
      <c r="AZ1188" s="4" t="s">
        <v>2586</v>
      </c>
      <c r="BA1188" s="4"/>
      <c r="BB1188" s="1"/>
      <c r="BC1188" s="1"/>
    </row>
    <row r="1189" spans="1:55" s="78" customFormat="1" ht="15" customHeight="1" x14ac:dyDescent="0.25">
      <c r="A1189" s="52" t="s">
        <v>5196</v>
      </c>
      <c r="B1189" s="34" t="s">
        <v>59</v>
      </c>
      <c r="C1189" s="53">
        <v>2026</v>
      </c>
      <c r="D1189" s="53">
        <v>2026</v>
      </c>
      <c r="E1189" s="54" t="s">
        <v>3734</v>
      </c>
      <c r="F1189" s="55" t="s">
        <v>50</v>
      </c>
      <c r="G1189" s="55" t="s">
        <v>50</v>
      </c>
      <c r="H1189" s="45" t="s">
        <v>2590</v>
      </c>
      <c r="I1189" s="56" t="s">
        <v>52</v>
      </c>
      <c r="J1189" s="56"/>
      <c r="K1189" s="55" t="s">
        <v>173</v>
      </c>
      <c r="L1189" s="55" t="s">
        <v>54</v>
      </c>
      <c r="M1189" s="55"/>
      <c r="N1189" s="56" t="s">
        <v>55</v>
      </c>
      <c r="O1189" s="56" t="s">
        <v>760</v>
      </c>
      <c r="P1189" s="56" t="s">
        <v>89</v>
      </c>
      <c r="Q1189" s="56" t="s">
        <v>89</v>
      </c>
      <c r="R1189" s="55"/>
      <c r="S1189" s="56" t="s">
        <v>81</v>
      </c>
      <c r="T1189" s="55" t="s">
        <v>81</v>
      </c>
      <c r="U1189" s="57">
        <v>-999</v>
      </c>
      <c r="V1189" s="57" t="s">
        <v>59</v>
      </c>
      <c r="W1189" s="55" t="s">
        <v>2319</v>
      </c>
      <c r="X1189" s="54" t="s">
        <v>5196</v>
      </c>
      <c r="Y1189" s="52"/>
      <c r="Z1189" s="2" t="s">
        <v>61</v>
      </c>
      <c r="AA1189" s="1" t="s">
        <v>2591</v>
      </c>
      <c r="AB1189" s="1"/>
      <c r="AC1189" s="1"/>
      <c r="AD1189" s="3" t="s">
        <v>62</v>
      </c>
      <c r="AE1189" s="2" t="s">
        <v>131</v>
      </c>
      <c r="AF1189" s="2"/>
      <c r="AG1189" s="1" t="s">
        <v>2592</v>
      </c>
      <c r="AH1189" s="2">
        <v>100</v>
      </c>
      <c r="AI1189" s="1"/>
      <c r="AJ1189" s="1"/>
      <c r="AK1189" s="1"/>
      <c r="AL1189" s="1"/>
      <c r="AM1189" s="1"/>
      <c r="AN1189" s="1"/>
      <c r="AO1189" s="1"/>
      <c r="AP1189" s="1"/>
      <c r="AQ1189" s="1"/>
      <c r="AR1189" s="1"/>
      <c r="AS1189" s="1"/>
      <c r="AT1189" s="1"/>
      <c r="AU1189" s="1"/>
      <c r="AV1189" s="1"/>
      <c r="AW1189" s="1"/>
      <c r="AX1189" s="1"/>
      <c r="AY1189" s="1"/>
      <c r="AZ1189" s="4" t="s">
        <v>2589</v>
      </c>
      <c r="BA1189" s="1"/>
      <c r="BB1189" s="1"/>
      <c r="BC1189" s="1"/>
    </row>
    <row r="1190" spans="1:55" s="78" customFormat="1" ht="15" customHeight="1" x14ac:dyDescent="0.25">
      <c r="A1190" s="52" t="s">
        <v>5197</v>
      </c>
      <c r="B1190" s="34" t="s">
        <v>59</v>
      </c>
      <c r="C1190" s="53">
        <v>2026</v>
      </c>
      <c r="D1190" s="53">
        <v>2026</v>
      </c>
      <c r="E1190" s="54" t="s">
        <v>3736</v>
      </c>
      <c r="F1190" s="55" t="s">
        <v>50</v>
      </c>
      <c r="G1190" s="55" t="s">
        <v>50</v>
      </c>
      <c r="H1190" s="45" t="s">
        <v>3334</v>
      </c>
      <c r="I1190" s="56" t="s">
        <v>78</v>
      </c>
      <c r="J1190" s="56"/>
      <c r="K1190" s="55" t="s">
        <v>120</v>
      </c>
      <c r="L1190" s="55" t="s">
        <v>88</v>
      </c>
      <c r="M1190" s="55"/>
      <c r="N1190" s="56" t="s">
        <v>110</v>
      </c>
      <c r="O1190" s="56"/>
      <c r="P1190" s="56" t="s">
        <v>121</v>
      </c>
      <c r="Q1190" s="56" t="s">
        <v>57</v>
      </c>
      <c r="R1190" s="55"/>
      <c r="S1190" s="56" t="s">
        <v>58</v>
      </c>
      <c r="T1190" s="55" t="s">
        <v>81</v>
      </c>
      <c r="U1190" s="57">
        <v>-999</v>
      </c>
      <c r="V1190" s="57" t="s">
        <v>59</v>
      </c>
      <c r="W1190" s="55"/>
      <c r="X1190" s="54" t="s">
        <v>5197</v>
      </c>
      <c r="Y1190" s="53"/>
      <c r="Z1190" s="2" t="s">
        <v>154</v>
      </c>
      <c r="AA1190" s="1" t="s">
        <v>3335</v>
      </c>
      <c r="AB1190" s="1"/>
      <c r="AC1190" s="1"/>
      <c r="AD1190" s="3" t="s">
        <v>62</v>
      </c>
      <c r="AE1190" s="2" t="s">
        <v>336</v>
      </c>
      <c r="AF1190" s="2"/>
      <c r="AG1190" s="1" t="s">
        <v>1561</v>
      </c>
      <c r="AH1190" s="2">
        <v>100</v>
      </c>
      <c r="AI1190" s="1"/>
      <c r="AJ1190" s="1"/>
      <c r="AK1190" s="1"/>
      <c r="AL1190" s="1"/>
      <c r="AM1190" s="1"/>
      <c r="AN1190" s="1"/>
      <c r="AO1190" s="1"/>
      <c r="AP1190" s="1"/>
      <c r="AQ1190" s="1"/>
      <c r="AR1190" s="1"/>
      <c r="AS1190" s="1"/>
      <c r="AT1190" s="1"/>
      <c r="AU1190" s="1"/>
      <c r="AV1190" s="1"/>
      <c r="AW1190" s="1"/>
      <c r="AX1190" s="1"/>
      <c r="AY1190" s="1"/>
      <c r="AZ1190" s="4" t="s">
        <v>3336</v>
      </c>
      <c r="BA1190" s="1"/>
      <c r="BB1190" s="1"/>
      <c r="BC1190" s="1"/>
    </row>
    <row r="1191" spans="1:55" s="78" customFormat="1" ht="15" customHeight="1" x14ac:dyDescent="0.25">
      <c r="A1191" s="52" t="s">
        <v>5198</v>
      </c>
      <c r="B1191" s="34" t="s">
        <v>59</v>
      </c>
      <c r="C1191" s="53">
        <v>2026</v>
      </c>
      <c r="D1191" s="53">
        <v>2026</v>
      </c>
      <c r="E1191" s="54" t="s">
        <v>3736</v>
      </c>
      <c r="F1191" s="55" t="s">
        <v>50</v>
      </c>
      <c r="G1191" s="55" t="s">
        <v>50</v>
      </c>
      <c r="H1191" s="45" t="s">
        <v>3334</v>
      </c>
      <c r="I1191" s="56" t="s">
        <v>78</v>
      </c>
      <c r="J1191" s="56"/>
      <c r="K1191" s="55" t="s">
        <v>264</v>
      </c>
      <c r="L1191" s="55" t="s">
        <v>88</v>
      </c>
      <c r="M1191" s="55"/>
      <c r="N1191" s="56" t="s">
        <v>110</v>
      </c>
      <c r="O1191" s="56"/>
      <c r="P1191" s="56" t="s">
        <v>265</v>
      </c>
      <c r="Q1191" s="56" t="s">
        <v>57</v>
      </c>
      <c r="R1191" s="55"/>
      <c r="S1191" s="56" t="s">
        <v>58</v>
      </c>
      <c r="T1191" s="55" t="s">
        <v>81</v>
      </c>
      <c r="U1191" s="57">
        <v>66000</v>
      </c>
      <c r="V1191" s="57" t="s">
        <v>101</v>
      </c>
      <c r="W1191" s="55"/>
      <c r="X1191" s="54" t="s">
        <v>5198</v>
      </c>
      <c r="Y1191" s="53"/>
      <c r="Z1191" s="2" t="s">
        <v>154</v>
      </c>
      <c r="AA1191" s="1" t="s">
        <v>3335</v>
      </c>
      <c r="AB1191" s="1"/>
      <c r="AC1191" s="1"/>
      <c r="AD1191" s="3" t="s">
        <v>62</v>
      </c>
      <c r="AE1191" s="2" t="s">
        <v>336</v>
      </c>
      <c r="AF1191" s="2"/>
      <c r="AG1191" s="1" t="s">
        <v>1561</v>
      </c>
      <c r="AH1191" s="2">
        <v>100</v>
      </c>
      <c r="AI1191" s="1"/>
      <c r="AJ1191" s="1"/>
      <c r="AK1191" s="1"/>
      <c r="AL1191" s="1"/>
      <c r="AM1191" s="1"/>
      <c r="AN1191" s="1"/>
      <c r="AO1191" s="1"/>
      <c r="AP1191" s="1"/>
      <c r="AQ1191" s="1"/>
      <c r="AR1191" s="1"/>
      <c r="AS1191" s="1"/>
      <c r="AT1191" s="1"/>
      <c r="AU1191" s="1"/>
      <c r="AV1191" s="1"/>
      <c r="AW1191" s="1"/>
      <c r="AX1191" s="1"/>
      <c r="AY1191" s="1"/>
      <c r="AZ1191" s="4" t="s">
        <v>3336</v>
      </c>
      <c r="BA1191" s="1"/>
      <c r="BB1191" s="1"/>
      <c r="BC1191" s="1"/>
    </row>
    <row r="1192" spans="1:55" s="78" customFormat="1" ht="15" customHeight="1" x14ac:dyDescent="0.25">
      <c r="A1192" s="52" t="s">
        <v>5199</v>
      </c>
      <c r="B1192" s="34" t="s">
        <v>59</v>
      </c>
      <c r="C1192" s="53">
        <v>2026</v>
      </c>
      <c r="D1192" s="53">
        <v>2026</v>
      </c>
      <c r="E1192" s="54" t="s">
        <v>3737</v>
      </c>
      <c r="F1192" s="55" t="s">
        <v>50</v>
      </c>
      <c r="G1192" s="55" t="s">
        <v>50</v>
      </c>
      <c r="H1192" s="45" t="s">
        <v>2594</v>
      </c>
      <c r="I1192" s="56" t="s">
        <v>52</v>
      </c>
      <c r="J1192" s="56"/>
      <c r="K1192" s="56" t="s">
        <v>71</v>
      </c>
      <c r="L1192" s="55" t="s">
        <v>54</v>
      </c>
      <c r="M1192" s="55"/>
      <c r="N1192" s="55" t="s">
        <v>110</v>
      </c>
      <c r="O1192" s="45" t="s">
        <v>296</v>
      </c>
      <c r="P1192" s="55" t="s">
        <v>73</v>
      </c>
      <c r="Q1192" s="55" t="s">
        <v>57</v>
      </c>
      <c r="R1192" s="55"/>
      <c r="S1192" s="56" t="s">
        <v>58</v>
      </c>
      <c r="T1192" s="55" t="str">
        <f>IF(ISNUMBER(SEARCH(",",N1192)),"Y","N")</f>
        <v>N</v>
      </c>
      <c r="U1192" s="57">
        <v>1.7000000000000001E-2</v>
      </c>
      <c r="V1192" s="57" t="s">
        <v>101</v>
      </c>
      <c r="W1192" s="55" t="s">
        <v>2319</v>
      </c>
      <c r="X1192" s="54" t="s">
        <v>5199</v>
      </c>
      <c r="Y1192" s="60"/>
      <c r="Z1192" s="2" t="s">
        <v>61</v>
      </c>
      <c r="AA1192" s="3" t="s">
        <v>2595</v>
      </c>
      <c r="AB1192" s="3"/>
      <c r="AC1192" s="3"/>
      <c r="AD1192" s="3" t="s">
        <v>62</v>
      </c>
      <c r="AE1192" s="2" t="s">
        <v>155</v>
      </c>
      <c r="AF1192" s="2"/>
      <c r="AG1192" s="3" t="s">
        <v>2596</v>
      </c>
      <c r="AH1192" s="58">
        <v>100</v>
      </c>
      <c r="AI1192" s="1"/>
      <c r="AJ1192" s="1"/>
      <c r="AK1192" s="1"/>
      <c r="AL1192" s="1"/>
      <c r="AM1192" s="1"/>
      <c r="AN1192" s="1"/>
      <c r="AO1192" s="1"/>
      <c r="AP1192" s="1"/>
      <c r="AQ1192" s="1"/>
      <c r="AR1192" s="1"/>
      <c r="AS1192" s="1"/>
      <c r="AT1192" s="1"/>
      <c r="AU1192" s="1"/>
      <c r="AV1192" s="1"/>
      <c r="AW1192" s="1"/>
      <c r="AX1192" s="1"/>
      <c r="AY1192" s="1"/>
      <c r="AZ1192" s="4" t="s">
        <v>2593</v>
      </c>
      <c r="BA1192" s="4"/>
      <c r="BB1192" s="1"/>
      <c r="BC1192" s="1"/>
    </row>
    <row r="1193" spans="1:55" s="78" customFormat="1" ht="15" customHeight="1" x14ac:dyDescent="0.25">
      <c r="A1193" s="52" t="s">
        <v>5200</v>
      </c>
      <c r="B1193" s="34" t="s">
        <v>59</v>
      </c>
      <c r="C1193" s="53">
        <v>2026</v>
      </c>
      <c r="D1193" s="53">
        <v>2026</v>
      </c>
      <c r="E1193" s="54" t="s">
        <v>3737</v>
      </c>
      <c r="F1193" s="55" t="s">
        <v>50</v>
      </c>
      <c r="G1193" s="55" t="s">
        <v>50</v>
      </c>
      <c r="H1193" s="45" t="s">
        <v>2594</v>
      </c>
      <c r="I1193" s="56" t="s">
        <v>52</v>
      </c>
      <c r="J1193" s="56"/>
      <c r="K1193" s="56" t="s">
        <v>2535</v>
      </c>
      <c r="L1193" s="55" t="s">
        <v>317</v>
      </c>
      <c r="M1193" s="55"/>
      <c r="N1193" s="56" t="s">
        <v>55</v>
      </c>
      <c r="O1193" s="56"/>
      <c r="P1193" s="55" t="s">
        <v>842</v>
      </c>
      <c r="Q1193" s="55" t="s">
        <v>57</v>
      </c>
      <c r="R1193" s="55"/>
      <c r="S1193" s="56" t="s">
        <v>58</v>
      </c>
      <c r="T1193" s="55" t="s">
        <v>58</v>
      </c>
      <c r="U1193" s="72">
        <v>2267.5700000000002</v>
      </c>
      <c r="V1193" s="57" t="s">
        <v>101</v>
      </c>
      <c r="W1193" s="55" t="s">
        <v>2319</v>
      </c>
      <c r="X1193" s="54" t="s">
        <v>5200</v>
      </c>
      <c r="Y1193" s="60"/>
      <c r="Z1193" s="2" t="s">
        <v>61</v>
      </c>
      <c r="AA1193" s="3" t="s">
        <v>2595</v>
      </c>
      <c r="AB1193" s="3"/>
      <c r="AC1193" s="3"/>
      <c r="AD1193" s="3" t="s">
        <v>62</v>
      </c>
      <c r="AE1193" s="2" t="s">
        <v>155</v>
      </c>
      <c r="AF1193" s="2"/>
      <c r="AG1193" s="3" t="s">
        <v>2596</v>
      </c>
      <c r="AH1193" s="58">
        <v>100</v>
      </c>
      <c r="AI1193" s="1"/>
      <c r="AJ1193" s="1"/>
      <c r="AK1193" s="1"/>
      <c r="AL1193" s="1"/>
      <c r="AM1193" s="1"/>
      <c r="AN1193" s="1"/>
      <c r="AO1193" s="1"/>
      <c r="AP1193" s="1"/>
      <c r="AQ1193" s="1"/>
      <c r="AR1193" s="1"/>
      <c r="AS1193" s="1"/>
      <c r="AT1193" s="1"/>
      <c r="AU1193" s="1"/>
      <c r="AV1193" s="1"/>
      <c r="AW1193" s="1"/>
      <c r="AX1193" s="1"/>
      <c r="AY1193" s="1"/>
      <c r="AZ1193" s="4" t="s">
        <v>2593</v>
      </c>
      <c r="BA1193" s="4"/>
      <c r="BB1193" s="1"/>
      <c r="BC1193" s="1"/>
    </row>
    <row r="1194" spans="1:55" s="78" customFormat="1" ht="15" customHeight="1" x14ac:dyDescent="0.25">
      <c r="A1194" s="52" t="s">
        <v>5201</v>
      </c>
      <c r="B1194" s="34" t="s">
        <v>59</v>
      </c>
      <c r="C1194" s="53">
        <v>2026</v>
      </c>
      <c r="D1194" s="53">
        <v>2026</v>
      </c>
      <c r="E1194" s="54" t="s">
        <v>3737</v>
      </c>
      <c r="F1194" s="55" t="s">
        <v>50</v>
      </c>
      <c r="G1194" s="55" t="s">
        <v>50</v>
      </c>
      <c r="H1194" s="45" t="s">
        <v>2594</v>
      </c>
      <c r="I1194" s="56" t="s">
        <v>52</v>
      </c>
      <c r="J1194" s="56"/>
      <c r="K1194" s="56" t="s">
        <v>2535</v>
      </c>
      <c r="L1194" s="55" t="s">
        <v>317</v>
      </c>
      <c r="M1194" s="55"/>
      <c r="N1194" s="56" t="s">
        <v>400</v>
      </c>
      <c r="O1194" s="56"/>
      <c r="P1194" s="55" t="s">
        <v>842</v>
      </c>
      <c r="Q1194" s="55" t="s">
        <v>57</v>
      </c>
      <c r="R1194" s="55"/>
      <c r="S1194" s="56" t="s">
        <v>58</v>
      </c>
      <c r="T1194" s="55" t="s">
        <v>58</v>
      </c>
      <c r="U1194" s="72">
        <v>6802.72</v>
      </c>
      <c r="V1194" s="57" t="s">
        <v>101</v>
      </c>
      <c r="W1194" s="55" t="s">
        <v>2319</v>
      </c>
      <c r="X1194" s="54" t="s">
        <v>5201</v>
      </c>
      <c r="Y1194" s="60"/>
      <c r="Z1194" s="2" t="s">
        <v>61</v>
      </c>
      <c r="AA1194" s="3" t="s">
        <v>2595</v>
      </c>
      <c r="AB1194" s="3"/>
      <c r="AC1194" s="3"/>
      <c r="AD1194" s="3" t="s">
        <v>62</v>
      </c>
      <c r="AE1194" s="2" t="s">
        <v>155</v>
      </c>
      <c r="AF1194" s="2"/>
      <c r="AG1194" s="3" t="s">
        <v>2596</v>
      </c>
      <c r="AH1194" s="58">
        <v>100</v>
      </c>
      <c r="AI1194" s="1"/>
      <c r="AJ1194" s="1"/>
      <c r="AK1194" s="1"/>
      <c r="AL1194" s="1"/>
      <c r="AM1194" s="1"/>
      <c r="AN1194" s="1"/>
      <c r="AO1194" s="1"/>
      <c r="AP1194" s="1"/>
      <c r="AQ1194" s="1"/>
      <c r="AR1194" s="1"/>
      <c r="AS1194" s="1"/>
      <c r="AT1194" s="1"/>
      <c r="AU1194" s="1"/>
      <c r="AV1194" s="1"/>
      <c r="AW1194" s="1"/>
      <c r="AX1194" s="1"/>
      <c r="AY1194" s="1"/>
      <c r="AZ1194" s="4" t="s">
        <v>2593</v>
      </c>
      <c r="BA1194" s="4"/>
      <c r="BB1194" s="1"/>
      <c r="BC1194" s="1"/>
    </row>
    <row r="1195" spans="1:55" s="78" customFormat="1" ht="15" customHeight="1" x14ac:dyDescent="0.25">
      <c r="A1195" s="52" t="s">
        <v>5202</v>
      </c>
      <c r="B1195" s="34" t="s">
        <v>59</v>
      </c>
      <c r="C1195" s="53">
        <v>2026</v>
      </c>
      <c r="D1195" s="53">
        <v>2026</v>
      </c>
      <c r="E1195" s="54" t="s">
        <v>3737</v>
      </c>
      <c r="F1195" s="55" t="s">
        <v>50</v>
      </c>
      <c r="G1195" s="55" t="s">
        <v>50</v>
      </c>
      <c r="H1195" s="45" t="s">
        <v>2594</v>
      </c>
      <c r="I1195" s="56" t="s">
        <v>52</v>
      </c>
      <c r="J1195" s="56"/>
      <c r="K1195" s="56" t="s">
        <v>74</v>
      </c>
      <c r="L1195" s="55" t="s">
        <v>54</v>
      </c>
      <c r="M1195" s="55"/>
      <c r="N1195" s="55" t="s">
        <v>110</v>
      </c>
      <c r="O1195" s="56" t="s">
        <v>296</v>
      </c>
      <c r="P1195" s="55" t="s">
        <v>75</v>
      </c>
      <c r="Q1195" s="56" t="s">
        <v>57</v>
      </c>
      <c r="R1195" s="55"/>
      <c r="S1195" s="56" t="s">
        <v>58</v>
      </c>
      <c r="T1195" s="55" t="str">
        <f>IF(ISNUMBER(SEARCH(",",N1195)),"Y","N")</f>
        <v>N</v>
      </c>
      <c r="U1195" s="57">
        <v>3.4020000000000001</v>
      </c>
      <c r="V1195" s="57" t="s">
        <v>101</v>
      </c>
      <c r="W1195" s="55" t="s">
        <v>2319</v>
      </c>
      <c r="X1195" s="54" t="s">
        <v>5202</v>
      </c>
      <c r="Y1195" s="60"/>
      <c r="Z1195" s="2" t="s">
        <v>61</v>
      </c>
      <c r="AA1195" s="3" t="s">
        <v>2595</v>
      </c>
      <c r="AB1195" s="3"/>
      <c r="AC1195" s="3"/>
      <c r="AD1195" s="3" t="s">
        <v>62</v>
      </c>
      <c r="AE1195" s="2" t="s">
        <v>155</v>
      </c>
      <c r="AF1195" s="2"/>
      <c r="AG1195" s="3" t="s">
        <v>2596</v>
      </c>
      <c r="AH1195" s="58">
        <v>100</v>
      </c>
      <c r="AI1195" s="1"/>
      <c r="AJ1195" s="1"/>
      <c r="AK1195" s="1"/>
      <c r="AL1195" s="1"/>
      <c r="AM1195" s="1"/>
      <c r="AN1195" s="1"/>
      <c r="AO1195" s="1"/>
      <c r="AP1195" s="1"/>
      <c r="AQ1195" s="1"/>
      <c r="AR1195" s="1"/>
      <c r="AS1195" s="1"/>
      <c r="AT1195" s="1"/>
      <c r="AU1195" s="1"/>
      <c r="AV1195" s="1"/>
      <c r="AW1195" s="1"/>
      <c r="AX1195" s="1"/>
      <c r="AY1195" s="1"/>
      <c r="AZ1195" s="4" t="s">
        <v>2593</v>
      </c>
      <c r="BA1195" s="4"/>
      <c r="BB1195" s="1"/>
      <c r="BC1195" s="1"/>
    </row>
    <row r="1196" spans="1:55" s="78" customFormat="1" ht="15" customHeight="1" x14ac:dyDescent="0.25">
      <c r="A1196" s="52" t="s">
        <v>5203</v>
      </c>
      <c r="B1196" s="34" t="s">
        <v>59</v>
      </c>
      <c r="C1196" s="53">
        <v>2026</v>
      </c>
      <c r="D1196" s="53">
        <v>2026</v>
      </c>
      <c r="E1196" s="54" t="s">
        <v>3738</v>
      </c>
      <c r="F1196" s="55" t="s">
        <v>50</v>
      </c>
      <c r="G1196" s="55" t="s">
        <v>50</v>
      </c>
      <c r="H1196" s="45" t="s">
        <v>2598</v>
      </c>
      <c r="I1196" s="45" t="s">
        <v>78</v>
      </c>
      <c r="J1196" s="56" t="s">
        <v>165</v>
      </c>
      <c r="K1196" s="56" t="s">
        <v>597</v>
      </c>
      <c r="L1196" s="55" t="s">
        <v>88</v>
      </c>
      <c r="M1196" s="55"/>
      <c r="N1196" s="56" t="s">
        <v>1371</v>
      </c>
      <c r="O1196" s="56"/>
      <c r="P1196" s="56" t="s">
        <v>598</v>
      </c>
      <c r="Q1196" s="55" t="s">
        <v>57</v>
      </c>
      <c r="R1196" s="55"/>
      <c r="S1196" s="56" t="s">
        <v>81</v>
      </c>
      <c r="T1196" s="55" t="s">
        <v>81</v>
      </c>
      <c r="U1196" s="57">
        <v>7000000</v>
      </c>
      <c r="V1196" s="57" t="s">
        <v>101</v>
      </c>
      <c r="W1196" s="55" t="s">
        <v>2319</v>
      </c>
      <c r="X1196" s="54" t="s">
        <v>5203</v>
      </c>
      <c r="Y1196" s="52"/>
      <c r="Z1196" s="1" t="s">
        <v>61</v>
      </c>
      <c r="AA1196" s="1" t="s">
        <v>2599</v>
      </c>
      <c r="AB1196" s="1"/>
      <c r="AC1196" s="1"/>
      <c r="AD1196" s="3" t="s">
        <v>62</v>
      </c>
      <c r="AE1196" s="3" t="s">
        <v>306</v>
      </c>
      <c r="AF1196" s="3"/>
      <c r="AG1196" s="3" t="s">
        <v>635</v>
      </c>
      <c r="AH1196" s="58">
        <v>100</v>
      </c>
      <c r="AI1196" s="1"/>
      <c r="AJ1196" s="1"/>
      <c r="AK1196" s="1"/>
      <c r="AL1196" s="1"/>
      <c r="AM1196" s="1"/>
      <c r="AN1196" s="1"/>
      <c r="AO1196" s="1"/>
      <c r="AP1196" s="1"/>
      <c r="AQ1196" s="1"/>
      <c r="AR1196" s="1"/>
      <c r="AS1196" s="1"/>
      <c r="AT1196" s="1"/>
      <c r="AU1196" s="1"/>
      <c r="AV1196" s="1"/>
      <c r="AW1196" s="1"/>
      <c r="AX1196" s="1"/>
      <c r="AY1196" s="1"/>
      <c r="AZ1196" s="4" t="s">
        <v>2597</v>
      </c>
      <c r="BA1196" s="1"/>
      <c r="BB1196" s="1"/>
      <c r="BC1196" s="1"/>
    </row>
    <row r="1197" spans="1:55" s="78" customFormat="1" ht="15" customHeight="1" x14ac:dyDescent="0.25">
      <c r="A1197" s="52" t="s">
        <v>5204</v>
      </c>
      <c r="B1197" s="34" t="s">
        <v>59</v>
      </c>
      <c r="C1197" s="53">
        <v>2026</v>
      </c>
      <c r="D1197" s="53">
        <v>2026</v>
      </c>
      <c r="E1197" s="54" t="s">
        <v>3739</v>
      </c>
      <c r="F1197" s="55" t="s">
        <v>50</v>
      </c>
      <c r="G1197" s="55" t="s">
        <v>50</v>
      </c>
      <c r="H1197" s="45" t="s">
        <v>2601</v>
      </c>
      <c r="I1197" s="56" t="s">
        <v>52</v>
      </c>
      <c r="J1197" s="56"/>
      <c r="K1197" s="55" t="s">
        <v>2577</v>
      </c>
      <c r="L1197" s="55"/>
      <c r="M1197" s="55" t="s">
        <v>491</v>
      </c>
      <c r="N1197" s="55" t="s">
        <v>55</v>
      </c>
      <c r="O1197" s="55"/>
      <c r="P1197" s="55" t="s">
        <v>2578</v>
      </c>
      <c r="Q1197" s="55" t="s">
        <v>57</v>
      </c>
      <c r="R1197" s="55"/>
      <c r="S1197" s="56" t="s">
        <v>81</v>
      </c>
      <c r="T1197" s="55" t="s">
        <v>81</v>
      </c>
      <c r="U1197" s="57">
        <v>-999</v>
      </c>
      <c r="V1197" s="57" t="s">
        <v>59</v>
      </c>
      <c r="W1197" s="55" t="s">
        <v>2319</v>
      </c>
      <c r="X1197" s="54" t="s">
        <v>5204</v>
      </c>
      <c r="Y1197" s="52"/>
      <c r="Z1197" s="3" t="s">
        <v>154</v>
      </c>
      <c r="AA1197" s="3" t="s">
        <v>2602</v>
      </c>
      <c r="AB1197" s="3"/>
      <c r="AC1197" s="3"/>
      <c r="AD1197" s="3" t="s">
        <v>62</v>
      </c>
      <c r="AE1197" s="3" t="s">
        <v>592</v>
      </c>
      <c r="AF1197" s="3"/>
      <c r="AG1197" s="3" t="s">
        <v>2603</v>
      </c>
      <c r="AH1197" s="58">
        <v>100</v>
      </c>
      <c r="AI1197" s="3"/>
      <c r="AJ1197" s="3"/>
      <c r="AK1197" s="3"/>
      <c r="AL1197" s="3"/>
      <c r="AM1197" s="3"/>
      <c r="AN1197" s="3"/>
      <c r="AO1197" s="3"/>
      <c r="AP1197" s="3"/>
      <c r="AQ1197" s="3"/>
      <c r="AR1197" s="3"/>
      <c r="AS1197" s="3"/>
      <c r="AT1197" s="3"/>
      <c r="AU1197" s="3"/>
      <c r="AV1197" s="3"/>
      <c r="AW1197" s="3"/>
      <c r="AX1197" s="3"/>
      <c r="AY1197" s="3"/>
      <c r="AZ1197" s="4" t="s">
        <v>2600</v>
      </c>
      <c r="BA1197" s="3"/>
      <c r="BB1197" s="1"/>
      <c r="BC1197" s="1"/>
    </row>
    <row r="1198" spans="1:55" s="78" customFormat="1" ht="15" customHeight="1" x14ac:dyDescent="0.25">
      <c r="A1198" s="52" t="s">
        <v>5205</v>
      </c>
      <c r="B1198" s="34" t="s">
        <v>59</v>
      </c>
      <c r="C1198" s="53">
        <v>2026</v>
      </c>
      <c r="D1198" s="53">
        <v>2026</v>
      </c>
      <c r="E1198" s="54" t="s">
        <v>3740</v>
      </c>
      <c r="F1198" s="55" t="s">
        <v>50</v>
      </c>
      <c r="G1198" s="55" t="s">
        <v>50</v>
      </c>
      <c r="H1198" s="45" t="s">
        <v>3012</v>
      </c>
      <c r="I1198" s="61" t="s">
        <v>78</v>
      </c>
      <c r="J1198" s="56"/>
      <c r="K1198" s="55" t="s">
        <v>71</v>
      </c>
      <c r="L1198" s="55" t="str">
        <f>IF(K1198="Mine or Quarry","Mine","")</f>
        <v/>
      </c>
      <c r="M1198" s="55"/>
      <c r="N1198" s="55" t="s">
        <v>110</v>
      </c>
      <c r="O1198" s="45"/>
      <c r="P1198" s="55" t="s">
        <v>73</v>
      </c>
      <c r="Q1198" s="55" t="s">
        <v>57</v>
      </c>
      <c r="R1198" s="55"/>
      <c r="S1198" s="56" t="s">
        <v>58</v>
      </c>
      <c r="T1198" s="55" t="str">
        <f>IF(ISNUMBER(SEARCH(",",N1198)),"Y","N")</f>
        <v>N</v>
      </c>
      <c r="U1198" s="57">
        <v>0.56699999999999995</v>
      </c>
      <c r="V1198" s="57" t="s">
        <v>101</v>
      </c>
      <c r="W1198" s="55" t="s">
        <v>2319</v>
      </c>
      <c r="X1198" s="54" t="s">
        <v>5205</v>
      </c>
      <c r="Y1198" s="52"/>
      <c r="Z1198" s="3" t="s">
        <v>61</v>
      </c>
      <c r="AA1198" s="3" t="s">
        <v>2604</v>
      </c>
      <c r="AB1198" s="3"/>
      <c r="AC1198" s="3"/>
      <c r="AD1198" s="3" t="s">
        <v>62</v>
      </c>
      <c r="AE1198" s="3" t="s">
        <v>251</v>
      </c>
      <c r="AF1198" s="3"/>
      <c r="AG1198" s="3" t="s">
        <v>2605</v>
      </c>
      <c r="AH1198" s="58">
        <v>100</v>
      </c>
      <c r="AI1198" s="3"/>
      <c r="AJ1198" s="3"/>
      <c r="AK1198" s="3"/>
      <c r="AL1198" s="3"/>
      <c r="AM1198" s="3"/>
      <c r="AN1198" s="3"/>
      <c r="AO1198" s="3"/>
      <c r="AP1198" s="3"/>
      <c r="AQ1198" s="3"/>
      <c r="AR1198" s="3"/>
      <c r="AS1198" s="3"/>
      <c r="AT1198" s="3"/>
      <c r="AU1198" s="3"/>
      <c r="AV1198" s="3"/>
      <c r="AW1198" s="3"/>
      <c r="AX1198" s="3"/>
      <c r="AY1198" s="3"/>
      <c r="AZ1198" s="4" t="s">
        <v>3941</v>
      </c>
      <c r="BA1198" s="3" t="s">
        <v>3942</v>
      </c>
      <c r="BB1198" s="1"/>
      <c r="BC1198" s="1"/>
    </row>
    <row r="1199" spans="1:55" s="78" customFormat="1" ht="15" customHeight="1" x14ac:dyDescent="0.25">
      <c r="A1199" s="52" t="s">
        <v>5206</v>
      </c>
      <c r="B1199" s="34" t="s">
        <v>59</v>
      </c>
      <c r="C1199" s="53">
        <v>2026</v>
      </c>
      <c r="D1199" s="53">
        <v>2026</v>
      </c>
      <c r="E1199" s="54" t="s">
        <v>3740</v>
      </c>
      <c r="F1199" s="55" t="s">
        <v>50</v>
      </c>
      <c r="G1199" s="55" t="s">
        <v>50</v>
      </c>
      <c r="H1199" s="45" t="s">
        <v>3012</v>
      </c>
      <c r="I1199" s="61" t="s">
        <v>78</v>
      </c>
      <c r="J1199" s="56"/>
      <c r="K1199" s="55" t="s">
        <v>74</v>
      </c>
      <c r="L1199" s="55" t="str">
        <f>IF(K1199="Mines and Quarries","Mine","")</f>
        <v/>
      </c>
      <c r="M1199" s="55"/>
      <c r="N1199" s="55" t="s">
        <v>110</v>
      </c>
      <c r="O1199" s="56"/>
      <c r="P1199" s="55" t="s">
        <v>75</v>
      </c>
      <c r="Q1199" s="56" t="s">
        <v>57</v>
      </c>
      <c r="R1199" s="55"/>
      <c r="S1199" s="56" t="s">
        <v>58</v>
      </c>
      <c r="T1199" s="55" t="str">
        <f>IF(ISNUMBER(SEARCH(",",N1199)),"Y","N")</f>
        <v>N</v>
      </c>
      <c r="U1199" s="57">
        <v>0.753</v>
      </c>
      <c r="V1199" s="57" t="s">
        <v>101</v>
      </c>
      <c r="W1199" s="55" t="s">
        <v>2319</v>
      </c>
      <c r="X1199" s="54" t="s">
        <v>5206</v>
      </c>
      <c r="Y1199" s="52"/>
      <c r="Z1199" s="3" t="s">
        <v>61</v>
      </c>
      <c r="AA1199" s="3" t="s">
        <v>2604</v>
      </c>
      <c r="AB1199" s="3"/>
      <c r="AC1199" s="3"/>
      <c r="AD1199" s="3" t="s">
        <v>62</v>
      </c>
      <c r="AE1199" s="3" t="s">
        <v>251</v>
      </c>
      <c r="AF1199" s="3"/>
      <c r="AG1199" s="3" t="s">
        <v>2605</v>
      </c>
      <c r="AH1199" s="58">
        <v>100</v>
      </c>
      <c r="AI1199" s="1"/>
      <c r="AJ1199" s="3"/>
      <c r="AK1199" s="3"/>
      <c r="AL1199" s="3"/>
      <c r="AM1199" s="3"/>
      <c r="AN1199" s="3"/>
      <c r="AO1199" s="3"/>
      <c r="AP1199" s="3"/>
      <c r="AQ1199" s="3"/>
      <c r="AR1199" s="3"/>
      <c r="AS1199" s="3"/>
      <c r="AT1199" s="3"/>
      <c r="AU1199" s="3"/>
      <c r="AV1199" s="3"/>
      <c r="AW1199" s="3"/>
      <c r="AX1199" s="3"/>
      <c r="AY1199" s="3"/>
      <c r="AZ1199" s="4" t="s">
        <v>3941</v>
      </c>
      <c r="BA1199" s="3" t="s">
        <v>3942</v>
      </c>
      <c r="BB1199" s="1"/>
      <c r="BC1199" s="1"/>
    </row>
    <row r="1200" spans="1:55" s="78" customFormat="1" ht="15" customHeight="1" x14ac:dyDescent="0.25">
      <c r="A1200" s="52" t="s">
        <v>5207</v>
      </c>
      <c r="B1200" s="34" t="s">
        <v>59</v>
      </c>
      <c r="C1200" s="53">
        <v>2026</v>
      </c>
      <c r="D1200" s="53">
        <v>2026</v>
      </c>
      <c r="E1200" s="54" t="s">
        <v>3741</v>
      </c>
      <c r="F1200" s="55" t="s">
        <v>50</v>
      </c>
      <c r="G1200" s="55" t="s">
        <v>50</v>
      </c>
      <c r="H1200" s="45" t="s">
        <v>2607</v>
      </c>
      <c r="I1200" s="56" t="s">
        <v>52</v>
      </c>
      <c r="J1200" s="56"/>
      <c r="K1200" s="55" t="s">
        <v>173</v>
      </c>
      <c r="L1200" s="55"/>
      <c r="M1200" s="55"/>
      <c r="N1200" s="56" t="s">
        <v>55</v>
      </c>
      <c r="O1200" s="56"/>
      <c r="P1200" s="55" t="s">
        <v>444</v>
      </c>
      <c r="Q1200" s="55" t="s">
        <v>57</v>
      </c>
      <c r="R1200" s="55"/>
      <c r="S1200" s="56" t="s">
        <v>81</v>
      </c>
      <c r="T1200" s="55" t="s">
        <v>81</v>
      </c>
      <c r="U1200" s="57">
        <v>120000</v>
      </c>
      <c r="V1200" s="57" t="s">
        <v>101</v>
      </c>
      <c r="W1200" s="55" t="s">
        <v>2319</v>
      </c>
      <c r="X1200" s="54" t="s">
        <v>5207</v>
      </c>
      <c r="Y1200" s="52"/>
      <c r="Z1200" s="2" t="s">
        <v>154</v>
      </c>
      <c r="AA1200" s="1" t="s">
        <v>2608</v>
      </c>
      <c r="AB1200" s="1"/>
      <c r="AC1200" s="1"/>
      <c r="AD1200" s="3" t="s">
        <v>62</v>
      </c>
      <c r="AE1200" s="2" t="s">
        <v>695</v>
      </c>
      <c r="AF1200" s="1" t="s">
        <v>2609</v>
      </c>
      <c r="AG1200" s="1" t="s">
        <v>2610</v>
      </c>
      <c r="AH1200" s="2">
        <v>100</v>
      </c>
      <c r="AI1200" s="1"/>
      <c r="AJ1200" s="1"/>
      <c r="AK1200" s="1"/>
      <c r="AL1200" s="1"/>
      <c r="AM1200" s="1"/>
      <c r="AN1200" s="1"/>
      <c r="AO1200" s="1"/>
      <c r="AP1200" s="1"/>
      <c r="AQ1200" s="1"/>
      <c r="AR1200" s="1"/>
      <c r="AS1200" s="1"/>
      <c r="AT1200" s="1"/>
      <c r="AU1200" s="1"/>
      <c r="AV1200" s="1"/>
      <c r="AW1200" s="1"/>
      <c r="AX1200" s="1"/>
      <c r="AY1200" s="1"/>
      <c r="AZ1200" s="4" t="s">
        <v>2606</v>
      </c>
      <c r="BA1200" s="1"/>
      <c r="BB1200" s="1"/>
      <c r="BC1200" s="1"/>
    </row>
    <row r="1201" spans="1:55" s="78" customFormat="1" ht="15" customHeight="1" x14ac:dyDescent="0.25">
      <c r="A1201" s="52" t="s">
        <v>5208</v>
      </c>
      <c r="B1201" s="34" t="s">
        <v>59</v>
      </c>
      <c r="C1201" s="53">
        <v>2026</v>
      </c>
      <c r="D1201" s="53">
        <v>2026</v>
      </c>
      <c r="E1201" s="54" t="s">
        <v>3742</v>
      </c>
      <c r="F1201" s="55" t="s">
        <v>50</v>
      </c>
      <c r="G1201" s="55" t="s">
        <v>50</v>
      </c>
      <c r="H1201" s="45" t="s">
        <v>2612</v>
      </c>
      <c r="I1201" s="56" t="s">
        <v>78</v>
      </c>
      <c r="J1201" s="55" t="s">
        <v>384</v>
      </c>
      <c r="K1201" s="55" t="s">
        <v>384</v>
      </c>
      <c r="L1201" s="55" t="s">
        <v>88</v>
      </c>
      <c r="M1201" s="55"/>
      <c r="N1201" s="56" t="s">
        <v>110</v>
      </c>
      <c r="O1201" s="56"/>
      <c r="P1201" s="56" t="s">
        <v>89</v>
      </c>
      <c r="Q1201" s="55" t="s">
        <v>89</v>
      </c>
      <c r="R1201" s="55"/>
      <c r="S1201" s="56" t="s">
        <v>58</v>
      </c>
      <c r="T1201" s="55" t="s">
        <v>81</v>
      </c>
      <c r="U1201" s="57">
        <v>4650</v>
      </c>
      <c r="V1201" s="57" t="s">
        <v>101</v>
      </c>
      <c r="W1201" s="55" t="s">
        <v>2319</v>
      </c>
      <c r="X1201" s="54" t="s">
        <v>5208</v>
      </c>
      <c r="Y1201" s="52"/>
      <c r="Z1201" s="2" t="s">
        <v>154</v>
      </c>
      <c r="AA1201" s="1" t="s">
        <v>694</v>
      </c>
      <c r="AB1201" s="1"/>
      <c r="AC1201" s="1"/>
      <c r="AD1201" s="3" t="s">
        <v>62</v>
      </c>
      <c r="AE1201" s="2" t="s">
        <v>695</v>
      </c>
      <c r="AF1201" s="2"/>
      <c r="AG1201" s="1" t="s">
        <v>2613</v>
      </c>
      <c r="AH1201" s="2">
        <v>100</v>
      </c>
      <c r="AI1201" s="1"/>
      <c r="AJ1201" s="1"/>
      <c r="AK1201" s="1"/>
      <c r="AL1201" s="1"/>
      <c r="AM1201" s="1"/>
      <c r="AN1201" s="1"/>
      <c r="AO1201" s="1"/>
      <c r="AP1201" s="1"/>
      <c r="AQ1201" s="1"/>
      <c r="AR1201" s="1"/>
      <c r="AS1201" s="1"/>
      <c r="AT1201" s="1"/>
      <c r="AU1201" s="1"/>
      <c r="AV1201" s="1"/>
      <c r="AW1201" s="1"/>
      <c r="AX1201" s="1"/>
      <c r="AY1201" s="1"/>
      <c r="AZ1201" s="4" t="s">
        <v>2611</v>
      </c>
      <c r="BA1201" s="1"/>
      <c r="BB1201" s="1"/>
      <c r="BC1201" s="1"/>
    </row>
    <row r="1202" spans="1:55" s="78" customFormat="1" ht="15" customHeight="1" x14ac:dyDescent="0.25">
      <c r="A1202" s="52" t="s">
        <v>5209</v>
      </c>
      <c r="B1202" s="34" t="s">
        <v>59</v>
      </c>
      <c r="C1202" s="53">
        <v>2026</v>
      </c>
      <c r="D1202" s="53">
        <v>2026</v>
      </c>
      <c r="E1202" s="54" t="s">
        <v>3742</v>
      </c>
      <c r="F1202" s="55" t="s">
        <v>50</v>
      </c>
      <c r="G1202" s="55" t="s">
        <v>50</v>
      </c>
      <c r="H1202" s="45" t="s">
        <v>2612</v>
      </c>
      <c r="I1202" s="56" t="s">
        <v>78</v>
      </c>
      <c r="J1202" s="56"/>
      <c r="K1202" s="55" t="s">
        <v>140</v>
      </c>
      <c r="L1202" s="55" t="s">
        <v>88</v>
      </c>
      <c r="M1202" s="55"/>
      <c r="N1202" s="56" t="s">
        <v>110</v>
      </c>
      <c r="O1202" s="56"/>
      <c r="P1202" s="56" t="s">
        <v>89</v>
      </c>
      <c r="Q1202" s="56" t="s">
        <v>89</v>
      </c>
      <c r="R1202" s="55"/>
      <c r="S1202" s="56" t="s">
        <v>58</v>
      </c>
      <c r="T1202" s="55" t="s">
        <v>81</v>
      </c>
      <c r="U1202" s="57">
        <v>38500</v>
      </c>
      <c r="V1202" s="57" t="s">
        <v>101</v>
      </c>
      <c r="W1202" s="55" t="s">
        <v>2319</v>
      </c>
      <c r="X1202" s="54" t="s">
        <v>5209</v>
      </c>
      <c r="Y1202" s="52"/>
      <c r="Z1202" s="2" t="s">
        <v>154</v>
      </c>
      <c r="AA1202" s="1" t="s">
        <v>694</v>
      </c>
      <c r="AB1202" s="1"/>
      <c r="AC1202" s="1"/>
      <c r="AD1202" s="3" t="s">
        <v>62</v>
      </c>
      <c r="AE1202" s="2" t="s">
        <v>695</v>
      </c>
      <c r="AF1202" s="2"/>
      <c r="AG1202" s="1" t="s">
        <v>2613</v>
      </c>
      <c r="AH1202" s="2">
        <v>100</v>
      </c>
      <c r="AI1202" s="1"/>
      <c r="AJ1202" s="1"/>
      <c r="AK1202" s="1"/>
      <c r="AL1202" s="1"/>
      <c r="AM1202" s="1"/>
      <c r="AN1202" s="1"/>
      <c r="AO1202" s="1"/>
      <c r="AP1202" s="1"/>
      <c r="AQ1202" s="1"/>
      <c r="AR1202" s="1"/>
      <c r="AS1202" s="1"/>
      <c r="AT1202" s="1"/>
      <c r="AU1202" s="1"/>
      <c r="AV1202" s="1"/>
      <c r="AW1202" s="1"/>
      <c r="AX1202" s="1"/>
      <c r="AY1202" s="1"/>
      <c r="AZ1202" s="4" t="s">
        <v>2611</v>
      </c>
      <c r="BA1202" s="1"/>
      <c r="BB1202" s="1"/>
      <c r="BC1202" s="1"/>
    </row>
    <row r="1203" spans="1:55" s="78" customFormat="1" ht="15" customHeight="1" x14ac:dyDescent="0.25">
      <c r="A1203" s="52" t="s">
        <v>5210</v>
      </c>
      <c r="B1203" s="34" t="s">
        <v>59</v>
      </c>
      <c r="C1203" s="53">
        <v>2026</v>
      </c>
      <c r="D1203" s="53">
        <v>2026</v>
      </c>
      <c r="E1203" s="54" t="s">
        <v>3742</v>
      </c>
      <c r="F1203" s="55" t="s">
        <v>50</v>
      </c>
      <c r="G1203" s="55" t="s">
        <v>50</v>
      </c>
      <c r="H1203" s="45" t="s">
        <v>2612</v>
      </c>
      <c r="I1203" s="56" t="s">
        <v>78</v>
      </c>
      <c r="J1203" s="56"/>
      <c r="K1203" s="55" t="s">
        <v>148</v>
      </c>
      <c r="L1203" s="55" t="s">
        <v>88</v>
      </c>
      <c r="M1203" s="55"/>
      <c r="N1203" s="56" t="s">
        <v>110</v>
      </c>
      <c r="O1203" s="56" t="s">
        <v>5357</v>
      </c>
      <c r="P1203" s="56" t="s">
        <v>89</v>
      </c>
      <c r="Q1203" s="56" t="s">
        <v>89</v>
      </c>
      <c r="R1203" s="55"/>
      <c r="S1203" s="56" t="s">
        <v>58</v>
      </c>
      <c r="T1203" s="55" t="s">
        <v>81</v>
      </c>
      <c r="U1203" s="57">
        <v>112200</v>
      </c>
      <c r="V1203" s="57" t="s">
        <v>101</v>
      </c>
      <c r="W1203" s="55" t="s">
        <v>2319</v>
      </c>
      <c r="X1203" s="54" t="s">
        <v>5210</v>
      </c>
      <c r="Y1203" s="52"/>
      <c r="Z1203" s="2" t="s">
        <v>154</v>
      </c>
      <c r="AA1203" s="1" t="s">
        <v>694</v>
      </c>
      <c r="AB1203" s="1"/>
      <c r="AC1203" s="1"/>
      <c r="AD1203" s="3" t="s">
        <v>62</v>
      </c>
      <c r="AE1203" s="2" t="s">
        <v>695</v>
      </c>
      <c r="AF1203" s="2"/>
      <c r="AG1203" s="1" t="s">
        <v>2613</v>
      </c>
      <c r="AH1203" s="2">
        <v>100</v>
      </c>
      <c r="AI1203" s="1"/>
      <c r="AJ1203" s="1"/>
      <c r="AK1203" s="1"/>
      <c r="AL1203" s="1"/>
      <c r="AM1203" s="1"/>
      <c r="AN1203" s="1"/>
      <c r="AO1203" s="1"/>
      <c r="AP1203" s="1"/>
      <c r="AQ1203" s="1"/>
      <c r="AR1203" s="1"/>
      <c r="AS1203" s="1"/>
      <c r="AT1203" s="1"/>
      <c r="AU1203" s="1"/>
      <c r="AV1203" s="1"/>
      <c r="AW1203" s="1"/>
      <c r="AX1203" s="1"/>
      <c r="AY1203" s="1"/>
      <c r="AZ1203" s="4" t="s">
        <v>2611</v>
      </c>
      <c r="BA1203" s="1"/>
      <c r="BB1203" s="1"/>
      <c r="BC1203" s="1"/>
    </row>
    <row r="1204" spans="1:55" s="78" customFormat="1" ht="15" customHeight="1" x14ac:dyDescent="0.25">
      <c r="A1204" s="52" t="s">
        <v>5211</v>
      </c>
      <c r="B1204" s="34" t="s">
        <v>59</v>
      </c>
      <c r="C1204" s="53">
        <v>2026</v>
      </c>
      <c r="D1204" s="53">
        <v>2026</v>
      </c>
      <c r="E1204" s="54" t="s">
        <v>3743</v>
      </c>
      <c r="F1204" s="55" t="s">
        <v>50</v>
      </c>
      <c r="G1204" s="55" t="s">
        <v>50</v>
      </c>
      <c r="H1204" s="45" t="s">
        <v>2617</v>
      </c>
      <c r="I1204" s="56" t="s">
        <v>52</v>
      </c>
      <c r="J1204" s="56"/>
      <c r="K1204" s="56" t="s">
        <v>1019</v>
      </c>
      <c r="L1204" s="55"/>
      <c r="M1204" s="55"/>
      <c r="N1204" s="56"/>
      <c r="O1204" s="56" t="s">
        <v>1020</v>
      </c>
      <c r="P1204" s="56" t="s">
        <v>89</v>
      </c>
      <c r="Q1204" s="56" t="s">
        <v>89</v>
      </c>
      <c r="R1204" s="55"/>
      <c r="S1204" s="56" t="s">
        <v>81</v>
      </c>
      <c r="T1204" s="55" t="s">
        <v>81</v>
      </c>
      <c r="U1204" s="57">
        <v>-999</v>
      </c>
      <c r="V1204" s="57" t="s">
        <v>59</v>
      </c>
      <c r="W1204" s="55" t="s">
        <v>2319</v>
      </c>
      <c r="X1204" s="54" t="s">
        <v>5211</v>
      </c>
      <c r="Y1204" s="52"/>
      <c r="Z1204" s="1" t="s">
        <v>61</v>
      </c>
      <c r="AA1204" s="1" t="s">
        <v>2618</v>
      </c>
      <c r="AB1204" s="1"/>
      <c r="AC1204" s="1"/>
      <c r="AD1204" s="3" t="s">
        <v>62</v>
      </c>
      <c r="AE1204" s="1" t="s">
        <v>718</v>
      </c>
      <c r="AF1204" s="1"/>
      <c r="AG1204" s="1" t="s">
        <v>2619</v>
      </c>
      <c r="AH1204" s="2">
        <v>100</v>
      </c>
      <c r="AI1204" s="1"/>
      <c r="AJ1204" s="1"/>
      <c r="AK1204" s="1"/>
      <c r="AL1204" s="1"/>
      <c r="AM1204" s="1"/>
      <c r="AN1204" s="1"/>
      <c r="AO1204" s="1"/>
      <c r="AP1204" s="1"/>
      <c r="AQ1204" s="1"/>
      <c r="AR1204" s="1"/>
      <c r="AS1204" s="1"/>
      <c r="AT1204" s="1"/>
      <c r="AU1204" s="1"/>
      <c r="AV1204" s="1"/>
      <c r="AW1204" s="1"/>
      <c r="AX1204" s="1"/>
      <c r="AY1204" s="1"/>
      <c r="AZ1204" s="4" t="s">
        <v>1017</v>
      </c>
      <c r="BA1204" s="1"/>
      <c r="BB1204" s="1"/>
      <c r="BC1204" s="1"/>
    </row>
    <row r="1205" spans="1:55" s="78" customFormat="1" ht="15" customHeight="1" x14ac:dyDescent="0.25">
      <c r="A1205" s="52" t="s">
        <v>5212</v>
      </c>
      <c r="B1205" s="34" t="s">
        <v>59</v>
      </c>
      <c r="C1205" s="53">
        <v>2026</v>
      </c>
      <c r="D1205" s="53">
        <v>2026</v>
      </c>
      <c r="E1205" s="54" t="s">
        <v>3744</v>
      </c>
      <c r="F1205" s="55" t="s">
        <v>50</v>
      </c>
      <c r="G1205" s="55" t="s">
        <v>50</v>
      </c>
      <c r="H1205" s="45" t="s">
        <v>2621</v>
      </c>
      <c r="I1205" s="56" t="s">
        <v>78</v>
      </c>
      <c r="J1205" s="56"/>
      <c r="K1205" s="56" t="s">
        <v>53</v>
      </c>
      <c r="L1205" s="55"/>
      <c r="M1205" s="55"/>
      <c r="N1205" s="56" t="s">
        <v>5386</v>
      </c>
      <c r="O1205" s="56"/>
      <c r="P1205" s="55" t="s">
        <v>56</v>
      </c>
      <c r="Q1205" s="55" t="s">
        <v>57</v>
      </c>
      <c r="R1205" s="55"/>
      <c r="S1205" s="56" t="s">
        <v>81</v>
      </c>
      <c r="T1205" s="55" t="s">
        <v>81</v>
      </c>
      <c r="U1205" s="57">
        <v>18000</v>
      </c>
      <c r="V1205" s="57" t="s">
        <v>101</v>
      </c>
      <c r="W1205" s="55"/>
      <c r="X1205" s="54" t="s">
        <v>5212</v>
      </c>
      <c r="Y1205" s="52"/>
      <c r="Z1205" s="1" t="s">
        <v>2005</v>
      </c>
      <c r="AA1205" s="65" t="s">
        <v>2622</v>
      </c>
      <c r="AB1205" s="65"/>
      <c r="AC1205" s="65"/>
      <c r="AD1205" s="3" t="s">
        <v>62</v>
      </c>
      <c r="AE1205" s="1" t="s">
        <v>108</v>
      </c>
      <c r="AF1205" s="1"/>
      <c r="AG1205" s="1" t="s">
        <v>109</v>
      </c>
      <c r="AH1205" s="2">
        <v>100</v>
      </c>
      <c r="AI1205" s="1"/>
      <c r="AJ1205" s="1"/>
      <c r="AK1205" s="1"/>
      <c r="AL1205" s="1"/>
      <c r="AM1205" s="1"/>
      <c r="AN1205" s="1"/>
      <c r="AO1205" s="1"/>
      <c r="AP1205" s="1"/>
      <c r="AQ1205" s="1"/>
      <c r="AR1205" s="1"/>
      <c r="AS1205" s="1"/>
      <c r="AT1205" s="1"/>
      <c r="AU1205" s="1"/>
      <c r="AV1205" s="1"/>
      <c r="AW1205" s="1"/>
      <c r="AX1205" s="1"/>
      <c r="AY1205" s="1"/>
      <c r="AZ1205" s="4" t="s">
        <v>2620</v>
      </c>
      <c r="BA1205" s="1"/>
      <c r="BB1205" s="1"/>
      <c r="BC1205" s="1"/>
    </row>
    <row r="1206" spans="1:55" s="78" customFormat="1" ht="15" customHeight="1" x14ac:dyDescent="0.25">
      <c r="A1206" s="52" t="s">
        <v>5213</v>
      </c>
      <c r="B1206" s="34" t="s">
        <v>59</v>
      </c>
      <c r="C1206" s="53">
        <v>2026</v>
      </c>
      <c r="D1206" s="53">
        <v>2026</v>
      </c>
      <c r="E1206" s="54" t="s">
        <v>3745</v>
      </c>
      <c r="F1206" s="55" t="s">
        <v>50</v>
      </c>
      <c r="G1206" s="55" t="s">
        <v>50</v>
      </c>
      <c r="H1206" s="45" t="s">
        <v>2623</v>
      </c>
      <c r="I1206" s="56" t="s">
        <v>52</v>
      </c>
      <c r="J1206" s="56"/>
      <c r="K1206" s="55" t="s">
        <v>53</v>
      </c>
      <c r="L1206" s="55" t="str">
        <f>IF(K1206="Mine or Quarry","Mine","")</f>
        <v/>
      </c>
      <c r="M1206" s="55"/>
      <c r="N1206" s="55" t="s">
        <v>327</v>
      </c>
      <c r="O1206" s="55"/>
      <c r="P1206" s="55" t="s">
        <v>56</v>
      </c>
      <c r="Q1206" s="55" t="s">
        <v>57</v>
      </c>
      <c r="R1206" s="55"/>
      <c r="S1206" s="56" t="s">
        <v>81</v>
      </c>
      <c r="T1206" s="55" t="str">
        <f>IF(ISNUMBER(SEARCH(",",N1206)),"Y","N")</f>
        <v>N</v>
      </c>
      <c r="U1206" s="57">
        <v>18000</v>
      </c>
      <c r="V1206" s="57" t="s">
        <v>101</v>
      </c>
      <c r="W1206" s="55"/>
      <c r="X1206" s="54" t="s">
        <v>5213</v>
      </c>
      <c r="Y1206" s="52"/>
      <c r="Z1206" s="3" t="s">
        <v>2005</v>
      </c>
      <c r="AA1206" s="65" t="s">
        <v>2622</v>
      </c>
      <c r="AB1206" s="65"/>
      <c r="AC1206" s="65"/>
      <c r="AD1206" s="3" t="s">
        <v>62</v>
      </c>
      <c r="AE1206" s="3" t="s">
        <v>108</v>
      </c>
      <c r="AF1206" s="3"/>
      <c r="AG1206" s="1" t="s">
        <v>109</v>
      </c>
      <c r="AH1206" s="58">
        <v>100</v>
      </c>
      <c r="AI1206" s="3"/>
      <c r="AJ1206" s="3"/>
      <c r="AK1206" s="3"/>
      <c r="AL1206" s="3"/>
      <c r="AM1206" s="3"/>
      <c r="AN1206" s="3"/>
      <c r="AO1206" s="3"/>
      <c r="AP1206" s="3"/>
      <c r="AQ1206" s="3"/>
      <c r="AR1206" s="3"/>
      <c r="AS1206" s="3"/>
      <c r="AT1206" s="3"/>
      <c r="AU1206" s="3"/>
      <c r="AV1206" s="3"/>
      <c r="AW1206" s="3"/>
      <c r="AX1206" s="3"/>
      <c r="AY1206" s="3"/>
      <c r="AZ1206" s="4" t="s">
        <v>2620</v>
      </c>
      <c r="BA1206" s="3"/>
      <c r="BB1206" s="1"/>
      <c r="BC1206" s="1"/>
    </row>
    <row r="1207" spans="1:55" s="78" customFormat="1" ht="15" customHeight="1" x14ac:dyDescent="0.25">
      <c r="A1207" s="52" t="s">
        <v>5214</v>
      </c>
      <c r="B1207" s="34" t="s">
        <v>59</v>
      </c>
      <c r="C1207" s="53">
        <v>2026</v>
      </c>
      <c r="D1207" s="53">
        <v>2026</v>
      </c>
      <c r="E1207" s="54" t="s">
        <v>3746</v>
      </c>
      <c r="F1207" s="55" t="s">
        <v>50</v>
      </c>
      <c r="G1207" s="55" t="s">
        <v>50</v>
      </c>
      <c r="H1207" s="45" t="s">
        <v>2625</v>
      </c>
      <c r="I1207" s="61" t="s">
        <v>78</v>
      </c>
      <c r="J1207" s="56"/>
      <c r="K1207" s="55" t="s">
        <v>133</v>
      </c>
      <c r="L1207" s="55" t="s">
        <v>88</v>
      </c>
      <c r="M1207" s="55"/>
      <c r="N1207" s="55" t="s">
        <v>181</v>
      </c>
      <c r="O1207" s="55"/>
      <c r="P1207" s="55" t="s">
        <v>134</v>
      </c>
      <c r="Q1207" s="55" t="s">
        <v>57</v>
      </c>
      <c r="R1207" s="55"/>
      <c r="S1207" s="56" t="s">
        <v>81</v>
      </c>
      <c r="T1207" s="55" t="s">
        <v>81</v>
      </c>
      <c r="U1207" s="57">
        <v>-999</v>
      </c>
      <c r="V1207" s="57" t="s">
        <v>59</v>
      </c>
      <c r="W1207" s="55"/>
      <c r="X1207" s="54" t="s">
        <v>5214</v>
      </c>
      <c r="Y1207" s="52"/>
      <c r="Z1207" s="3" t="s">
        <v>154</v>
      </c>
      <c r="AA1207" s="3" t="s">
        <v>1315</v>
      </c>
      <c r="AB1207" s="3"/>
      <c r="AC1207" s="3"/>
      <c r="AD1207" s="3" t="s">
        <v>62</v>
      </c>
      <c r="AE1207" s="3" t="s">
        <v>83</v>
      </c>
      <c r="AF1207" s="3"/>
      <c r="AG1207" s="3" t="s">
        <v>242</v>
      </c>
      <c r="AH1207" s="58">
        <v>100</v>
      </c>
      <c r="AI1207" s="3"/>
      <c r="AJ1207" s="3"/>
      <c r="AK1207" s="3"/>
      <c r="AL1207" s="3"/>
      <c r="AM1207" s="3"/>
      <c r="AN1207" s="3"/>
      <c r="AO1207" s="3"/>
      <c r="AP1207" s="3"/>
      <c r="AQ1207" s="3"/>
      <c r="AR1207" s="3"/>
      <c r="AS1207" s="3"/>
      <c r="AT1207" s="3"/>
      <c r="AU1207" s="3"/>
      <c r="AV1207" s="3"/>
      <c r="AW1207" s="3"/>
      <c r="AX1207" s="3"/>
      <c r="AY1207" s="3"/>
      <c r="AZ1207" s="4" t="s">
        <v>2624</v>
      </c>
      <c r="BA1207" s="3"/>
      <c r="BB1207" s="1"/>
      <c r="BC1207" s="1"/>
    </row>
    <row r="1208" spans="1:55" s="78" customFormat="1" ht="15" customHeight="1" x14ac:dyDescent="0.25">
      <c r="A1208" s="52" t="s">
        <v>5215</v>
      </c>
      <c r="B1208" s="34" t="s">
        <v>59</v>
      </c>
      <c r="C1208" s="53">
        <v>2026</v>
      </c>
      <c r="D1208" s="53">
        <v>2026</v>
      </c>
      <c r="E1208" s="54" t="s">
        <v>3747</v>
      </c>
      <c r="F1208" s="55" t="s">
        <v>50</v>
      </c>
      <c r="G1208" s="55" t="s">
        <v>50</v>
      </c>
      <c r="H1208" s="45" t="s">
        <v>2626</v>
      </c>
      <c r="I1208" s="61" t="s">
        <v>52</v>
      </c>
      <c r="J1208" s="56"/>
      <c r="K1208" s="55" t="s">
        <v>133</v>
      </c>
      <c r="L1208" s="55" t="s">
        <v>54</v>
      </c>
      <c r="M1208" s="55"/>
      <c r="N1208" s="55" t="s">
        <v>423</v>
      </c>
      <c r="O1208" s="55"/>
      <c r="P1208" s="55" t="s">
        <v>134</v>
      </c>
      <c r="Q1208" s="55" t="s">
        <v>57</v>
      </c>
      <c r="R1208" s="55"/>
      <c r="S1208" s="56" t="s">
        <v>81</v>
      </c>
      <c r="T1208" s="55" t="s">
        <v>81</v>
      </c>
      <c r="U1208" s="57">
        <v>4950</v>
      </c>
      <c r="V1208" s="57" t="s">
        <v>101</v>
      </c>
      <c r="W1208" s="55"/>
      <c r="X1208" s="54" t="s">
        <v>5215</v>
      </c>
      <c r="Y1208" s="52"/>
      <c r="Z1208" s="3" t="s">
        <v>154</v>
      </c>
      <c r="AA1208" s="3" t="s">
        <v>1315</v>
      </c>
      <c r="AB1208" s="3"/>
      <c r="AC1208" s="3"/>
      <c r="AD1208" s="3" t="s">
        <v>62</v>
      </c>
      <c r="AE1208" s="3" t="s">
        <v>83</v>
      </c>
      <c r="AF1208" s="3"/>
      <c r="AG1208" s="3" t="s">
        <v>242</v>
      </c>
      <c r="AH1208" s="58">
        <v>100</v>
      </c>
      <c r="AI1208" s="3"/>
      <c r="AJ1208" s="3"/>
      <c r="AK1208" s="3"/>
      <c r="AL1208" s="3"/>
      <c r="AM1208" s="3"/>
      <c r="AN1208" s="3"/>
      <c r="AO1208" s="3"/>
      <c r="AP1208" s="3"/>
      <c r="AQ1208" s="3"/>
      <c r="AR1208" s="3"/>
      <c r="AS1208" s="3"/>
      <c r="AT1208" s="3"/>
      <c r="AU1208" s="3"/>
      <c r="AV1208" s="3"/>
      <c r="AW1208" s="3"/>
      <c r="AX1208" s="3"/>
      <c r="AY1208" s="3"/>
      <c r="AZ1208" s="4" t="s">
        <v>2624</v>
      </c>
      <c r="BA1208" s="3"/>
      <c r="BB1208" s="1"/>
      <c r="BC1208" s="1"/>
    </row>
    <row r="1209" spans="1:55" s="78" customFormat="1" ht="15" customHeight="1" x14ac:dyDescent="0.25">
      <c r="A1209" s="52" t="s">
        <v>5216</v>
      </c>
      <c r="B1209" s="34" t="s">
        <v>59</v>
      </c>
      <c r="C1209" s="53">
        <v>2026</v>
      </c>
      <c r="D1209" s="53">
        <v>2026</v>
      </c>
      <c r="E1209" s="54" t="s">
        <v>3748</v>
      </c>
      <c r="F1209" s="55" t="s">
        <v>50</v>
      </c>
      <c r="G1209" s="55" t="s">
        <v>50</v>
      </c>
      <c r="H1209" s="45" t="s">
        <v>2627</v>
      </c>
      <c r="I1209" s="45" t="s">
        <v>52</v>
      </c>
      <c r="J1209" s="56"/>
      <c r="K1209" s="55" t="s">
        <v>71</v>
      </c>
      <c r="L1209" s="55" t="str">
        <f>IF(K1209="Mine or Quarry","Mine","")</f>
        <v/>
      </c>
      <c r="M1209" s="55"/>
      <c r="N1209" s="61"/>
      <c r="O1209" s="61"/>
      <c r="P1209" s="55" t="s">
        <v>73</v>
      </c>
      <c r="Q1209" s="55" t="s">
        <v>57</v>
      </c>
      <c r="R1209" s="55"/>
      <c r="S1209" s="56" t="s">
        <v>81</v>
      </c>
      <c r="T1209" s="55" t="str">
        <f>IF(ISNUMBER(SEARCH(",",N1209)),"Y","N")</f>
        <v>N</v>
      </c>
      <c r="U1209" s="57">
        <v>-999</v>
      </c>
      <c r="V1209" s="57" t="s">
        <v>59</v>
      </c>
      <c r="W1209" s="55" t="s">
        <v>2319</v>
      </c>
      <c r="X1209" s="54" t="s">
        <v>5216</v>
      </c>
      <c r="Y1209" s="52"/>
      <c r="Z1209" s="3" t="s">
        <v>154</v>
      </c>
      <c r="AA1209" s="3" t="s">
        <v>1315</v>
      </c>
      <c r="AB1209" s="3"/>
      <c r="AC1209" s="3"/>
      <c r="AD1209" s="3" t="s">
        <v>62</v>
      </c>
      <c r="AE1209" s="3" t="s">
        <v>83</v>
      </c>
      <c r="AF1209" s="3" t="s">
        <v>2628</v>
      </c>
      <c r="AG1209" s="3" t="s">
        <v>2629</v>
      </c>
      <c r="AH1209" s="58">
        <v>100</v>
      </c>
      <c r="AI1209" s="65"/>
      <c r="AJ1209" s="65"/>
      <c r="AK1209" s="65"/>
      <c r="AL1209" s="65"/>
      <c r="AM1209" s="65"/>
      <c r="AN1209" s="65"/>
      <c r="AO1209" s="65"/>
      <c r="AP1209" s="65"/>
      <c r="AQ1209" s="65"/>
      <c r="AR1209" s="65"/>
      <c r="AS1209" s="65"/>
      <c r="AT1209" s="65"/>
      <c r="AU1209" s="65"/>
      <c r="AV1209" s="65"/>
      <c r="AW1209" s="65"/>
      <c r="AX1209" s="65"/>
      <c r="AY1209" s="65"/>
      <c r="AZ1209" s="4" t="s">
        <v>3943</v>
      </c>
      <c r="BA1209" s="65" t="s">
        <v>3944</v>
      </c>
      <c r="BB1209" s="1"/>
      <c r="BC1209" s="1"/>
    </row>
    <row r="1210" spans="1:55" s="78" customFormat="1" ht="15" customHeight="1" x14ac:dyDescent="0.25">
      <c r="A1210" s="52" t="s">
        <v>5217</v>
      </c>
      <c r="B1210" s="34" t="s">
        <v>59</v>
      </c>
      <c r="C1210" s="53">
        <v>2026</v>
      </c>
      <c r="D1210" s="53">
        <v>2026</v>
      </c>
      <c r="E1210" s="54" t="s">
        <v>3749</v>
      </c>
      <c r="F1210" s="55" t="s">
        <v>50</v>
      </c>
      <c r="G1210" s="55" t="s">
        <v>50</v>
      </c>
      <c r="H1210" s="45" t="s">
        <v>2631</v>
      </c>
      <c r="I1210" s="56" t="s">
        <v>78</v>
      </c>
      <c r="J1210" s="56"/>
      <c r="K1210" s="56" t="s">
        <v>180</v>
      </c>
      <c r="L1210" s="55"/>
      <c r="M1210" s="55"/>
      <c r="N1210" s="56" t="s">
        <v>181</v>
      </c>
      <c r="O1210" s="56"/>
      <c r="P1210" s="55" t="s">
        <v>182</v>
      </c>
      <c r="Q1210" s="55" t="s">
        <v>5353</v>
      </c>
      <c r="R1210" s="55"/>
      <c r="S1210" s="56" t="s">
        <v>81</v>
      </c>
      <c r="T1210" s="55" t="str">
        <f>IF(ISNUMBER(SEARCH(",",N1210)),"Y","N")</f>
        <v>N</v>
      </c>
      <c r="U1210" s="57">
        <v>-999</v>
      </c>
      <c r="V1210" s="57" t="s">
        <v>59</v>
      </c>
      <c r="W1210" s="55" t="s">
        <v>2319</v>
      </c>
      <c r="X1210" s="54" t="s">
        <v>5217</v>
      </c>
      <c r="Y1210" s="52"/>
      <c r="Z1210" s="3" t="s">
        <v>2005</v>
      </c>
      <c r="AA1210" s="1" t="s">
        <v>2434</v>
      </c>
      <c r="AB1210" s="1"/>
      <c r="AC1210" s="1"/>
      <c r="AD1210" s="3" t="s">
        <v>62</v>
      </c>
      <c r="AE1210" s="3" t="s">
        <v>251</v>
      </c>
      <c r="AF1210" s="3"/>
      <c r="AG1210" s="3" t="s">
        <v>970</v>
      </c>
      <c r="AH1210" s="58">
        <v>100</v>
      </c>
      <c r="AI1210" s="1"/>
      <c r="AJ1210" s="60"/>
      <c r="AK1210" s="1"/>
      <c r="AL1210" s="1"/>
      <c r="AM1210" s="1"/>
      <c r="AN1210" s="1"/>
      <c r="AO1210" s="1"/>
      <c r="AP1210" s="1"/>
      <c r="AQ1210" s="1"/>
      <c r="AR1210" s="1"/>
      <c r="AS1210" s="1"/>
      <c r="AT1210" s="1"/>
      <c r="AU1210" s="1"/>
      <c r="AV1210" s="1"/>
      <c r="AW1210" s="1"/>
      <c r="AX1210" s="1"/>
      <c r="AY1210" s="1"/>
      <c r="AZ1210" s="4" t="s">
        <v>2630</v>
      </c>
      <c r="BA1210" s="1"/>
      <c r="BB1210" s="1"/>
      <c r="BC1210" s="1"/>
    </row>
    <row r="1211" spans="1:55" s="78" customFormat="1" ht="15" customHeight="1" x14ac:dyDescent="0.25">
      <c r="A1211" s="52" t="s">
        <v>5218</v>
      </c>
      <c r="B1211" s="34" t="s">
        <v>59</v>
      </c>
      <c r="C1211" s="53">
        <v>2026</v>
      </c>
      <c r="D1211" s="53">
        <v>2026</v>
      </c>
      <c r="E1211" s="54" t="s">
        <v>3750</v>
      </c>
      <c r="F1211" s="55" t="s">
        <v>50</v>
      </c>
      <c r="G1211" s="55" t="s">
        <v>50</v>
      </c>
      <c r="H1211" s="45" t="s">
        <v>2632</v>
      </c>
      <c r="I1211" s="45" t="s">
        <v>52</v>
      </c>
      <c r="J1211" s="56"/>
      <c r="K1211" s="45" t="s">
        <v>859</v>
      </c>
      <c r="L1211" s="55"/>
      <c r="M1211" s="55" t="s">
        <v>113</v>
      </c>
      <c r="N1211" s="45" t="s">
        <v>5354</v>
      </c>
      <c r="O1211" s="45" t="s">
        <v>2633</v>
      </c>
      <c r="P1211" s="55" t="s">
        <v>861</v>
      </c>
      <c r="Q1211" s="56" t="s">
        <v>57</v>
      </c>
      <c r="R1211" s="55"/>
      <c r="S1211" s="56" t="s">
        <v>81</v>
      </c>
      <c r="T1211" s="55" t="s">
        <v>58</v>
      </c>
      <c r="U1211" s="57">
        <v>12000</v>
      </c>
      <c r="V1211" s="57" t="s">
        <v>101</v>
      </c>
      <c r="W1211" s="55" t="s">
        <v>2319</v>
      </c>
      <c r="X1211" s="54" t="s">
        <v>5218</v>
      </c>
      <c r="Y1211" s="52"/>
      <c r="Z1211" s="1" t="s">
        <v>61</v>
      </c>
      <c r="AA1211" s="3" t="s">
        <v>2634</v>
      </c>
      <c r="AB1211" s="3"/>
      <c r="AC1211" s="3"/>
      <c r="AD1211" s="3" t="s">
        <v>62</v>
      </c>
      <c r="AE1211" s="2" t="s">
        <v>63</v>
      </c>
      <c r="AF1211" s="2"/>
      <c r="AG1211" s="1" t="s">
        <v>2635</v>
      </c>
      <c r="AH1211" s="2">
        <v>100</v>
      </c>
      <c r="AI1211" s="2"/>
      <c r="AJ1211" s="2"/>
      <c r="AK1211" s="2"/>
      <c r="AL1211" s="2"/>
      <c r="AM1211" s="2"/>
      <c r="AN1211" s="2"/>
      <c r="AO1211" s="2"/>
      <c r="AP1211" s="2"/>
      <c r="AQ1211" s="2"/>
      <c r="AR1211" s="2"/>
      <c r="AS1211" s="2"/>
      <c r="AT1211" s="2"/>
      <c r="AU1211" s="2"/>
      <c r="AV1211" s="2"/>
      <c r="AW1211" s="2"/>
      <c r="AX1211" s="2"/>
      <c r="AY1211" s="2"/>
      <c r="AZ1211" s="4" t="s">
        <v>857</v>
      </c>
      <c r="BA1211" s="2" t="s">
        <v>3945</v>
      </c>
      <c r="BB1211" s="1"/>
      <c r="BC1211" s="1"/>
    </row>
    <row r="1212" spans="1:55" s="78" customFormat="1" ht="15" customHeight="1" x14ac:dyDescent="0.25">
      <c r="A1212" s="52" t="s">
        <v>5219</v>
      </c>
      <c r="B1212" s="34" t="s">
        <v>59</v>
      </c>
      <c r="C1212" s="53">
        <v>2026</v>
      </c>
      <c r="D1212" s="53">
        <v>2026</v>
      </c>
      <c r="E1212" s="54" t="s">
        <v>3751</v>
      </c>
      <c r="F1212" s="55" t="s">
        <v>50</v>
      </c>
      <c r="G1212" s="55" t="s">
        <v>50</v>
      </c>
      <c r="H1212" s="45" t="s">
        <v>2636</v>
      </c>
      <c r="I1212" s="56" t="s">
        <v>78</v>
      </c>
      <c r="J1212" s="56"/>
      <c r="K1212" s="55" t="s">
        <v>140</v>
      </c>
      <c r="L1212" s="55" t="s">
        <v>88</v>
      </c>
      <c r="M1212" s="55"/>
      <c r="N1212" s="55" t="s">
        <v>110</v>
      </c>
      <c r="O1212" s="56" t="s">
        <v>5357</v>
      </c>
      <c r="P1212" s="55" t="s">
        <v>271</v>
      </c>
      <c r="Q1212" s="55" t="s">
        <v>5353</v>
      </c>
      <c r="R1212" s="55"/>
      <c r="S1212" s="56" t="s">
        <v>58</v>
      </c>
      <c r="T1212" s="55" t="str">
        <f>IF(ISNUMBER(SEARCH(",",N1212)),"Y","N")</f>
        <v>N</v>
      </c>
      <c r="U1212" s="57">
        <v>690000</v>
      </c>
      <c r="V1212" s="57" t="s">
        <v>101</v>
      </c>
      <c r="W1212" s="55" t="s">
        <v>5328</v>
      </c>
      <c r="X1212" s="54" t="s">
        <v>5334</v>
      </c>
      <c r="Y1212" s="52" t="s">
        <v>5333</v>
      </c>
      <c r="Z1212" s="3" t="s">
        <v>61</v>
      </c>
      <c r="AA1212" s="3" t="s">
        <v>2637</v>
      </c>
      <c r="AB1212" s="3"/>
      <c r="AC1212" s="3"/>
      <c r="AD1212" s="3" t="s">
        <v>62</v>
      </c>
      <c r="AE1212" s="3" t="s">
        <v>360</v>
      </c>
      <c r="AF1212" s="3"/>
      <c r="AG1212" s="3" t="s">
        <v>983</v>
      </c>
      <c r="AH1212" s="58">
        <v>100</v>
      </c>
      <c r="AI1212" s="3"/>
      <c r="AJ1212" s="3"/>
      <c r="AK1212" s="3"/>
      <c r="AL1212" s="3"/>
      <c r="AM1212" s="3"/>
      <c r="AN1212" s="3"/>
      <c r="AO1212" s="3"/>
      <c r="AP1212" s="3"/>
      <c r="AQ1212" s="3"/>
      <c r="AR1212" s="3"/>
      <c r="AS1212" s="3"/>
      <c r="AT1212" s="3"/>
      <c r="AU1212" s="3"/>
      <c r="AV1212" s="3"/>
      <c r="AW1212" s="3"/>
      <c r="AX1212" s="3"/>
      <c r="AY1212" s="3"/>
      <c r="AZ1212" s="4" t="s">
        <v>139</v>
      </c>
      <c r="BA1212" s="3"/>
      <c r="BB1212" s="1"/>
      <c r="BC1212" s="1"/>
    </row>
    <row r="1213" spans="1:55" s="78" customFormat="1" ht="15" customHeight="1" x14ac:dyDescent="0.25">
      <c r="A1213" s="52" t="s">
        <v>5220</v>
      </c>
      <c r="B1213" s="34" t="s">
        <v>59</v>
      </c>
      <c r="C1213" s="53">
        <v>2026</v>
      </c>
      <c r="D1213" s="53">
        <v>2026</v>
      </c>
      <c r="E1213" s="54" t="s">
        <v>3751</v>
      </c>
      <c r="F1213" s="55" t="s">
        <v>50</v>
      </c>
      <c r="G1213" s="55" t="s">
        <v>50</v>
      </c>
      <c r="H1213" s="45" t="s">
        <v>2636</v>
      </c>
      <c r="I1213" s="56" t="s">
        <v>78</v>
      </c>
      <c r="J1213" s="56"/>
      <c r="K1213" s="56" t="s">
        <v>148</v>
      </c>
      <c r="L1213" s="55"/>
      <c r="M1213" s="55"/>
      <c r="N1213" s="56" t="s">
        <v>110</v>
      </c>
      <c r="O1213" s="56" t="s">
        <v>5358</v>
      </c>
      <c r="P1213" s="56" t="s">
        <v>150</v>
      </c>
      <c r="Q1213" s="56" t="s">
        <v>57</v>
      </c>
      <c r="R1213" s="55"/>
      <c r="S1213" s="56" t="s">
        <v>58</v>
      </c>
      <c r="T1213" s="55" t="s">
        <v>81</v>
      </c>
      <c r="U1213" s="57">
        <v>-999</v>
      </c>
      <c r="V1213" s="57" t="s">
        <v>59</v>
      </c>
      <c r="W1213" s="55" t="s">
        <v>2319</v>
      </c>
      <c r="X1213" s="54" t="s">
        <v>5220</v>
      </c>
      <c r="Y1213" s="52"/>
      <c r="Z1213" s="1" t="s">
        <v>61</v>
      </c>
      <c r="AA1213" s="1" t="s">
        <v>2637</v>
      </c>
      <c r="AB1213" s="1"/>
      <c r="AC1213" s="1"/>
      <c r="AD1213" s="3" t="s">
        <v>62</v>
      </c>
      <c r="AE1213" s="1" t="s">
        <v>360</v>
      </c>
      <c r="AF1213" s="1"/>
      <c r="AG1213" s="3" t="s">
        <v>983</v>
      </c>
      <c r="AH1213" s="58">
        <v>100</v>
      </c>
      <c r="AI1213" s="1"/>
      <c r="AJ1213" s="1"/>
      <c r="AK1213" s="1"/>
      <c r="AL1213" s="1"/>
      <c r="AM1213" s="1"/>
      <c r="AN1213" s="1"/>
      <c r="AO1213" s="1"/>
      <c r="AP1213" s="1"/>
      <c r="AQ1213" s="1"/>
      <c r="AR1213" s="1"/>
      <c r="AS1213" s="1"/>
      <c r="AT1213" s="1"/>
      <c r="AU1213" s="1"/>
      <c r="AV1213" s="1"/>
      <c r="AW1213" s="1"/>
      <c r="AX1213" s="1"/>
      <c r="AY1213" s="1"/>
      <c r="AZ1213" s="4" t="s">
        <v>139</v>
      </c>
      <c r="BA1213" s="1"/>
      <c r="BB1213" s="1"/>
      <c r="BC1213" s="1"/>
    </row>
    <row r="1214" spans="1:55" s="78" customFormat="1" ht="15" customHeight="1" x14ac:dyDescent="0.25">
      <c r="A1214" s="52" t="s">
        <v>5221</v>
      </c>
      <c r="B1214" s="34" t="s">
        <v>59</v>
      </c>
      <c r="C1214" s="53">
        <v>2026</v>
      </c>
      <c r="D1214" s="53">
        <v>2026</v>
      </c>
      <c r="E1214" s="54" t="s">
        <v>3752</v>
      </c>
      <c r="F1214" s="55" t="s">
        <v>50</v>
      </c>
      <c r="G1214" s="55" t="s">
        <v>50</v>
      </c>
      <c r="H1214" s="45" t="s">
        <v>3735</v>
      </c>
      <c r="I1214" s="56" t="s">
        <v>52</v>
      </c>
      <c r="J1214" s="56"/>
      <c r="K1214" s="56" t="s">
        <v>540</v>
      </c>
      <c r="L1214" s="55" t="str">
        <f>IF(K1214="Mine or Quarry","Mine","")</f>
        <v/>
      </c>
      <c r="M1214" s="55"/>
      <c r="N1214" s="56" t="s">
        <v>541</v>
      </c>
      <c r="O1214" s="56" t="s">
        <v>2639</v>
      </c>
      <c r="P1214" s="56" t="s">
        <v>543</v>
      </c>
      <c r="Q1214" s="56" t="s">
        <v>57</v>
      </c>
      <c r="R1214" s="55"/>
      <c r="S1214" s="56" t="s">
        <v>58</v>
      </c>
      <c r="T1214" s="55" t="s">
        <v>58</v>
      </c>
      <c r="U1214" s="57">
        <v>8000</v>
      </c>
      <c r="V1214" s="57" t="s">
        <v>101</v>
      </c>
      <c r="W1214" s="55"/>
      <c r="X1214" s="54" t="s">
        <v>5221</v>
      </c>
      <c r="Y1214" s="52"/>
      <c r="Z1214" s="1" t="s">
        <v>61</v>
      </c>
      <c r="AA1214" s="1" t="s">
        <v>2640</v>
      </c>
      <c r="AB1214" s="1"/>
      <c r="AC1214" s="1"/>
      <c r="AD1214" s="3" t="s">
        <v>62</v>
      </c>
      <c r="AE1214" s="1" t="s">
        <v>464</v>
      </c>
      <c r="AF1214" s="1" t="s">
        <v>2641</v>
      </c>
      <c r="AG1214" s="1" t="s">
        <v>2642</v>
      </c>
      <c r="AH1214" s="1"/>
      <c r="AI1214" s="1"/>
      <c r="AJ1214" s="1"/>
      <c r="AK1214" s="1"/>
      <c r="AL1214" s="1"/>
      <c r="AM1214" s="1"/>
      <c r="AN1214" s="1"/>
      <c r="AO1214" s="1"/>
      <c r="AP1214" s="1"/>
      <c r="AQ1214" s="1"/>
      <c r="AR1214" s="1"/>
      <c r="AS1214" s="1"/>
      <c r="AT1214" s="1"/>
      <c r="AU1214" s="1"/>
      <c r="AV1214" s="1"/>
      <c r="AW1214" s="1"/>
      <c r="AX1214" s="1"/>
      <c r="AY1214" s="1"/>
      <c r="AZ1214" s="4" t="s">
        <v>2638</v>
      </c>
      <c r="BA1214" s="1"/>
      <c r="BB1214" s="1"/>
      <c r="BC1214" s="1"/>
    </row>
    <row r="1215" spans="1:55" s="78" customFormat="1" ht="15" customHeight="1" x14ac:dyDescent="0.25">
      <c r="A1215" s="52" t="s">
        <v>5222</v>
      </c>
      <c r="B1215" s="34" t="s">
        <v>59</v>
      </c>
      <c r="C1215" s="53">
        <v>2026</v>
      </c>
      <c r="D1215" s="53">
        <v>2026</v>
      </c>
      <c r="E1215" s="54" t="s">
        <v>3753</v>
      </c>
      <c r="F1215" s="55" t="s">
        <v>50</v>
      </c>
      <c r="G1215" s="55" t="s">
        <v>50</v>
      </c>
      <c r="H1215" s="45" t="s">
        <v>2644</v>
      </c>
      <c r="I1215" s="56" t="s">
        <v>52</v>
      </c>
      <c r="J1215" s="56"/>
      <c r="K1215" s="56" t="s">
        <v>582</v>
      </c>
      <c r="L1215" s="55" t="s">
        <v>317</v>
      </c>
      <c r="M1215" s="55" t="s">
        <v>113</v>
      </c>
      <c r="N1215" s="56" t="s">
        <v>141</v>
      </c>
      <c r="O1215" s="56"/>
      <c r="P1215" s="61" t="s">
        <v>583</v>
      </c>
      <c r="Q1215" s="61" t="s">
        <v>57</v>
      </c>
      <c r="R1215" s="55"/>
      <c r="S1215" s="56" t="s">
        <v>81</v>
      </c>
      <c r="T1215" s="55" t="str">
        <f>IF(ISNUMBER(SEARCH(",",N1215)),"Y","N")</f>
        <v>N</v>
      </c>
      <c r="U1215" s="57">
        <v>110000</v>
      </c>
      <c r="V1215" s="57" t="s">
        <v>101</v>
      </c>
      <c r="W1215" s="55" t="s">
        <v>2319</v>
      </c>
      <c r="X1215" s="54" t="s">
        <v>5222</v>
      </c>
      <c r="Y1215" s="52"/>
      <c r="Z1215" s="2" t="s">
        <v>61</v>
      </c>
      <c r="AA1215" s="1" t="s">
        <v>2645</v>
      </c>
      <c r="AB1215" s="1"/>
      <c r="AC1215" s="1"/>
      <c r="AD1215" s="3" t="s">
        <v>62</v>
      </c>
      <c r="AE1215" s="2" t="s">
        <v>131</v>
      </c>
      <c r="AF1215" s="2"/>
      <c r="AG1215" s="3" t="s">
        <v>2646</v>
      </c>
      <c r="AH1215" s="58">
        <v>100</v>
      </c>
      <c r="AI1215" s="1"/>
      <c r="AJ1215" s="1"/>
      <c r="AK1215" s="1"/>
      <c r="AL1215" s="1"/>
      <c r="AM1215" s="1"/>
      <c r="AN1215" s="1"/>
      <c r="AO1215" s="1"/>
      <c r="AP1215" s="1"/>
      <c r="AQ1215" s="1"/>
      <c r="AR1215" s="1"/>
      <c r="AS1215" s="1"/>
      <c r="AT1215" s="1"/>
      <c r="AU1215" s="1"/>
      <c r="AV1215" s="1"/>
      <c r="AW1215" s="1"/>
      <c r="AX1215" s="1"/>
      <c r="AY1215" s="1"/>
      <c r="AZ1215" s="4" t="s">
        <v>2643</v>
      </c>
      <c r="BA1215" s="1"/>
      <c r="BB1215" s="1"/>
      <c r="BC1215" s="1"/>
    </row>
    <row r="1216" spans="1:55" s="78" customFormat="1" ht="15" customHeight="1" x14ac:dyDescent="0.25">
      <c r="A1216" s="52" t="s">
        <v>5223</v>
      </c>
      <c r="B1216" s="34" t="s">
        <v>59</v>
      </c>
      <c r="C1216" s="53">
        <v>2026</v>
      </c>
      <c r="D1216" s="53">
        <v>2026</v>
      </c>
      <c r="E1216" s="54" t="s">
        <v>3754</v>
      </c>
      <c r="F1216" s="55" t="s">
        <v>50</v>
      </c>
      <c r="G1216" s="55" t="s">
        <v>50</v>
      </c>
      <c r="H1216" s="45" t="s">
        <v>2648</v>
      </c>
      <c r="I1216" s="45" t="s">
        <v>52</v>
      </c>
      <c r="J1216" s="56"/>
      <c r="K1216" s="55" t="s">
        <v>210</v>
      </c>
      <c r="L1216" s="55" t="s">
        <v>54</v>
      </c>
      <c r="M1216" s="55"/>
      <c r="N1216" s="55" t="s">
        <v>212</v>
      </c>
      <c r="O1216" s="55" t="s">
        <v>603</v>
      </c>
      <c r="P1216" s="55" t="s">
        <v>89</v>
      </c>
      <c r="Q1216" s="55" t="s">
        <v>89</v>
      </c>
      <c r="R1216" s="55"/>
      <c r="S1216" s="56" t="s">
        <v>81</v>
      </c>
      <c r="T1216" s="55" t="s">
        <v>81</v>
      </c>
      <c r="U1216" s="57">
        <v>-999</v>
      </c>
      <c r="V1216" s="57" t="s">
        <v>59</v>
      </c>
      <c r="W1216" s="55" t="s">
        <v>2319</v>
      </c>
      <c r="X1216" s="54" t="s">
        <v>5223</v>
      </c>
      <c r="Y1216" s="52"/>
      <c r="Z1216" s="3" t="s">
        <v>61</v>
      </c>
      <c r="AA1216" s="1" t="s">
        <v>2649</v>
      </c>
      <c r="AB1216" s="1"/>
      <c r="AC1216" s="1"/>
      <c r="AD1216" s="3" t="s">
        <v>62</v>
      </c>
      <c r="AE1216" s="3" t="s">
        <v>192</v>
      </c>
      <c r="AF1216" s="3"/>
      <c r="AG1216" s="1" t="s">
        <v>215</v>
      </c>
      <c r="AH1216" s="2">
        <v>100</v>
      </c>
      <c r="AI1216" s="1"/>
      <c r="AJ1216" s="2"/>
      <c r="AK1216" s="3"/>
      <c r="AL1216" s="3"/>
      <c r="AM1216" s="3"/>
      <c r="AN1216" s="3"/>
      <c r="AO1216" s="3"/>
      <c r="AP1216" s="3"/>
      <c r="AQ1216" s="3"/>
      <c r="AR1216" s="3"/>
      <c r="AS1216" s="3"/>
      <c r="AT1216" s="3"/>
      <c r="AU1216" s="3"/>
      <c r="AV1216" s="3"/>
      <c r="AW1216" s="3"/>
      <c r="AX1216" s="3"/>
      <c r="AY1216" s="3"/>
      <c r="AZ1216" s="4" t="s">
        <v>2647</v>
      </c>
      <c r="BA1216" s="3"/>
      <c r="BB1216" s="1"/>
      <c r="BC1216" s="1"/>
    </row>
    <row r="1217" spans="1:55" s="78" customFormat="1" ht="15" customHeight="1" x14ac:dyDescent="0.25">
      <c r="A1217" s="52" t="s">
        <v>5224</v>
      </c>
      <c r="B1217" s="34" t="s">
        <v>59</v>
      </c>
      <c r="C1217" s="53">
        <v>2026</v>
      </c>
      <c r="D1217" s="53">
        <v>2026</v>
      </c>
      <c r="E1217" s="54" t="s">
        <v>3755</v>
      </c>
      <c r="F1217" s="55" t="s">
        <v>50</v>
      </c>
      <c r="G1217" s="55" t="s">
        <v>50</v>
      </c>
      <c r="H1217" s="45" t="s">
        <v>2650</v>
      </c>
      <c r="I1217" s="56" t="s">
        <v>52</v>
      </c>
      <c r="J1217" s="56"/>
      <c r="K1217" s="56" t="s">
        <v>74</v>
      </c>
      <c r="L1217" s="55"/>
      <c r="M1217" s="55"/>
      <c r="N1217" s="55" t="s">
        <v>110</v>
      </c>
      <c r="O1217" s="56" t="s">
        <v>296</v>
      </c>
      <c r="P1217" s="55" t="s">
        <v>75</v>
      </c>
      <c r="Q1217" s="56" t="s">
        <v>57</v>
      </c>
      <c r="R1217" s="55"/>
      <c r="S1217" s="56" t="s">
        <v>58</v>
      </c>
      <c r="T1217" s="55" t="str">
        <f>IF(ISNUMBER(SEARCH(",",N1217)),"Y","N")</f>
        <v>N</v>
      </c>
      <c r="U1217" s="57">
        <v>45</v>
      </c>
      <c r="V1217" s="57" t="s">
        <v>101</v>
      </c>
      <c r="W1217" s="55"/>
      <c r="X1217" s="54" t="s">
        <v>5224</v>
      </c>
      <c r="Y1217" s="52"/>
      <c r="Z1217" s="1" t="s">
        <v>61</v>
      </c>
      <c r="AA1217" s="3" t="s">
        <v>2651</v>
      </c>
      <c r="AB1217" s="3"/>
      <c r="AC1217" s="3"/>
      <c r="AD1217" s="3" t="s">
        <v>62</v>
      </c>
      <c r="AE1217" s="3" t="s">
        <v>83</v>
      </c>
      <c r="AF1217" s="1" t="s">
        <v>431</v>
      </c>
      <c r="AG1217" s="1" t="s">
        <v>432</v>
      </c>
      <c r="AH1217" s="53">
        <v>61.5</v>
      </c>
      <c r="AI1217" s="1" t="s">
        <v>433</v>
      </c>
      <c r="AJ1217" s="59">
        <v>38.5</v>
      </c>
      <c r="AK1217" s="1"/>
      <c r="AL1217" s="60"/>
      <c r="AM1217" s="1"/>
      <c r="AN1217" s="60"/>
      <c r="AO1217" s="1"/>
      <c r="AP1217" s="60"/>
      <c r="AQ1217" s="1"/>
      <c r="AR1217" s="60"/>
      <c r="AS1217" s="1"/>
      <c r="AT1217" s="60"/>
      <c r="AU1217" s="1"/>
      <c r="AV1217" s="60"/>
      <c r="AW1217" s="1"/>
      <c r="AX1217" s="60"/>
      <c r="AY1217" s="1"/>
      <c r="AZ1217" s="1" t="s">
        <v>2653</v>
      </c>
      <c r="BA1217" s="1" t="s">
        <v>3946</v>
      </c>
      <c r="BB1217" s="1" t="s">
        <v>3947</v>
      </c>
      <c r="BC1217" s="1" t="s">
        <v>3864</v>
      </c>
    </row>
    <row r="1218" spans="1:55" s="78" customFormat="1" ht="15" customHeight="1" x14ac:dyDescent="0.25">
      <c r="A1218" s="52" t="s">
        <v>5225</v>
      </c>
      <c r="B1218" s="34" t="s">
        <v>59</v>
      </c>
      <c r="C1218" s="53">
        <v>2026</v>
      </c>
      <c r="D1218" s="53">
        <v>2026</v>
      </c>
      <c r="E1218" s="54" t="s">
        <v>3755</v>
      </c>
      <c r="F1218" s="55" t="s">
        <v>50</v>
      </c>
      <c r="G1218" s="55" t="s">
        <v>50</v>
      </c>
      <c r="H1218" s="45" t="s">
        <v>2650</v>
      </c>
      <c r="I1218" s="56" t="s">
        <v>52</v>
      </c>
      <c r="J1218" s="56"/>
      <c r="K1218" s="56" t="s">
        <v>71</v>
      </c>
      <c r="L1218" s="55" t="str">
        <f>IF(K1218="Mine or Quarry","Mine","")</f>
        <v/>
      </c>
      <c r="M1218" s="55"/>
      <c r="N1218" s="55" t="s">
        <v>110</v>
      </c>
      <c r="O1218" s="45" t="s">
        <v>296</v>
      </c>
      <c r="P1218" s="55" t="s">
        <v>73</v>
      </c>
      <c r="Q1218" s="55" t="s">
        <v>57</v>
      </c>
      <c r="R1218" s="55"/>
      <c r="S1218" s="56" t="s">
        <v>58</v>
      </c>
      <c r="T1218" s="55" t="str">
        <f>IF(ISNUMBER(SEARCH(",",N1218)),"Y","N")</f>
        <v>N</v>
      </c>
      <c r="U1218" s="57">
        <v>227</v>
      </c>
      <c r="V1218" s="57" t="s">
        <v>101</v>
      </c>
      <c r="W1218" s="55"/>
      <c r="X1218" s="54" t="s">
        <v>5225</v>
      </c>
      <c r="Y1218" s="52"/>
      <c r="Z1218" s="1" t="s">
        <v>61</v>
      </c>
      <c r="AA1218" s="3" t="s">
        <v>2651</v>
      </c>
      <c r="AB1218" s="3"/>
      <c r="AC1218" s="3"/>
      <c r="AD1218" s="3" t="s">
        <v>62</v>
      </c>
      <c r="AE1218" s="1" t="s">
        <v>83</v>
      </c>
      <c r="AF1218" s="1" t="s">
        <v>431</v>
      </c>
      <c r="AG1218" s="1" t="s">
        <v>432</v>
      </c>
      <c r="AH1218" s="53">
        <v>61.5</v>
      </c>
      <c r="AI1218" s="1" t="s">
        <v>433</v>
      </c>
      <c r="AJ1218" s="59">
        <v>38.5</v>
      </c>
      <c r="AK1218" s="3"/>
      <c r="AL1218" s="53"/>
      <c r="AM1218" s="3"/>
      <c r="AN1218" s="53"/>
      <c r="AO1218" s="3"/>
      <c r="AP1218" s="53"/>
      <c r="AQ1218" s="3"/>
      <c r="AR1218" s="53"/>
      <c r="AS1218" s="3"/>
      <c r="AT1218" s="53"/>
      <c r="AU1218" s="3"/>
      <c r="AV1218" s="53"/>
      <c r="AW1218" s="3"/>
      <c r="AX1218" s="53"/>
      <c r="AY1218" s="3"/>
      <c r="AZ1218" s="1" t="s">
        <v>2653</v>
      </c>
      <c r="BA1218" s="3" t="s">
        <v>3946</v>
      </c>
      <c r="BB1218" s="1" t="s">
        <v>3947</v>
      </c>
      <c r="BC1218" s="1"/>
    </row>
    <row r="1219" spans="1:55" s="78" customFormat="1" ht="15" customHeight="1" x14ac:dyDescent="0.25">
      <c r="A1219" s="52" t="s">
        <v>5226</v>
      </c>
      <c r="B1219" s="34" t="s">
        <v>59</v>
      </c>
      <c r="C1219" s="53">
        <v>2026</v>
      </c>
      <c r="D1219" s="53">
        <v>2026</v>
      </c>
      <c r="E1219" s="54" t="s">
        <v>3756</v>
      </c>
      <c r="F1219" s="55" t="s">
        <v>50</v>
      </c>
      <c r="G1219" s="55" t="s">
        <v>50</v>
      </c>
      <c r="H1219" s="45" t="s">
        <v>2652</v>
      </c>
      <c r="I1219" s="56" t="s">
        <v>78</v>
      </c>
      <c r="J1219" s="56"/>
      <c r="K1219" s="55" t="s">
        <v>71</v>
      </c>
      <c r="L1219" s="55" t="s">
        <v>88</v>
      </c>
      <c r="M1219" s="55"/>
      <c r="N1219" s="55" t="s">
        <v>181</v>
      </c>
      <c r="O1219" s="55"/>
      <c r="P1219" s="55" t="s">
        <v>73</v>
      </c>
      <c r="Q1219" s="55" t="s">
        <v>57</v>
      </c>
      <c r="R1219" s="55"/>
      <c r="S1219" s="56" t="s">
        <v>58</v>
      </c>
      <c r="T1219" s="55" t="s">
        <v>81</v>
      </c>
      <c r="U1219" s="57">
        <v>15.397</v>
      </c>
      <c r="V1219" s="57" t="s">
        <v>101</v>
      </c>
      <c r="W1219" s="55"/>
      <c r="X1219" s="54" t="s">
        <v>5226</v>
      </c>
      <c r="Y1219" s="52"/>
      <c r="Z1219" s="1" t="s">
        <v>61</v>
      </c>
      <c r="AA1219" s="3" t="s">
        <v>2651</v>
      </c>
      <c r="AB1219" s="3"/>
      <c r="AC1219" s="3"/>
      <c r="AD1219" s="3" t="s">
        <v>62</v>
      </c>
      <c r="AE1219" s="3" t="s">
        <v>83</v>
      </c>
      <c r="AF1219" s="1" t="s">
        <v>431</v>
      </c>
      <c r="AG1219" s="1" t="s">
        <v>432</v>
      </c>
      <c r="AH1219" s="53">
        <v>61.5</v>
      </c>
      <c r="AI1219" s="1" t="s">
        <v>433</v>
      </c>
      <c r="AJ1219" s="59">
        <v>38.5</v>
      </c>
      <c r="AK1219" s="3"/>
      <c r="AL1219" s="53"/>
      <c r="AM1219" s="3"/>
      <c r="AN1219" s="53"/>
      <c r="AO1219" s="3"/>
      <c r="AP1219" s="53"/>
      <c r="AQ1219" s="3"/>
      <c r="AR1219" s="53"/>
      <c r="AS1219" s="3"/>
      <c r="AT1219" s="53"/>
      <c r="AU1219" s="3"/>
      <c r="AV1219" s="53"/>
      <c r="AW1219" s="3"/>
      <c r="AX1219" s="53"/>
      <c r="AY1219" s="3"/>
      <c r="AZ1219" s="1" t="s">
        <v>2653</v>
      </c>
      <c r="BA1219" s="3" t="s">
        <v>3946</v>
      </c>
      <c r="BB1219" s="1"/>
      <c r="BC1219" s="1"/>
    </row>
    <row r="1220" spans="1:55" s="78" customFormat="1" ht="15" customHeight="1" x14ac:dyDescent="0.25">
      <c r="A1220" s="52" t="s">
        <v>5227</v>
      </c>
      <c r="B1220" s="34" t="s">
        <v>59</v>
      </c>
      <c r="C1220" s="53">
        <v>2026</v>
      </c>
      <c r="D1220" s="53">
        <v>2026</v>
      </c>
      <c r="E1220" s="54" t="s">
        <v>3756</v>
      </c>
      <c r="F1220" s="55" t="s">
        <v>50</v>
      </c>
      <c r="G1220" s="55" t="s">
        <v>50</v>
      </c>
      <c r="H1220" s="45" t="s">
        <v>2652</v>
      </c>
      <c r="I1220" s="56" t="s">
        <v>78</v>
      </c>
      <c r="J1220" s="56"/>
      <c r="K1220" s="56" t="s">
        <v>74</v>
      </c>
      <c r="L1220" s="55" t="s">
        <v>88</v>
      </c>
      <c r="M1220" s="55"/>
      <c r="N1220" s="55" t="s">
        <v>181</v>
      </c>
      <c r="O1220" s="55"/>
      <c r="P1220" s="55" t="s">
        <v>75</v>
      </c>
      <c r="Q1220" s="56" t="s">
        <v>57</v>
      </c>
      <c r="R1220" s="55"/>
      <c r="S1220" s="56" t="s">
        <v>58</v>
      </c>
      <c r="T1220" s="55" t="str">
        <f>IF(ISNUMBER(SEARCH(",",N1220)),"Y","N")</f>
        <v>N</v>
      </c>
      <c r="U1220" s="57">
        <v>2.6909999999999998</v>
      </c>
      <c r="V1220" s="57" t="s">
        <v>101</v>
      </c>
      <c r="W1220" s="55"/>
      <c r="X1220" s="54" t="s">
        <v>5227</v>
      </c>
      <c r="Y1220" s="52"/>
      <c r="Z1220" s="1" t="s">
        <v>61</v>
      </c>
      <c r="AA1220" s="3" t="s">
        <v>2651</v>
      </c>
      <c r="AB1220" s="3"/>
      <c r="AC1220" s="3"/>
      <c r="AD1220" s="3" t="s">
        <v>62</v>
      </c>
      <c r="AE1220" s="3" t="s">
        <v>83</v>
      </c>
      <c r="AF1220" s="1" t="s">
        <v>431</v>
      </c>
      <c r="AG1220" s="1" t="s">
        <v>432</v>
      </c>
      <c r="AH1220" s="59">
        <v>61.5</v>
      </c>
      <c r="AI1220" s="1" t="s">
        <v>433</v>
      </c>
      <c r="AJ1220" s="59">
        <v>38.5</v>
      </c>
      <c r="AK1220" s="3"/>
      <c r="AL1220" s="53"/>
      <c r="AM1220" s="3"/>
      <c r="AN1220" s="53"/>
      <c r="AO1220" s="3"/>
      <c r="AP1220" s="53"/>
      <c r="AQ1220" s="3"/>
      <c r="AR1220" s="53"/>
      <c r="AS1220" s="3"/>
      <c r="AT1220" s="53"/>
      <c r="AU1220" s="3"/>
      <c r="AV1220" s="53"/>
      <c r="AW1220" s="3"/>
      <c r="AX1220" s="53"/>
      <c r="AY1220" s="3"/>
      <c r="AZ1220" s="1" t="s">
        <v>2653</v>
      </c>
      <c r="BA1220" s="5"/>
      <c r="BB1220" s="1"/>
      <c r="BC1220" s="1"/>
    </row>
    <row r="1221" spans="1:55" s="78" customFormat="1" ht="15" customHeight="1" x14ac:dyDescent="0.25">
      <c r="A1221" s="52" t="s">
        <v>5228</v>
      </c>
      <c r="B1221" s="34" t="s">
        <v>59</v>
      </c>
      <c r="C1221" s="53">
        <v>2026</v>
      </c>
      <c r="D1221" s="53">
        <v>2026</v>
      </c>
      <c r="E1221" s="54" t="s">
        <v>3757</v>
      </c>
      <c r="F1221" s="55" t="s">
        <v>50</v>
      </c>
      <c r="G1221" s="55" t="s">
        <v>50</v>
      </c>
      <c r="H1221" s="45" t="s">
        <v>2656</v>
      </c>
      <c r="I1221" s="56" t="s">
        <v>78</v>
      </c>
      <c r="J1221" s="56"/>
      <c r="K1221" s="55" t="s">
        <v>53</v>
      </c>
      <c r="L1221" s="55" t="str">
        <f>IF(K1221="Mine or Quarry","Mine","")</f>
        <v/>
      </c>
      <c r="M1221" s="55"/>
      <c r="N1221" s="56" t="s">
        <v>5386</v>
      </c>
      <c r="O1221" s="55"/>
      <c r="P1221" s="55" t="s">
        <v>56</v>
      </c>
      <c r="Q1221" s="55" t="s">
        <v>57</v>
      </c>
      <c r="R1221" s="55"/>
      <c r="S1221" s="56" t="s">
        <v>58</v>
      </c>
      <c r="T1221" s="55" t="str">
        <f>IF(ISNUMBER(SEARCH(",",N1221)),"Y","N")</f>
        <v>N</v>
      </c>
      <c r="U1221" s="57">
        <v>45000</v>
      </c>
      <c r="V1221" s="57" t="s">
        <v>101</v>
      </c>
      <c r="W1221" s="55"/>
      <c r="X1221" s="54" t="s">
        <v>5228</v>
      </c>
      <c r="Y1221" s="52"/>
      <c r="Z1221" s="3" t="s">
        <v>61</v>
      </c>
      <c r="AA1221" s="3" t="s">
        <v>2654</v>
      </c>
      <c r="AB1221" s="3"/>
      <c r="AC1221" s="3"/>
      <c r="AD1221" s="3" t="s">
        <v>62</v>
      </c>
      <c r="AE1221" s="3" t="s">
        <v>718</v>
      </c>
      <c r="AF1221" s="3"/>
      <c r="AG1221" s="1" t="s">
        <v>109</v>
      </c>
      <c r="AH1221" s="58">
        <v>100</v>
      </c>
      <c r="AI1221" s="3"/>
      <c r="AJ1221" s="3"/>
      <c r="AK1221" s="3"/>
      <c r="AL1221" s="3"/>
      <c r="AM1221" s="3"/>
      <c r="AN1221" s="3"/>
      <c r="AO1221" s="3"/>
      <c r="AP1221" s="3"/>
      <c r="AQ1221" s="3"/>
      <c r="AR1221" s="3"/>
      <c r="AS1221" s="3"/>
      <c r="AT1221" s="3"/>
      <c r="AU1221" s="3"/>
      <c r="AV1221" s="3"/>
      <c r="AW1221" s="3"/>
      <c r="AX1221" s="3"/>
      <c r="AY1221" s="3"/>
      <c r="AZ1221" s="4" t="s">
        <v>320</v>
      </c>
      <c r="BA1221" s="3"/>
      <c r="BB1221" s="1"/>
      <c r="BC1221" s="1"/>
    </row>
    <row r="1222" spans="1:55" s="78" customFormat="1" ht="15" customHeight="1" x14ac:dyDescent="0.25">
      <c r="A1222" s="52" t="s">
        <v>5229</v>
      </c>
      <c r="B1222" s="34" t="s">
        <v>59</v>
      </c>
      <c r="C1222" s="53">
        <v>2026</v>
      </c>
      <c r="D1222" s="53">
        <v>2026</v>
      </c>
      <c r="E1222" s="54" t="s">
        <v>3757</v>
      </c>
      <c r="F1222" s="55" t="s">
        <v>50</v>
      </c>
      <c r="G1222" s="55" t="s">
        <v>50</v>
      </c>
      <c r="H1222" s="45" t="s">
        <v>2656</v>
      </c>
      <c r="I1222" s="56" t="s">
        <v>78</v>
      </c>
      <c r="J1222" s="55"/>
      <c r="K1222" s="56" t="s">
        <v>74</v>
      </c>
      <c r="L1222" s="55"/>
      <c r="M1222" s="55"/>
      <c r="N1222" s="55" t="s">
        <v>110</v>
      </c>
      <c r="O1222" s="56"/>
      <c r="P1222" s="55" t="s">
        <v>75</v>
      </c>
      <c r="Q1222" s="56" t="s">
        <v>57</v>
      </c>
      <c r="R1222" s="62"/>
      <c r="S1222" s="55" t="s">
        <v>58</v>
      </c>
      <c r="T1222" s="55" t="s">
        <v>81</v>
      </c>
      <c r="U1222" s="57">
        <v>-999</v>
      </c>
      <c r="V1222" s="57" t="s">
        <v>59</v>
      </c>
      <c r="W1222" s="55"/>
      <c r="X1222" s="54" t="s">
        <v>5229</v>
      </c>
      <c r="Y1222" s="52"/>
      <c r="Z1222" s="1" t="s">
        <v>61</v>
      </c>
      <c r="AA1222" s="3" t="s">
        <v>2654</v>
      </c>
      <c r="AB1222" s="3"/>
      <c r="AC1222" s="3"/>
      <c r="AD1222" s="3" t="s">
        <v>62</v>
      </c>
      <c r="AE1222" s="3" t="s">
        <v>718</v>
      </c>
      <c r="AF1222" s="1"/>
      <c r="AG1222" s="1" t="s">
        <v>109</v>
      </c>
      <c r="AH1222" s="58">
        <v>100</v>
      </c>
      <c r="AI1222" s="3"/>
      <c r="AJ1222" s="3"/>
      <c r="AK1222" s="3"/>
      <c r="AL1222" s="3"/>
      <c r="AM1222" s="3"/>
      <c r="AN1222" s="3"/>
      <c r="AO1222" s="3"/>
      <c r="AP1222" s="3"/>
      <c r="AQ1222" s="3"/>
      <c r="AR1222" s="3"/>
      <c r="AS1222" s="3"/>
      <c r="AT1222" s="3"/>
      <c r="AU1222" s="1"/>
      <c r="AV1222" s="1"/>
      <c r="AW1222" s="1"/>
      <c r="AX1222" s="1"/>
      <c r="AY1222" s="1"/>
      <c r="AZ1222" s="4" t="s">
        <v>2655</v>
      </c>
      <c r="BA1222" s="5"/>
      <c r="BB1222" s="1"/>
      <c r="BC1222" s="1"/>
    </row>
    <row r="1223" spans="1:55" s="78" customFormat="1" ht="15" customHeight="1" x14ac:dyDescent="0.25">
      <c r="A1223" s="52" t="s">
        <v>5230</v>
      </c>
      <c r="B1223" s="34" t="s">
        <v>59</v>
      </c>
      <c r="C1223" s="53">
        <v>2026</v>
      </c>
      <c r="D1223" s="53">
        <v>2026</v>
      </c>
      <c r="E1223" s="54" t="s">
        <v>3758</v>
      </c>
      <c r="F1223" s="55" t="s">
        <v>50</v>
      </c>
      <c r="G1223" s="55" t="s">
        <v>50</v>
      </c>
      <c r="H1223" s="45" t="s">
        <v>2657</v>
      </c>
      <c r="I1223" s="56" t="s">
        <v>52</v>
      </c>
      <c r="J1223" s="56"/>
      <c r="K1223" s="56" t="s">
        <v>53</v>
      </c>
      <c r="L1223" s="55" t="str">
        <f>IF(K1223="Mine or Quarry","Mine","")</f>
        <v/>
      </c>
      <c r="M1223" s="55"/>
      <c r="N1223" s="56" t="s">
        <v>327</v>
      </c>
      <c r="O1223" s="56"/>
      <c r="P1223" s="55" t="s">
        <v>56</v>
      </c>
      <c r="Q1223" s="55" t="s">
        <v>57</v>
      </c>
      <c r="R1223" s="55"/>
      <c r="S1223" s="56" t="s">
        <v>81</v>
      </c>
      <c r="T1223" s="55" t="str">
        <f>IF(ISNUMBER(SEARCH(",",N1223)),"Y","N")</f>
        <v>N</v>
      </c>
      <c r="U1223" s="57">
        <v>45000</v>
      </c>
      <c r="V1223" s="57" t="s">
        <v>101</v>
      </c>
      <c r="W1223" s="55"/>
      <c r="X1223" s="54" t="s">
        <v>5230</v>
      </c>
      <c r="Y1223" s="52"/>
      <c r="Z1223" s="2" t="s">
        <v>61</v>
      </c>
      <c r="AA1223" s="3" t="s">
        <v>2654</v>
      </c>
      <c r="AB1223" s="3"/>
      <c r="AC1223" s="3"/>
      <c r="AD1223" s="3" t="s">
        <v>62</v>
      </c>
      <c r="AE1223" s="2" t="s">
        <v>718</v>
      </c>
      <c r="AF1223" s="2"/>
      <c r="AG1223" s="1" t="s">
        <v>109</v>
      </c>
      <c r="AH1223" s="58">
        <v>100</v>
      </c>
      <c r="AI1223" s="1"/>
      <c r="AJ1223" s="1"/>
      <c r="AK1223" s="1"/>
      <c r="AL1223" s="1"/>
      <c r="AM1223" s="1"/>
      <c r="AN1223" s="1"/>
      <c r="AO1223" s="1"/>
      <c r="AP1223" s="1"/>
      <c r="AQ1223" s="1"/>
      <c r="AR1223" s="1"/>
      <c r="AS1223" s="1"/>
      <c r="AT1223" s="1"/>
      <c r="AU1223" s="1"/>
      <c r="AV1223" s="1"/>
      <c r="AW1223" s="1"/>
      <c r="AX1223" s="1"/>
      <c r="AY1223" s="1"/>
      <c r="AZ1223" s="2" t="s">
        <v>3948</v>
      </c>
      <c r="BA1223" s="1"/>
      <c r="BB1223" s="1"/>
      <c r="BC1223" s="1"/>
    </row>
    <row r="1224" spans="1:55" s="78" customFormat="1" ht="15" customHeight="1" x14ac:dyDescent="0.25">
      <c r="A1224" s="52" t="s">
        <v>5231</v>
      </c>
      <c r="B1224" s="34" t="s">
        <v>59</v>
      </c>
      <c r="C1224" s="53">
        <v>2026</v>
      </c>
      <c r="D1224" s="53">
        <v>2026</v>
      </c>
      <c r="E1224" s="54" t="s">
        <v>3759</v>
      </c>
      <c r="F1224" s="55" t="s">
        <v>50</v>
      </c>
      <c r="G1224" s="55" t="s">
        <v>50</v>
      </c>
      <c r="H1224" s="45" t="s">
        <v>2658</v>
      </c>
      <c r="I1224" s="56" t="s">
        <v>52</v>
      </c>
      <c r="J1224" s="56"/>
      <c r="K1224" s="56" t="s">
        <v>1019</v>
      </c>
      <c r="L1224" s="55"/>
      <c r="M1224" s="55"/>
      <c r="N1224" s="56"/>
      <c r="O1224" s="56" t="s">
        <v>1025</v>
      </c>
      <c r="P1224" s="56" t="s">
        <v>89</v>
      </c>
      <c r="Q1224" s="56" t="s">
        <v>89</v>
      </c>
      <c r="R1224" s="55"/>
      <c r="S1224" s="56" t="s">
        <v>81</v>
      </c>
      <c r="T1224" s="55" t="s">
        <v>81</v>
      </c>
      <c r="U1224" s="57">
        <v>-999</v>
      </c>
      <c r="V1224" s="57" t="s">
        <v>59</v>
      </c>
      <c r="W1224" s="55" t="s">
        <v>2319</v>
      </c>
      <c r="X1224" s="54" t="s">
        <v>5231</v>
      </c>
      <c r="Y1224" s="52"/>
      <c r="Z1224" s="1" t="s">
        <v>61</v>
      </c>
      <c r="AA1224" s="1" t="s">
        <v>1471</v>
      </c>
      <c r="AB1224" s="1"/>
      <c r="AC1224" s="1"/>
      <c r="AD1224" s="3" t="s">
        <v>62</v>
      </c>
      <c r="AE1224" s="1" t="s">
        <v>506</v>
      </c>
      <c r="AF1224" s="1"/>
      <c r="AG1224" s="1" t="s">
        <v>2659</v>
      </c>
      <c r="AH1224" s="2">
        <v>100</v>
      </c>
      <c r="AI1224" s="1"/>
      <c r="AJ1224" s="1"/>
      <c r="AK1224" s="1"/>
      <c r="AL1224" s="1"/>
      <c r="AM1224" s="1"/>
      <c r="AN1224" s="1"/>
      <c r="AO1224" s="1"/>
      <c r="AP1224" s="1"/>
      <c r="AQ1224" s="1"/>
      <c r="AR1224" s="1"/>
      <c r="AS1224" s="1"/>
      <c r="AT1224" s="1"/>
      <c r="AU1224" s="1"/>
      <c r="AV1224" s="1"/>
      <c r="AW1224" s="1"/>
      <c r="AX1224" s="1"/>
      <c r="AY1224" s="1"/>
      <c r="AZ1224" s="4" t="s">
        <v>1017</v>
      </c>
      <c r="BA1224" s="1"/>
      <c r="BB1224" s="1"/>
      <c r="BC1224" s="1"/>
    </row>
    <row r="1225" spans="1:55" s="78" customFormat="1" ht="15" customHeight="1" x14ac:dyDescent="0.25">
      <c r="A1225" s="52" t="s">
        <v>5232</v>
      </c>
      <c r="B1225" s="34" t="s">
        <v>59</v>
      </c>
      <c r="C1225" s="53">
        <v>2026</v>
      </c>
      <c r="D1225" s="53">
        <v>2026</v>
      </c>
      <c r="E1225" s="54" t="s">
        <v>3760</v>
      </c>
      <c r="F1225" s="55" t="s">
        <v>50</v>
      </c>
      <c r="G1225" s="55" t="s">
        <v>50</v>
      </c>
      <c r="H1225" s="45" t="s">
        <v>2661</v>
      </c>
      <c r="I1225" s="45" t="s">
        <v>52</v>
      </c>
      <c r="J1225" s="56"/>
      <c r="K1225" s="55" t="s">
        <v>71</v>
      </c>
      <c r="L1225" s="55" t="str">
        <f>IF(K1225="Mine or Quarry","Mine","")</f>
        <v/>
      </c>
      <c r="M1225" s="55"/>
      <c r="N1225" s="55" t="s">
        <v>55</v>
      </c>
      <c r="O1225" s="55" t="s">
        <v>72</v>
      </c>
      <c r="P1225" s="55" t="s">
        <v>73</v>
      </c>
      <c r="Q1225" s="55" t="s">
        <v>57</v>
      </c>
      <c r="R1225" s="55"/>
      <c r="S1225" s="56" t="s">
        <v>81</v>
      </c>
      <c r="T1225" s="55" t="str">
        <f>IF(ISNUMBER(SEARCH(",",N1225)),"Y","N")</f>
        <v>N</v>
      </c>
      <c r="U1225" s="57">
        <v>31.103000000000002</v>
      </c>
      <c r="V1225" s="57" t="s">
        <v>101</v>
      </c>
      <c r="W1225" s="55" t="s">
        <v>2319</v>
      </c>
      <c r="X1225" s="54" t="s">
        <v>5232</v>
      </c>
      <c r="Y1225" s="52"/>
      <c r="Z1225" s="3" t="s">
        <v>61</v>
      </c>
      <c r="AA1225" s="3" t="s">
        <v>2662</v>
      </c>
      <c r="AB1225" s="3"/>
      <c r="AC1225" s="3"/>
      <c r="AD1225" s="3" t="s">
        <v>62</v>
      </c>
      <c r="AE1225" s="3" t="s">
        <v>605</v>
      </c>
      <c r="AF1225" s="3"/>
      <c r="AG1225" s="3" t="s">
        <v>2663</v>
      </c>
      <c r="AH1225" s="58">
        <v>100</v>
      </c>
      <c r="AI1225" s="3"/>
      <c r="AJ1225" s="3"/>
      <c r="AK1225" s="3"/>
      <c r="AL1225" s="3"/>
      <c r="AM1225" s="3"/>
      <c r="AN1225" s="3"/>
      <c r="AO1225" s="3"/>
      <c r="AP1225" s="3"/>
      <c r="AQ1225" s="3"/>
      <c r="AR1225" s="3"/>
      <c r="AS1225" s="3"/>
      <c r="AT1225" s="3"/>
      <c r="AU1225" s="3"/>
      <c r="AV1225" s="3"/>
      <c r="AW1225" s="3"/>
      <c r="AX1225" s="3"/>
      <c r="AY1225" s="3"/>
      <c r="AZ1225" s="4" t="s">
        <v>2660</v>
      </c>
      <c r="BA1225" s="3"/>
      <c r="BB1225" s="1"/>
      <c r="BC1225" s="1"/>
    </row>
    <row r="1226" spans="1:55" s="78" customFormat="1" ht="15" customHeight="1" x14ac:dyDescent="0.25">
      <c r="A1226" s="52" t="s">
        <v>5233</v>
      </c>
      <c r="B1226" s="34" t="s">
        <v>59</v>
      </c>
      <c r="C1226" s="53">
        <v>2026</v>
      </c>
      <c r="D1226" s="53">
        <v>2026</v>
      </c>
      <c r="E1226" s="54" t="s">
        <v>3761</v>
      </c>
      <c r="F1226" s="55" t="s">
        <v>50</v>
      </c>
      <c r="G1226" s="55" t="s">
        <v>50</v>
      </c>
      <c r="H1226" s="45" t="s">
        <v>2664</v>
      </c>
      <c r="I1226" s="45" t="s">
        <v>78</v>
      </c>
      <c r="J1226" s="56" t="s">
        <v>165</v>
      </c>
      <c r="K1226" s="55" t="s">
        <v>597</v>
      </c>
      <c r="L1226" s="55" t="s">
        <v>88</v>
      </c>
      <c r="M1226" s="55"/>
      <c r="N1226" s="56" t="s">
        <v>110</v>
      </c>
      <c r="O1226" s="56"/>
      <c r="P1226" s="56" t="s">
        <v>598</v>
      </c>
      <c r="Q1226" s="55" t="s">
        <v>57</v>
      </c>
      <c r="R1226" s="55"/>
      <c r="S1226" s="56" t="s">
        <v>81</v>
      </c>
      <c r="T1226" s="55" t="s">
        <v>81</v>
      </c>
      <c r="U1226" s="57">
        <v>6100000</v>
      </c>
      <c r="V1226" s="57" t="s">
        <v>101</v>
      </c>
      <c r="W1226" s="55"/>
      <c r="X1226" s="54" t="s">
        <v>5233</v>
      </c>
      <c r="Y1226" s="52"/>
      <c r="Z1226" s="2" t="s">
        <v>61</v>
      </c>
      <c r="AA1226" s="1" t="s">
        <v>2665</v>
      </c>
      <c r="AB1226" s="1"/>
      <c r="AC1226" s="1"/>
      <c r="AD1226" s="3" t="s">
        <v>62</v>
      </c>
      <c r="AE1226" s="2" t="s">
        <v>1054</v>
      </c>
      <c r="AF1226" s="2"/>
      <c r="AG1226" s="3" t="s">
        <v>635</v>
      </c>
      <c r="AH1226" s="58">
        <v>100</v>
      </c>
      <c r="AI1226" s="1"/>
      <c r="AJ1226" s="2"/>
      <c r="AK1226" s="1"/>
      <c r="AL1226" s="1"/>
      <c r="AM1226" s="1"/>
      <c r="AN1226" s="1"/>
      <c r="AO1226" s="1"/>
      <c r="AP1226" s="1"/>
      <c r="AQ1226" s="1"/>
      <c r="AR1226" s="1"/>
      <c r="AS1226" s="1"/>
      <c r="AT1226" s="1"/>
      <c r="AU1226" s="1"/>
      <c r="AV1226" s="1"/>
      <c r="AW1226" s="1"/>
      <c r="AX1226" s="1"/>
      <c r="AY1226" s="1"/>
      <c r="AZ1226" s="4" t="s">
        <v>2597</v>
      </c>
      <c r="BA1226" s="1"/>
      <c r="BB1226" s="1"/>
      <c r="BC1226" s="1"/>
    </row>
    <row r="1227" spans="1:55" s="78" customFormat="1" ht="15" customHeight="1" x14ac:dyDescent="0.25">
      <c r="A1227" s="52" t="s">
        <v>5234</v>
      </c>
      <c r="B1227" s="34" t="s">
        <v>59</v>
      </c>
      <c r="C1227" s="53">
        <v>2026</v>
      </c>
      <c r="D1227" s="53">
        <v>2026</v>
      </c>
      <c r="E1227" s="54" t="s">
        <v>3762</v>
      </c>
      <c r="F1227" s="55" t="s">
        <v>50</v>
      </c>
      <c r="G1227" s="55" t="s">
        <v>50</v>
      </c>
      <c r="H1227" s="45" t="s">
        <v>2666</v>
      </c>
      <c r="I1227" s="45" t="s">
        <v>52</v>
      </c>
      <c r="J1227" s="56" t="s">
        <v>165</v>
      </c>
      <c r="K1227" s="55" t="s">
        <v>597</v>
      </c>
      <c r="L1227" s="55"/>
      <c r="M1227" s="55"/>
      <c r="N1227" s="56" t="s">
        <v>1371</v>
      </c>
      <c r="O1227" s="56"/>
      <c r="P1227" s="56" t="s">
        <v>598</v>
      </c>
      <c r="Q1227" s="55" t="s">
        <v>57</v>
      </c>
      <c r="R1227" s="55"/>
      <c r="S1227" s="56" t="s">
        <v>81</v>
      </c>
      <c r="T1227" s="55" t="s">
        <v>81</v>
      </c>
      <c r="U1227" s="57">
        <v>6100000</v>
      </c>
      <c r="V1227" s="57" t="s">
        <v>101</v>
      </c>
      <c r="W1227" s="55"/>
      <c r="X1227" s="54" t="s">
        <v>5234</v>
      </c>
      <c r="Y1227" s="52"/>
      <c r="Z1227" s="2" t="s">
        <v>61</v>
      </c>
      <c r="AA1227" s="1" t="s">
        <v>2665</v>
      </c>
      <c r="AB1227" s="1"/>
      <c r="AC1227" s="1"/>
      <c r="AD1227" s="3" t="s">
        <v>62</v>
      </c>
      <c r="AE1227" s="2" t="s">
        <v>1054</v>
      </c>
      <c r="AF1227" s="2"/>
      <c r="AG1227" s="3" t="s">
        <v>635</v>
      </c>
      <c r="AH1227" s="58">
        <v>100</v>
      </c>
      <c r="AI1227" s="1"/>
      <c r="AJ1227" s="2"/>
      <c r="AK1227" s="1"/>
      <c r="AL1227" s="1"/>
      <c r="AM1227" s="1"/>
      <c r="AN1227" s="1"/>
      <c r="AO1227" s="1"/>
      <c r="AP1227" s="1"/>
      <c r="AQ1227" s="1"/>
      <c r="AR1227" s="1"/>
      <c r="AS1227" s="1"/>
      <c r="AT1227" s="1"/>
      <c r="AU1227" s="1"/>
      <c r="AV1227" s="1"/>
      <c r="AW1227" s="1"/>
      <c r="AX1227" s="1"/>
      <c r="AY1227" s="1"/>
      <c r="AZ1227" s="4" t="s">
        <v>2597</v>
      </c>
      <c r="BA1227" s="1"/>
      <c r="BB1227" s="1"/>
      <c r="BC1227" s="1"/>
    </row>
    <row r="1228" spans="1:55" s="78" customFormat="1" ht="15" customHeight="1" x14ac:dyDescent="0.25">
      <c r="A1228" s="52" t="s">
        <v>5235</v>
      </c>
      <c r="B1228" s="34" t="s">
        <v>59</v>
      </c>
      <c r="C1228" s="53">
        <v>2026</v>
      </c>
      <c r="D1228" s="53">
        <v>2026</v>
      </c>
      <c r="E1228" s="54" t="s">
        <v>3763</v>
      </c>
      <c r="F1228" s="55" t="s">
        <v>50</v>
      </c>
      <c r="G1228" s="55" t="s">
        <v>50</v>
      </c>
      <c r="H1228" s="45" t="s">
        <v>2667</v>
      </c>
      <c r="I1228" s="56" t="s">
        <v>78</v>
      </c>
      <c r="J1228" s="56"/>
      <c r="K1228" s="45" t="s">
        <v>180</v>
      </c>
      <c r="L1228" s="55"/>
      <c r="M1228" s="55"/>
      <c r="N1228" s="55" t="s">
        <v>181</v>
      </c>
      <c r="O1228" s="55"/>
      <c r="P1228" s="55" t="s">
        <v>182</v>
      </c>
      <c r="Q1228" s="55" t="s">
        <v>5353</v>
      </c>
      <c r="R1228" s="55"/>
      <c r="S1228" s="56" t="s">
        <v>81</v>
      </c>
      <c r="T1228" s="55" t="str">
        <f>IF(ISNUMBER(SEARCH(",",N1228)),"Y","N")</f>
        <v>N</v>
      </c>
      <c r="U1228" s="57">
        <v>360</v>
      </c>
      <c r="V1228" s="57" t="s">
        <v>101</v>
      </c>
      <c r="W1228" s="55" t="s">
        <v>2797</v>
      </c>
      <c r="X1228" s="54" t="s">
        <v>5332</v>
      </c>
      <c r="Y1228" s="53"/>
      <c r="Z1228" s="3" t="s">
        <v>154</v>
      </c>
      <c r="AA1228" s="3" t="s">
        <v>664</v>
      </c>
      <c r="AB1228" s="3"/>
      <c r="AC1228" s="3"/>
      <c r="AD1228" s="3" t="s">
        <v>62</v>
      </c>
      <c r="AE1228" s="3" t="s">
        <v>184</v>
      </c>
      <c r="AF1228" s="3"/>
      <c r="AG1228" s="3" t="s">
        <v>626</v>
      </c>
      <c r="AH1228" s="58">
        <v>100</v>
      </c>
      <c r="AI1228" s="3"/>
      <c r="AJ1228" s="53"/>
      <c r="AK1228" s="3"/>
      <c r="AL1228" s="3"/>
      <c r="AM1228" s="3"/>
      <c r="AN1228" s="3"/>
      <c r="AO1228" s="3"/>
      <c r="AP1228" s="3"/>
      <c r="AQ1228" s="3"/>
      <c r="AR1228" s="3"/>
      <c r="AS1228" s="3"/>
      <c r="AT1228" s="3"/>
      <c r="AU1228" s="3"/>
      <c r="AV1228" s="3"/>
      <c r="AW1228" s="3"/>
      <c r="AX1228" s="3"/>
      <c r="AY1228" s="3"/>
      <c r="AZ1228" s="4" t="s">
        <v>662</v>
      </c>
      <c r="BA1228" s="3" t="s">
        <v>3949</v>
      </c>
      <c r="BB1228" s="1"/>
      <c r="BC1228" s="1"/>
    </row>
    <row r="1229" spans="1:55" s="78" customFormat="1" ht="15" customHeight="1" x14ac:dyDescent="0.25">
      <c r="A1229" s="52" t="s">
        <v>5236</v>
      </c>
      <c r="B1229" s="34" t="s">
        <v>59</v>
      </c>
      <c r="C1229" s="53">
        <v>2026</v>
      </c>
      <c r="D1229" s="53">
        <v>2026</v>
      </c>
      <c r="E1229" s="54" t="s">
        <v>3764</v>
      </c>
      <c r="F1229" s="55" t="s">
        <v>50</v>
      </c>
      <c r="G1229" s="55" t="s">
        <v>50</v>
      </c>
      <c r="H1229" s="45" t="s">
        <v>2668</v>
      </c>
      <c r="I1229" s="56" t="s">
        <v>78</v>
      </c>
      <c r="J1229" s="56"/>
      <c r="K1229" s="45" t="s">
        <v>180</v>
      </c>
      <c r="L1229" s="55"/>
      <c r="M1229" s="55"/>
      <c r="N1229" s="55" t="s">
        <v>181</v>
      </c>
      <c r="O1229" s="55"/>
      <c r="P1229" s="55" t="s">
        <v>182</v>
      </c>
      <c r="Q1229" s="55" t="s">
        <v>5353</v>
      </c>
      <c r="R1229" s="55"/>
      <c r="S1229" s="56" t="s">
        <v>81</v>
      </c>
      <c r="T1229" s="55" t="str">
        <f>IF(ISNUMBER(SEARCH(",",N1229)),"Y","N")</f>
        <v>N</v>
      </c>
      <c r="U1229" s="57">
        <v>360</v>
      </c>
      <c r="V1229" s="57" t="s">
        <v>101</v>
      </c>
      <c r="W1229" s="55" t="s">
        <v>2797</v>
      </c>
      <c r="X1229" s="54" t="s">
        <v>5332</v>
      </c>
      <c r="Y1229" s="53"/>
      <c r="Z1229" s="3" t="s">
        <v>154</v>
      </c>
      <c r="AA1229" s="3" t="s">
        <v>664</v>
      </c>
      <c r="AB1229" s="3"/>
      <c r="AC1229" s="3"/>
      <c r="AD1229" s="3" t="s">
        <v>62</v>
      </c>
      <c r="AE1229" s="3" t="s">
        <v>184</v>
      </c>
      <c r="AF1229" s="3"/>
      <c r="AG1229" s="3" t="s">
        <v>626</v>
      </c>
      <c r="AH1229" s="58">
        <v>100</v>
      </c>
      <c r="AI1229" s="3"/>
      <c r="AJ1229" s="53"/>
      <c r="AK1229" s="3"/>
      <c r="AL1229" s="3"/>
      <c r="AM1229" s="3"/>
      <c r="AN1229" s="3"/>
      <c r="AO1229" s="3"/>
      <c r="AP1229" s="3"/>
      <c r="AQ1229" s="3"/>
      <c r="AR1229" s="3"/>
      <c r="AS1229" s="3"/>
      <c r="AT1229" s="3"/>
      <c r="AU1229" s="3"/>
      <c r="AV1229" s="3"/>
      <c r="AW1229" s="3"/>
      <c r="AX1229" s="3"/>
      <c r="AY1229" s="3"/>
      <c r="AZ1229" s="4" t="s">
        <v>662</v>
      </c>
      <c r="BA1229" s="3" t="s">
        <v>3949</v>
      </c>
      <c r="BB1229" s="1"/>
      <c r="BC1229" s="1"/>
    </row>
    <row r="1230" spans="1:55" s="78" customFormat="1" ht="15" customHeight="1" x14ac:dyDescent="0.25">
      <c r="A1230" s="52" t="s">
        <v>5237</v>
      </c>
      <c r="B1230" s="34" t="s">
        <v>59</v>
      </c>
      <c r="C1230" s="53">
        <v>2026</v>
      </c>
      <c r="D1230" s="53">
        <v>2026</v>
      </c>
      <c r="E1230" s="54" t="s">
        <v>3765</v>
      </c>
      <c r="F1230" s="55" t="s">
        <v>50</v>
      </c>
      <c r="G1230" s="55" t="s">
        <v>50</v>
      </c>
      <c r="H1230" s="45" t="s">
        <v>2670</v>
      </c>
      <c r="I1230" s="56" t="s">
        <v>52</v>
      </c>
      <c r="J1230" s="55" t="s">
        <v>384</v>
      </c>
      <c r="K1230" s="55" t="s">
        <v>384</v>
      </c>
      <c r="L1230" s="55" t="s">
        <v>54</v>
      </c>
      <c r="M1230" s="55"/>
      <c r="N1230" s="55" t="s">
        <v>400</v>
      </c>
      <c r="O1230" s="55"/>
      <c r="P1230" s="55" t="s">
        <v>385</v>
      </c>
      <c r="Q1230" s="55" t="s">
        <v>5353</v>
      </c>
      <c r="R1230" s="55" t="s">
        <v>2218</v>
      </c>
      <c r="S1230" s="56" t="s">
        <v>58</v>
      </c>
      <c r="T1230" s="55" t="str">
        <f>IF(ISNUMBER(SEARCH(",",N1230)),"Y","N")</f>
        <v>N</v>
      </c>
      <c r="U1230" s="57">
        <v>10</v>
      </c>
      <c r="V1230" s="57" t="s">
        <v>101</v>
      </c>
      <c r="W1230" s="55"/>
      <c r="X1230" s="54" t="s">
        <v>5237</v>
      </c>
      <c r="Y1230" s="53"/>
      <c r="Z1230" s="1" t="s">
        <v>154</v>
      </c>
      <c r="AA1230" s="3" t="s">
        <v>2671</v>
      </c>
      <c r="AB1230" s="3"/>
      <c r="AC1230" s="3"/>
      <c r="AD1230" s="3" t="s">
        <v>62</v>
      </c>
      <c r="AE1230" s="3" t="s">
        <v>387</v>
      </c>
      <c r="AF1230" s="3" t="s">
        <v>388</v>
      </c>
      <c r="AG1230" s="3" t="s">
        <v>389</v>
      </c>
      <c r="AH1230" s="58">
        <v>100</v>
      </c>
      <c r="AI1230" s="3"/>
      <c r="AJ1230" s="3"/>
      <c r="AK1230" s="3"/>
      <c r="AL1230" s="3"/>
      <c r="AM1230" s="3"/>
      <c r="AN1230" s="3"/>
      <c r="AO1230" s="3"/>
      <c r="AP1230" s="3"/>
      <c r="AQ1230" s="3"/>
      <c r="AR1230" s="3"/>
      <c r="AS1230" s="3"/>
      <c r="AT1230" s="3"/>
      <c r="AU1230" s="3"/>
      <c r="AV1230" s="3"/>
      <c r="AW1230" s="3"/>
      <c r="AX1230" s="3"/>
      <c r="AY1230" s="3"/>
      <c r="AZ1230" s="4" t="s">
        <v>2669</v>
      </c>
      <c r="BA1230" s="3"/>
      <c r="BB1230" s="1"/>
      <c r="BC1230" s="1"/>
    </row>
    <row r="1231" spans="1:55" s="78" customFormat="1" ht="15" customHeight="1" x14ac:dyDescent="0.25">
      <c r="A1231" s="52" t="s">
        <v>5238</v>
      </c>
      <c r="B1231" s="34" t="s">
        <v>59</v>
      </c>
      <c r="C1231" s="53">
        <v>2026</v>
      </c>
      <c r="D1231" s="53">
        <v>2026</v>
      </c>
      <c r="E1231" s="54" t="s">
        <v>3766</v>
      </c>
      <c r="F1231" s="55" t="s">
        <v>50</v>
      </c>
      <c r="G1231" s="55" t="s">
        <v>50</v>
      </c>
      <c r="H1231" s="45" t="s">
        <v>2672</v>
      </c>
      <c r="I1231" s="56" t="s">
        <v>52</v>
      </c>
      <c r="J1231" s="56"/>
      <c r="K1231" s="56" t="s">
        <v>140</v>
      </c>
      <c r="L1231" s="55" t="s">
        <v>54</v>
      </c>
      <c r="M1231" s="55"/>
      <c r="N1231" s="55" t="s">
        <v>141</v>
      </c>
      <c r="O1231" s="55"/>
      <c r="P1231" s="55" t="s">
        <v>142</v>
      </c>
      <c r="Q1231" s="56" t="s">
        <v>57</v>
      </c>
      <c r="R1231" s="55"/>
      <c r="S1231" s="56" t="s">
        <v>81</v>
      </c>
      <c r="T1231" s="55" t="s">
        <v>81</v>
      </c>
      <c r="U1231" s="57">
        <v>800</v>
      </c>
      <c r="V1231" s="57" t="s">
        <v>101</v>
      </c>
      <c r="W1231" s="55" t="s">
        <v>2319</v>
      </c>
      <c r="X1231" s="54" t="s">
        <v>5238</v>
      </c>
      <c r="Y1231" s="52"/>
      <c r="Z1231" s="1" t="s">
        <v>61</v>
      </c>
      <c r="AA1231" s="1" t="s">
        <v>2673</v>
      </c>
      <c r="AB1231" s="1"/>
      <c r="AC1231" s="1"/>
      <c r="AD1231" s="3" t="s">
        <v>62</v>
      </c>
      <c r="AE1231" s="1" t="s">
        <v>464</v>
      </c>
      <c r="AF1231" s="1" t="s">
        <v>1346</v>
      </c>
      <c r="AG1231" s="1" t="s">
        <v>1347</v>
      </c>
      <c r="AH1231" s="2">
        <v>100</v>
      </c>
      <c r="AI1231" s="3"/>
      <c r="AJ1231" s="3"/>
      <c r="AK1231" s="3"/>
      <c r="AL1231" s="3"/>
      <c r="AM1231" s="3"/>
      <c r="AN1231" s="3"/>
      <c r="AO1231" s="3"/>
      <c r="AP1231" s="3"/>
      <c r="AQ1231" s="3"/>
      <c r="AR1231" s="3"/>
      <c r="AS1231" s="3"/>
      <c r="AT1231" s="3"/>
      <c r="AU1231" s="3"/>
      <c r="AV1231" s="3"/>
      <c r="AW1231" s="3"/>
      <c r="AX1231" s="3"/>
      <c r="AY1231" s="3"/>
      <c r="AZ1231" s="4" t="s">
        <v>2362</v>
      </c>
      <c r="BA1231" s="3" t="s">
        <v>3873</v>
      </c>
      <c r="BB1231" s="1"/>
      <c r="BC1231" s="1"/>
    </row>
    <row r="1232" spans="1:55" s="78" customFormat="1" ht="15" customHeight="1" x14ac:dyDescent="0.25">
      <c r="A1232" s="52" t="s">
        <v>5239</v>
      </c>
      <c r="B1232" s="34" t="s">
        <v>59</v>
      </c>
      <c r="C1232" s="53">
        <v>2026</v>
      </c>
      <c r="D1232" s="53">
        <v>2026</v>
      </c>
      <c r="E1232" s="54" t="s">
        <v>3767</v>
      </c>
      <c r="F1232" s="55" t="s">
        <v>50</v>
      </c>
      <c r="G1232" s="55" t="s">
        <v>50</v>
      </c>
      <c r="H1232" s="45" t="s">
        <v>2675</v>
      </c>
      <c r="I1232" s="56" t="s">
        <v>78</v>
      </c>
      <c r="J1232" s="56"/>
      <c r="K1232" s="56" t="s">
        <v>180</v>
      </c>
      <c r="L1232" s="55"/>
      <c r="M1232" s="55"/>
      <c r="N1232" s="56" t="s">
        <v>181</v>
      </c>
      <c r="O1232" s="56"/>
      <c r="P1232" s="55" t="s">
        <v>182</v>
      </c>
      <c r="Q1232" s="55" t="s">
        <v>5353</v>
      </c>
      <c r="R1232" s="55"/>
      <c r="S1232" s="56" t="s">
        <v>58</v>
      </c>
      <c r="T1232" s="55" t="s">
        <v>81</v>
      </c>
      <c r="U1232" s="57">
        <v>340</v>
      </c>
      <c r="V1232" s="57" t="s">
        <v>101</v>
      </c>
      <c r="W1232" s="55" t="s">
        <v>2319</v>
      </c>
      <c r="X1232" s="54" t="s">
        <v>5239</v>
      </c>
      <c r="Y1232" s="53"/>
      <c r="Z1232" s="3" t="s">
        <v>2005</v>
      </c>
      <c r="AA1232" s="1" t="s">
        <v>1532</v>
      </c>
      <c r="AB1232" s="1"/>
      <c r="AC1232" s="1"/>
      <c r="AD1232" s="3" t="s">
        <v>62</v>
      </c>
      <c r="AE1232" s="3" t="s">
        <v>251</v>
      </c>
      <c r="AF1232" s="3"/>
      <c r="AG1232" s="3" t="s">
        <v>2435</v>
      </c>
      <c r="AH1232" s="58">
        <v>100</v>
      </c>
      <c r="AI1232" s="1"/>
      <c r="AJ1232" s="60"/>
      <c r="AK1232" s="1"/>
      <c r="AL1232" s="1"/>
      <c r="AM1232" s="1"/>
      <c r="AN1232" s="1"/>
      <c r="AO1232" s="1"/>
      <c r="AP1232" s="1"/>
      <c r="AQ1232" s="1"/>
      <c r="AR1232" s="1"/>
      <c r="AS1232" s="1"/>
      <c r="AT1232" s="1"/>
      <c r="AU1232" s="1"/>
      <c r="AV1232" s="1"/>
      <c r="AW1232" s="1"/>
      <c r="AX1232" s="1"/>
      <c r="AY1232" s="1"/>
      <c r="AZ1232" s="4" t="s">
        <v>2674</v>
      </c>
      <c r="BA1232" s="1"/>
      <c r="BB1232" s="1"/>
      <c r="BC1232" s="1"/>
    </row>
    <row r="1233" spans="1:55" s="78" customFormat="1" ht="15" customHeight="1" x14ac:dyDescent="0.25">
      <c r="A1233" s="52" t="s">
        <v>5240</v>
      </c>
      <c r="B1233" s="34" t="s">
        <v>59</v>
      </c>
      <c r="C1233" s="53">
        <v>2026</v>
      </c>
      <c r="D1233" s="53">
        <v>2026</v>
      </c>
      <c r="E1233" s="54" t="s">
        <v>3767</v>
      </c>
      <c r="F1233" s="55" t="s">
        <v>50</v>
      </c>
      <c r="G1233" s="55" t="s">
        <v>50</v>
      </c>
      <c r="H1233" s="45" t="s">
        <v>2675</v>
      </c>
      <c r="I1233" s="56" t="s">
        <v>78</v>
      </c>
      <c r="J1233" s="56"/>
      <c r="K1233" s="56" t="s">
        <v>392</v>
      </c>
      <c r="L1233" s="55"/>
      <c r="M1233" s="55"/>
      <c r="N1233" s="56" t="s">
        <v>181</v>
      </c>
      <c r="O1233" s="56"/>
      <c r="P1233" s="55" t="s">
        <v>394</v>
      </c>
      <c r="Q1233" s="55" t="s">
        <v>57</v>
      </c>
      <c r="R1233" s="55"/>
      <c r="S1233" s="56" t="s">
        <v>58</v>
      </c>
      <c r="T1233" s="55" t="s">
        <v>81</v>
      </c>
      <c r="U1233" s="57">
        <v>1100</v>
      </c>
      <c r="V1233" s="57" t="s">
        <v>101</v>
      </c>
      <c r="W1233" s="55" t="s">
        <v>2319</v>
      </c>
      <c r="X1233" s="54" t="s">
        <v>5240</v>
      </c>
      <c r="Y1233" s="53"/>
      <c r="Z1233" s="3" t="s">
        <v>2005</v>
      </c>
      <c r="AA1233" s="1" t="s">
        <v>1532</v>
      </c>
      <c r="AB1233" s="1"/>
      <c r="AC1233" s="1"/>
      <c r="AD1233" s="3" t="s">
        <v>62</v>
      </c>
      <c r="AE1233" s="3" t="s">
        <v>251</v>
      </c>
      <c r="AF1233" s="3"/>
      <c r="AG1233" s="3" t="s">
        <v>2435</v>
      </c>
      <c r="AH1233" s="58">
        <v>100</v>
      </c>
      <c r="AI1233" s="1"/>
      <c r="AJ1233" s="60"/>
      <c r="AK1233" s="1"/>
      <c r="AL1233" s="1"/>
      <c r="AM1233" s="1"/>
      <c r="AN1233" s="1"/>
      <c r="AO1233" s="1"/>
      <c r="AP1233" s="1"/>
      <c r="AQ1233" s="1"/>
      <c r="AR1233" s="1"/>
      <c r="AS1233" s="1"/>
      <c r="AT1233" s="1"/>
      <c r="AU1233" s="1"/>
      <c r="AV1233" s="1"/>
      <c r="AW1233" s="1"/>
      <c r="AX1233" s="1"/>
      <c r="AY1233" s="1"/>
      <c r="AZ1233" s="4" t="s">
        <v>2674</v>
      </c>
      <c r="BA1233" s="1"/>
      <c r="BB1233" s="1"/>
      <c r="BC1233" s="1"/>
    </row>
    <row r="1234" spans="1:55" s="78" customFormat="1" ht="15" customHeight="1" x14ac:dyDescent="0.25">
      <c r="A1234" s="52" t="s">
        <v>5241</v>
      </c>
      <c r="B1234" s="34" t="s">
        <v>59</v>
      </c>
      <c r="C1234" s="53">
        <v>2026</v>
      </c>
      <c r="D1234" s="53">
        <v>2026</v>
      </c>
      <c r="E1234" s="54" t="s">
        <v>3768</v>
      </c>
      <c r="F1234" s="55" t="s">
        <v>50</v>
      </c>
      <c r="G1234" s="55" t="s">
        <v>50</v>
      </c>
      <c r="H1234" s="45" t="s">
        <v>2677</v>
      </c>
      <c r="I1234" s="56" t="s">
        <v>78</v>
      </c>
      <c r="J1234" s="56"/>
      <c r="K1234" s="56" t="s">
        <v>79</v>
      </c>
      <c r="L1234" s="55" t="str">
        <f>IF(K1234="Mine or Quarry","Mine","")</f>
        <v/>
      </c>
      <c r="M1234" s="55"/>
      <c r="N1234" s="56" t="s">
        <v>80</v>
      </c>
      <c r="O1234" s="56"/>
      <c r="P1234" s="56" t="s">
        <v>89</v>
      </c>
      <c r="Q1234" s="56" t="s">
        <v>89</v>
      </c>
      <c r="R1234" s="55"/>
      <c r="S1234" s="56" t="s">
        <v>81</v>
      </c>
      <c r="T1234" s="55" t="str">
        <f>IF(ISNUMBER(SEARCH(",",N1234)),"Y","N")</f>
        <v>N</v>
      </c>
      <c r="U1234" s="57">
        <v>-999</v>
      </c>
      <c r="V1234" s="57" t="s">
        <v>59</v>
      </c>
      <c r="W1234" s="55" t="s">
        <v>2319</v>
      </c>
      <c r="X1234" s="54" t="s">
        <v>5241</v>
      </c>
      <c r="Y1234" s="52"/>
      <c r="Z1234" s="1" t="s">
        <v>61</v>
      </c>
      <c r="AA1234" s="1" t="s">
        <v>2678</v>
      </c>
      <c r="AB1234" s="1"/>
      <c r="AC1234" s="1"/>
      <c r="AD1234" s="3" t="s">
        <v>62</v>
      </c>
      <c r="AE1234" s="1" t="s">
        <v>464</v>
      </c>
      <c r="AF1234" s="1" t="s">
        <v>1651</v>
      </c>
      <c r="AG1234" s="1" t="s">
        <v>1652</v>
      </c>
      <c r="AH1234" s="1"/>
      <c r="AI1234" s="1"/>
      <c r="AJ1234" s="1"/>
      <c r="AK1234" s="1"/>
      <c r="AL1234" s="1"/>
      <c r="AM1234" s="1"/>
      <c r="AN1234" s="1"/>
      <c r="AO1234" s="1"/>
      <c r="AP1234" s="1"/>
      <c r="AQ1234" s="1"/>
      <c r="AR1234" s="1"/>
      <c r="AS1234" s="1"/>
      <c r="AT1234" s="1"/>
      <c r="AU1234" s="1"/>
      <c r="AV1234" s="1"/>
      <c r="AW1234" s="1"/>
      <c r="AX1234" s="1"/>
      <c r="AY1234" s="1"/>
      <c r="AZ1234" s="5" t="s">
        <v>2676</v>
      </c>
      <c r="BA1234" s="5"/>
      <c r="BB1234" s="1"/>
      <c r="BC1234" s="1"/>
    </row>
    <row r="1235" spans="1:55" s="78" customFormat="1" ht="15" customHeight="1" x14ac:dyDescent="0.25">
      <c r="A1235" s="52" t="s">
        <v>5242</v>
      </c>
      <c r="B1235" s="34" t="s">
        <v>59</v>
      </c>
      <c r="C1235" s="53">
        <v>2026</v>
      </c>
      <c r="D1235" s="53">
        <v>2026</v>
      </c>
      <c r="E1235" s="54" t="s">
        <v>3770</v>
      </c>
      <c r="F1235" s="55" t="s">
        <v>50</v>
      </c>
      <c r="G1235" s="55" t="s">
        <v>50</v>
      </c>
      <c r="H1235" s="45" t="s">
        <v>2680</v>
      </c>
      <c r="I1235" s="56" t="s">
        <v>78</v>
      </c>
      <c r="J1235" s="56"/>
      <c r="K1235" s="56" t="s">
        <v>79</v>
      </c>
      <c r="L1235" s="55" t="str">
        <f>IF(K1235="Mine or Quarry","Mine","")</f>
        <v/>
      </c>
      <c r="M1235" s="55"/>
      <c r="N1235" s="56" t="s">
        <v>80</v>
      </c>
      <c r="O1235" s="56"/>
      <c r="P1235" s="56" t="s">
        <v>89</v>
      </c>
      <c r="Q1235" s="56" t="s">
        <v>89</v>
      </c>
      <c r="R1235" s="55"/>
      <c r="S1235" s="56" t="s">
        <v>81</v>
      </c>
      <c r="T1235" s="55" t="str">
        <f>IF(ISNUMBER(SEARCH(",",N1235)),"Y","N")</f>
        <v>N</v>
      </c>
      <c r="U1235" s="57">
        <v>-999</v>
      </c>
      <c r="V1235" s="57" t="s">
        <v>59</v>
      </c>
      <c r="W1235" s="55" t="s">
        <v>2319</v>
      </c>
      <c r="X1235" s="54" t="s">
        <v>5242</v>
      </c>
      <c r="Y1235" s="52"/>
      <c r="Z1235" s="1" t="s">
        <v>61</v>
      </c>
      <c r="AA1235" s="1" t="s">
        <v>2681</v>
      </c>
      <c r="AB1235" s="1"/>
      <c r="AC1235" s="1"/>
      <c r="AD1235" s="3" t="s">
        <v>62</v>
      </c>
      <c r="AE1235" s="1" t="s">
        <v>108</v>
      </c>
      <c r="AF1235" s="1" t="s">
        <v>2682</v>
      </c>
      <c r="AG1235" s="1" t="s">
        <v>2683</v>
      </c>
      <c r="AH1235" s="1"/>
      <c r="AI1235" s="1"/>
      <c r="AJ1235" s="1"/>
      <c r="AK1235" s="1"/>
      <c r="AL1235" s="1"/>
      <c r="AM1235" s="1"/>
      <c r="AN1235" s="1"/>
      <c r="AO1235" s="1"/>
      <c r="AP1235" s="1"/>
      <c r="AQ1235" s="1"/>
      <c r="AR1235" s="1"/>
      <c r="AS1235" s="1"/>
      <c r="AT1235" s="1"/>
      <c r="AU1235" s="1"/>
      <c r="AV1235" s="1"/>
      <c r="AW1235" s="1"/>
      <c r="AX1235" s="1"/>
      <c r="AY1235" s="1"/>
      <c r="AZ1235" s="5" t="s">
        <v>2679</v>
      </c>
      <c r="BA1235" s="5"/>
      <c r="BB1235" s="1"/>
      <c r="BC1235" s="1"/>
    </row>
    <row r="1236" spans="1:55" s="78" customFormat="1" ht="15" customHeight="1" x14ac:dyDescent="0.25">
      <c r="A1236" s="52" t="s">
        <v>5243</v>
      </c>
      <c r="B1236" s="34" t="s">
        <v>59</v>
      </c>
      <c r="C1236" s="53">
        <v>2026</v>
      </c>
      <c r="D1236" s="53">
        <v>2026</v>
      </c>
      <c r="E1236" s="54" t="s">
        <v>3771</v>
      </c>
      <c r="F1236" s="55" t="s">
        <v>50</v>
      </c>
      <c r="G1236" s="55" t="s">
        <v>50</v>
      </c>
      <c r="H1236" s="45" t="s">
        <v>2333</v>
      </c>
      <c r="I1236" s="56" t="s">
        <v>78</v>
      </c>
      <c r="J1236" s="56" t="s">
        <v>291</v>
      </c>
      <c r="K1236" s="56" t="s">
        <v>292</v>
      </c>
      <c r="L1236" s="55" t="str">
        <f>IF(K1236="Mine or Quarry","Mine","")</f>
        <v/>
      </c>
      <c r="M1236" s="55"/>
      <c r="N1236" s="56" t="s">
        <v>110</v>
      </c>
      <c r="O1236" s="56"/>
      <c r="P1236" s="56" t="s">
        <v>89</v>
      </c>
      <c r="Q1236" s="55" t="s">
        <v>89</v>
      </c>
      <c r="R1236" s="55"/>
      <c r="S1236" s="56" t="s">
        <v>81</v>
      </c>
      <c r="T1236" s="55" t="str">
        <f>IF(ISNUMBER(SEARCH(",",N1236)),"Y","N")</f>
        <v>N</v>
      </c>
      <c r="U1236" s="57">
        <v>1500000</v>
      </c>
      <c r="V1236" s="57" t="s">
        <v>101</v>
      </c>
      <c r="W1236" s="55"/>
      <c r="X1236" s="54" t="s">
        <v>5243</v>
      </c>
      <c r="Y1236" s="60"/>
      <c r="Z1236" s="1" t="s">
        <v>61</v>
      </c>
      <c r="AA1236" s="1" t="s">
        <v>2685</v>
      </c>
      <c r="AB1236" s="1"/>
      <c r="AC1236" s="1"/>
      <c r="AD1236" s="3" t="s">
        <v>62</v>
      </c>
      <c r="AE1236" s="1" t="s">
        <v>251</v>
      </c>
      <c r="AF1236" s="1"/>
      <c r="AG1236" s="3" t="s">
        <v>1036</v>
      </c>
      <c r="AH1236" s="2">
        <v>100</v>
      </c>
      <c r="AI1236" s="1"/>
      <c r="AJ1236" s="1"/>
      <c r="AK1236" s="1"/>
      <c r="AL1236" s="1"/>
      <c r="AM1236" s="1"/>
      <c r="AN1236" s="1"/>
      <c r="AO1236" s="1"/>
      <c r="AP1236" s="1"/>
      <c r="AQ1236" s="1"/>
      <c r="AR1236" s="1"/>
      <c r="AS1236" s="1"/>
      <c r="AT1236" s="1"/>
      <c r="AU1236" s="1"/>
      <c r="AV1236" s="1"/>
      <c r="AW1236" s="1"/>
      <c r="AX1236" s="1"/>
      <c r="AY1236" s="1"/>
      <c r="AZ1236" s="4" t="s">
        <v>2684</v>
      </c>
      <c r="BA1236" s="1"/>
      <c r="BB1236" s="1"/>
      <c r="BC1236" s="1"/>
    </row>
    <row r="1237" spans="1:55" s="78" customFormat="1" ht="15" customHeight="1" x14ac:dyDescent="0.25">
      <c r="A1237" s="52" t="s">
        <v>5244</v>
      </c>
      <c r="B1237" s="34" t="s">
        <v>59</v>
      </c>
      <c r="C1237" s="53">
        <v>2026</v>
      </c>
      <c r="D1237" s="53">
        <v>2026</v>
      </c>
      <c r="E1237" s="54" t="s">
        <v>3772</v>
      </c>
      <c r="F1237" s="55" t="s">
        <v>50</v>
      </c>
      <c r="G1237" s="55" t="s">
        <v>50</v>
      </c>
      <c r="H1237" s="45" t="s">
        <v>2687</v>
      </c>
      <c r="I1237" s="56" t="s">
        <v>78</v>
      </c>
      <c r="J1237" s="56"/>
      <c r="K1237" s="56" t="s">
        <v>53</v>
      </c>
      <c r="L1237" s="55"/>
      <c r="M1237" s="55"/>
      <c r="N1237" s="56" t="s">
        <v>181</v>
      </c>
      <c r="O1237" s="56"/>
      <c r="P1237" s="55" t="s">
        <v>56</v>
      </c>
      <c r="Q1237" s="55" t="s">
        <v>57</v>
      </c>
      <c r="R1237" s="55"/>
      <c r="S1237" s="56" t="s">
        <v>58</v>
      </c>
      <c r="T1237" s="55" t="str">
        <f>IF(ISNUMBER(SEARCH(",",N1237)),"Y","N")</f>
        <v>N</v>
      </c>
      <c r="U1237" s="57">
        <v>-999</v>
      </c>
      <c r="V1237" s="57" t="s">
        <v>59</v>
      </c>
      <c r="W1237" s="55"/>
      <c r="X1237" s="54" t="s">
        <v>5244</v>
      </c>
      <c r="Y1237" s="60"/>
      <c r="Z1237" s="2" t="s">
        <v>61</v>
      </c>
      <c r="AA1237" s="3" t="s">
        <v>2688</v>
      </c>
      <c r="AB1237" s="3"/>
      <c r="AC1237" s="3"/>
      <c r="AD1237" s="3" t="s">
        <v>62</v>
      </c>
      <c r="AE1237" s="3" t="s">
        <v>524</v>
      </c>
      <c r="AF1237" s="1" t="s">
        <v>585</v>
      </c>
      <c r="AG1237" s="1" t="s">
        <v>586</v>
      </c>
      <c r="AH1237" s="58">
        <v>100</v>
      </c>
      <c r="AI1237" s="1"/>
      <c r="AJ1237" s="1"/>
      <c r="AK1237" s="1"/>
      <c r="AL1237" s="1"/>
      <c r="AM1237" s="1"/>
      <c r="AN1237" s="1"/>
      <c r="AO1237" s="1"/>
      <c r="AP1237" s="1"/>
      <c r="AQ1237" s="1"/>
      <c r="AR1237" s="1"/>
      <c r="AS1237" s="1"/>
      <c r="AT1237" s="1"/>
      <c r="AU1237" s="1"/>
      <c r="AV1237" s="1"/>
      <c r="AW1237" s="1"/>
      <c r="AX1237" s="1"/>
      <c r="AY1237" s="1"/>
      <c r="AZ1237" s="4" t="s">
        <v>2686</v>
      </c>
      <c r="BA1237" s="1"/>
      <c r="BB1237" s="1"/>
      <c r="BC1237" s="1"/>
    </row>
    <row r="1238" spans="1:55" s="78" customFormat="1" ht="15" customHeight="1" x14ac:dyDescent="0.25">
      <c r="A1238" s="52" t="s">
        <v>5245</v>
      </c>
      <c r="B1238" s="34" t="s">
        <v>59</v>
      </c>
      <c r="C1238" s="53">
        <v>2026</v>
      </c>
      <c r="D1238" s="53">
        <v>2026</v>
      </c>
      <c r="E1238" s="54" t="s">
        <v>3772</v>
      </c>
      <c r="F1238" s="55" t="s">
        <v>50</v>
      </c>
      <c r="G1238" s="55" t="s">
        <v>50</v>
      </c>
      <c r="H1238" s="45" t="s">
        <v>2687</v>
      </c>
      <c r="I1238" s="56" t="s">
        <v>78</v>
      </c>
      <c r="J1238" s="56"/>
      <c r="K1238" s="56" t="s">
        <v>313</v>
      </c>
      <c r="L1238" s="56" t="s">
        <v>88</v>
      </c>
      <c r="M1238" s="55"/>
      <c r="N1238" s="56" t="s">
        <v>181</v>
      </c>
      <c r="O1238" s="56"/>
      <c r="P1238" s="61" t="s">
        <v>314</v>
      </c>
      <c r="Q1238" s="61" t="s">
        <v>57</v>
      </c>
      <c r="R1238" s="55"/>
      <c r="S1238" s="56" t="s">
        <v>58</v>
      </c>
      <c r="T1238" s="55" t="str">
        <f>IF(ISNUMBER(SEARCH(",",N1238)),"Y","N")</f>
        <v>N</v>
      </c>
      <c r="U1238" s="57">
        <v>-999</v>
      </c>
      <c r="V1238" s="57" t="s">
        <v>59</v>
      </c>
      <c r="W1238" s="55"/>
      <c r="X1238" s="54" t="s">
        <v>5245</v>
      </c>
      <c r="Y1238" s="60"/>
      <c r="Z1238" s="2" t="s">
        <v>61</v>
      </c>
      <c r="AA1238" s="3" t="s">
        <v>2688</v>
      </c>
      <c r="AB1238" s="3"/>
      <c r="AC1238" s="3"/>
      <c r="AD1238" s="3" t="s">
        <v>62</v>
      </c>
      <c r="AE1238" s="3" t="s">
        <v>524</v>
      </c>
      <c r="AF1238" s="1" t="s">
        <v>585</v>
      </c>
      <c r="AG1238" s="1" t="s">
        <v>586</v>
      </c>
      <c r="AH1238" s="58">
        <v>100</v>
      </c>
      <c r="AI1238" s="1"/>
      <c r="AJ1238" s="1"/>
      <c r="AK1238" s="1"/>
      <c r="AL1238" s="1"/>
      <c r="AM1238" s="1"/>
      <c r="AN1238" s="1"/>
      <c r="AO1238" s="1"/>
      <c r="AP1238" s="1"/>
      <c r="AQ1238" s="1"/>
      <c r="AR1238" s="1"/>
      <c r="AS1238" s="1"/>
      <c r="AT1238" s="1"/>
      <c r="AU1238" s="1"/>
      <c r="AV1238" s="1"/>
      <c r="AW1238" s="1"/>
      <c r="AX1238" s="1"/>
      <c r="AY1238" s="1"/>
      <c r="AZ1238" s="4" t="s">
        <v>2686</v>
      </c>
      <c r="BA1238" s="1"/>
      <c r="BB1238" s="1"/>
      <c r="BC1238" s="1"/>
    </row>
    <row r="1239" spans="1:55" s="78" customFormat="1" ht="15" customHeight="1" x14ac:dyDescent="0.25">
      <c r="A1239" s="52" t="s">
        <v>5246</v>
      </c>
      <c r="B1239" s="34" t="s">
        <v>59</v>
      </c>
      <c r="C1239" s="53">
        <v>2026</v>
      </c>
      <c r="D1239" s="53">
        <v>2026</v>
      </c>
      <c r="E1239" s="54" t="s">
        <v>3772</v>
      </c>
      <c r="F1239" s="55" t="s">
        <v>50</v>
      </c>
      <c r="G1239" s="55" t="s">
        <v>50</v>
      </c>
      <c r="H1239" s="45" t="s">
        <v>2687</v>
      </c>
      <c r="I1239" s="56" t="s">
        <v>78</v>
      </c>
      <c r="J1239" s="56"/>
      <c r="K1239" s="55" t="s">
        <v>582</v>
      </c>
      <c r="L1239" s="55" t="s">
        <v>88</v>
      </c>
      <c r="M1239" s="55"/>
      <c r="N1239" s="55" t="s">
        <v>181</v>
      </c>
      <c r="O1239" s="55"/>
      <c r="P1239" s="55" t="s">
        <v>583</v>
      </c>
      <c r="Q1239" s="61" t="s">
        <v>57</v>
      </c>
      <c r="R1239" s="55"/>
      <c r="S1239" s="56" t="s">
        <v>58</v>
      </c>
      <c r="T1239" s="55" t="s">
        <v>81</v>
      </c>
      <c r="U1239" s="57">
        <v>-999</v>
      </c>
      <c r="V1239" s="57" t="s">
        <v>59</v>
      </c>
      <c r="W1239" s="55"/>
      <c r="X1239" s="54" t="s">
        <v>5246</v>
      </c>
      <c r="Y1239" s="60"/>
      <c r="Z1239" s="1" t="s">
        <v>61</v>
      </c>
      <c r="AA1239" s="3" t="s">
        <v>2688</v>
      </c>
      <c r="AB1239" s="3"/>
      <c r="AC1239" s="3"/>
      <c r="AD1239" s="3" t="s">
        <v>62</v>
      </c>
      <c r="AE1239" s="1" t="s">
        <v>524</v>
      </c>
      <c r="AF1239" s="1" t="s">
        <v>585</v>
      </c>
      <c r="AG1239" s="1" t="s">
        <v>586</v>
      </c>
      <c r="AH1239" s="58">
        <v>100</v>
      </c>
      <c r="AI1239" s="3"/>
      <c r="AJ1239" s="3"/>
      <c r="AK1239" s="3"/>
      <c r="AL1239" s="3"/>
      <c r="AM1239" s="3"/>
      <c r="AN1239" s="3"/>
      <c r="AO1239" s="3"/>
      <c r="AP1239" s="3"/>
      <c r="AQ1239" s="3"/>
      <c r="AR1239" s="3"/>
      <c r="AS1239" s="3"/>
      <c r="AT1239" s="3"/>
      <c r="AU1239" s="3"/>
      <c r="AV1239" s="3"/>
      <c r="AW1239" s="3"/>
      <c r="AX1239" s="3"/>
      <c r="AY1239" s="3"/>
      <c r="AZ1239" s="4" t="s">
        <v>2686</v>
      </c>
      <c r="BA1239" s="3"/>
      <c r="BB1239" s="1"/>
      <c r="BC1239" s="1"/>
    </row>
    <row r="1240" spans="1:55" s="78" customFormat="1" ht="15" customHeight="1" x14ac:dyDescent="0.25">
      <c r="A1240" s="52" t="s">
        <v>5247</v>
      </c>
      <c r="B1240" s="34" t="s">
        <v>59</v>
      </c>
      <c r="C1240" s="53">
        <v>2026</v>
      </c>
      <c r="D1240" s="53">
        <v>2026</v>
      </c>
      <c r="E1240" s="54" t="s">
        <v>3772</v>
      </c>
      <c r="F1240" s="55" t="s">
        <v>50</v>
      </c>
      <c r="G1240" s="55" t="s">
        <v>50</v>
      </c>
      <c r="H1240" s="45" t="s">
        <v>2687</v>
      </c>
      <c r="I1240" s="56" t="s">
        <v>78</v>
      </c>
      <c r="J1240" s="56"/>
      <c r="K1240" s="56" t="s">
        <v>74</v>
      </c>
      <c r="L1240" s="55" t="str">
        <f>IF(K1240="Mines and Quarries","Mine","")</f>
        <v/>
      </c>
      <c r="M1240" s="55"/>
      <c r="N1240" s="56" t="s">
        <v>181</v>
      </c>
      <c r="O1240" s="56"/>
      <c r="P1240" s="55" t="s">
        <v>75</v>
      </c>
      <c r="Q1240" s="56" t="s">
        <v>57</v>
      </c>
      <c r="R1240" s="55"/>
      <c r="S1240" s="56" t="s">
        <v>58</v>
      </c>
      <c r="T1240" s="55" t="str">
        <f>IF(ISNUMBER(SEARCH(",",N1240)),"Y","N")</f>
        <v>N</v>
      </c>
      <c r="U1240" s="57">
        <v>-999</v>
      </c>
      <c r="V1240" s="57" t="s">
        <v>59</v>
      </c>
      <c r="W1240" s="55"/>
      <c r="X1240" s="54" t="s">
        <v>5247</v>
      </c>
      <c r="Y1240" s="60"/>
      <c r="Z1240" s="1" t="s">
        <v>61</v>
      </c>
      <c r="AA1240" s="1" t="s">
        <v>584</v>
      </c>
      <c r="AB1240" s="1"/>
      <c r="AC1240" s="1"/>
      <c r="AD1240" s="3" t="s">
        <v>62</v>
      </c>
      <c r="AE1240" s="1" t="s">
        <v>524</v>
      </c>
      <c r="AF1240" s="1" t="s">
        <v>585</v>
      </c>
      <c r="AG1240" s="1" t="s">
        <v>586</v>
      </c>
      <c r="AH1240" s="58">
        <v>100</v>
      </c>
      <c r="AI1240" s="1"/>
      <c r="AJ1240" s="1"/>
      <c r="AK1240" s="1"/>
      <c r="AL1240" s="1"/>
      <c r="AM1240" s="1"/>
      <c r="AN1240" s="1"/>
      <c r="AO1240" s="1"/>
      <c r="AP1240" s="1"/>
      <c r="AQ1240" s="1"/>
      <c r="AR1240" s="1"/>
      <c r="AS1240" s="1"/>
      <c r="AT1240" s="1"/>
      <c r="AU1240" s="1"/>
      <c r="AV1240" s="1"/>
      <c r="AW1240" s="1"/>
      <c r="AX1240" s="1"/>
      <c r="AY1240" s="1"/>
      <c r="AZ1240" s="5" t="s">
        <v>587</v>
      </c>
      <c r="BA1240" s="5"/>
      <c r="BB1240" s="1"/>
      <c r="BC1240" s="1"/>
    </row>
    <row r="1241" spans="1:55" s="78" customFormat="1" ht="15" customHeight="1" x14ac:dyDescent="0.25">
      <c r="A1241" s="52" t="s">
        <v>5248</v>
      </c>
      <c r="B1241" s="34" t="s">
        <v>59</v>
      </c>
      <c r="C1241" s="53">
        <v>2026</v>
      </c>
      <c r="D1241" s="53">
        <v>2026</v>
      </c>
      <c r="E1241" s="54" t="s">
        <v>3773</v>
      </c>
      <c r="F1241" s="55" t="s">
        <v>50</v>
      </c>
      <c r="G1241" s="55" t="s">
        <v>50</v>
      </c>
      <c r="H1241" s="45" t="s">
        <v>2690</v>
      </c>
      <c r="I1241" s="56" t="s">
        <v>78</v>
      </c>
      <c r="J1241" s="56"/>
      <c r="K1241" s="55" t="s">
        <v>53</v>
      </c>
      <c r="L1241" s="55" t="s">
        <v>88</v>
      </c>
      <c r="M1241" s="55"/>
      <c r="N1241" s="55" t="s">
        <v>181</v>
      </c>
      <c r="O1241" s="55"/>
      <c r="P1241" s="55" t="s">
        <v>56</v>
      </c>
      <c r="Q1241" s="55" t="s">
        <v>57</v>
      </c>
      <c r="R1241" s="55"/>
      <c r="S1241" s="56" t="s">
        <v>58</v>
      </c>
      <c r="T1241" s="55" t="s">
        <v>81</v>
      </c>
      <c r="U1241" s="57">
        <v>-999</v>
      </c>
      <c r="V1241" s="57" t="s">
        <v>59</v>
      </c>
      <c r="W1241" s="55"/>
      <c r="X1241" s="54" t="s">
        <v>5248</v>
      </c>
      <c r="Y1241" s="60"/>
      <c r="Z1241" s="1" t="s">
        <v>61</v>
      </c>
      <c r="AA1241" s="3" t="s">
        <v>610</v>
      </c>
      <c r="AB1241" s="3"/>
      <c r="AC1241" s="3"/>
      <c r="AD1241" s="3" t="s">
        <v>62</v>
      </c>
      <c r="AE1241" s="1" t="s">
        <v>524</v>
      </c>
      <c r="AF1241" s="1" t="s">
        <v>585</v>
      </c>
      <c r="AG1241" s="1" t="s">
        <v>586</v>
      </c>
      <c r="AH1241" s="58">
        <v>100</v>
      </c>
      <c r="AI1241" s="3"/>
      <c r="AJ1241" s="3"/>
      <c r="AK1241" s="3"/>
      <c r="AL1241" s="3"/>
      <c r="AM1241" s="3"/>
      <c r="AN1241" s="3"/>
      <c r="AO1241" s="3"/>
      <c r="AP1241" s="3"/>
      <c r="AQ1241" s="3"/>
      <c r="AR1241" s="3"/>
      <c r="AS1241" s="3"/>
      <c r="AT1241" s="3"/>
      <c r="AU1241" s="3"/>
      <c r="AV1241" s="3"/>
      <c r="AW1241" s="3"/>
      <c r="AX1241" s="3"/>
      <c r="AY1241" s="3"/>
      <c r="AZ1241" s="4" t="s">
        <v>2689</v>
      </c>
      <c r="BA1241" s="3"/>
      <c r="BB1241" s="1"/>
      <c r="BC1241" s="1"/>
    </row>
    <row r="1242" spans="1:55" s="78" customFormat="1" ht="15" customHeight="1" x14ac:dyDescent="0.25">
      <c r="A1242" s="52" t="s">
        <v>5249</v>
      </c>
      <c r="B1242" s="34" t="s">
        <v>59</v>
      </c>
      <c r="C1242" s="53">
        <v>2026</v>
      </c>
      <c r="D1242" s="53">
        <v>2026</v>
      </c>
      <c r="E1242" s="54" t="s">
        <v>3773</v>
      </c>
      <c r="F1242" s="55" t="s">
        <v>50</v>
      </c>
      <c r="G1242" s="55" t="s">
        <v>50</v>
      </c>
      <c r="H1242" s="45" t="s">
        <v>2690</v>
      </c>
      <c r="I1242" s="56" t="s">
        <v>78</v>
      </c>
      <c r="J1242" s="56"/>
      <c r="K1242" s="55" t="s">
        <v>313</v>
      </c>
      <c r="L1242" s="56" t="s">
        <v>88</v>
      </c>
      <c r="M1242" s="55"/>
      <c r="N1242" s="55" t="s">
        <v>181</v>
      </c>
      <c r="O1242" s="55"/>
      <c r="P1242" s="55" t="s">
        <v>314</v>
      </c>
      <c r="Q1242" s="61" t="s">
        <v>57</v>
      </c>
      <c r="R1242" s="55"/>
      <c r="S1242" s="56" t="s">
        <v>58</v>
      </c>
      <c r="T1242" s="55" t="s">
        <v>81</v>
      </c>
      <c r="U1242" s="57">
        <v>-999</v>
      </c>
      <c r="V1242" s="57" t="s">
        <v>59</v>
      </c>
      <c r="W1242" s="55"/>
      <c r="X1242" s="54" t="s">
        <v>5249</v>
      </c>
      <c r="Y1242" s="60"/>
      <c r="Z1242" s="1" t="s">
        <v>61</v>
      </c>
      <c r="AA1242" s="3" t="s">
        <v>610</v>
      </c>
      <c r="AB1242" s="3"/>
      <c r="AC1242" s="3"/>
      <c r="AD1242" s="3" t="s">
        <v>62</v>
      </c>
      <c r="AE1242" s="1" t="s">
        <v>524</v>
      </c>
      <c r="AF1242" s="1" t="s">
        <v>585</v>
      </c>
      <c r="AG1242" s="1" t="s">
        <v>586</v>
      </c>
      <c r="AH1242" s="58">
        <v>100</v>
      </c>
      <c r="AI1242" s="3"/>
      <c r="AJ1242" s="3"/>
      <c r="AK1242" s="3"/>
      <c r="AL1242" s="3"/>
      <c r="AM1242" s="3"/>
      <c r="AN1242" s="3"/>
      <c r="AO1242" s="3"/>
      <c r="AP1242" s="3"/>
      <c r="AQ1242" s="3"/>
      <c r="AR1242" s="3"/>
      <c r="AS1242" s="3"/>
      <c r="AT1242" s="3"/>
      <c r="AU1242" s="3"/>
      <c r="AV1242" s="3"/>
      <c r="AW1242" s="3"/>
      <c r="AX1242" s="3"/>
      <c r="AY1242" s="3"/>
      <c r="AZ1242" s="4" t="s">
        <v>2689</v>
      </c>
      <c r="BA1242" s="3"/>
      <c r="BB1242" s="1"/>
      <c r="BC1242" s="1"/>
    </row>
    <row r="1243" spans="1:55" s="78" customFormat="1" ht="15" customHeight="1" x14ac:dyDescent="0.25">
      <c r="A1243" s="52" t="s">
        <v>5250</v>
      </c>
      <c r="B1243" s="34" t="s">
        <v>59</v>
      </c>
      <c r="C1243" s="53">
        <v>2026</v>
      </c>
      <c r="D1243" s="53">
        <v>2026</v>
      </c>
      <c r="E1243" s="54" t="s">
        <v>3773</v>
      </c>
      <c r="F1243" s="55" t="s">
        <v>50</v>
      </c>
      <c r="G1243" s="55" t="s">
        <v>50</v>
      </c>
      <c r="H1243" s="45" t="s">
        <v>2690</v>
      </c>
      <c r="I1243" s="56" t="s">
        <v>78</v>
      </c>
      <c r="J1243" s="56"/>
      <c r="K1243" s="55" t="s">
        <v>582</v>
      </c>
      <c r="L1243" s="55" t="s">
        <v>88</v>
      </c>
      <c r="M1243" s="55"/>
      <c r="N1243" s="55" t="s">
        <v>181</v>
      </c>
      <c r="O1243" s="55"/>
      <c r="P1243" s="55" t="s">
        <v>583</v>
      </c>
      <c r="Q1243" s="61" t="s">
        <v>57</v>
      </c>
      <c r="R1243" s="55"/>
      <c r="S1243" s="56" t="s">
        <v>58</v>
      </c>
      <c r="T1243" s="55" t="s">
        <v>81</v>
      </c>
      <c r="U1243" s="57">
        <v>-999</v>
      </c>
      <c r="V1243" s="57" t="s">
        <v>59</v>
      </c>
      <c r="W1243" s="55"/>
      <c r="X1243" s="54" t="s">
        <v>5250</v>
      </c>
      <c r="Y1243" s="60"/>
      <c r="Z1243" s="1" t="s">
        <v>61</v>
      </c>
      <c r="AA1243" s="3" t="s">
        <v>610</v>
      </c>
      <c r="AB1243" s="3"/>
      <c r="AC1243" s="3"/>
      <c r="AD1243" s="3" t="s">
        <v>62</v>
      </c>
      <c r="AE1243" s="1" t="s">
        <v>524</v>
      </c>
      <c r="AF1243" s="1" t="s">
        <v>585</v>
      </c>
      <c r="AG1243" s="1" t="s">
        <v>586</v>
      </c>
      <c r="AH1243" s="58">
        <v>100</v>
      </c>
      <c r="AI1243" s="3"/>
      <c r="AJ1243" s="3"/>
      <c r="AK1243" s="3"/>
      <c r="AL1243" s="3"/>
      <c r="AM1243" s="3"/>
      <c r="AN1243" s="3"/>
      <c r="AO1243" s="3"/>
      <c r="AP1243" s="3"/>
      <c r="AQ1243" s="3"/>
      <c r="AR1243" s="3"/>
      <c r="AS1243" s="3"/>
      <c r="AT1243" s="3"/>
      <c r="AU1243" s="3"/>
      <c r="AV1243" s="3"/>
      <c r="AW1243" s="3"/>
      <c r="AX1243" s="3"/>
      <c r="AY1243" s="3"/>
      <c r="AZ1243" s="4" t="s">
        <v>2689</v>
      </c>
      <c r="BA1243" s="3"/>
      <c r="BB1243" s="1"/>
      <c r="BC1243" s="1"/>
    </row>
    <row r="1244" spans="1:55" s="78" customFormat="1" ht="15" customHeight="1" x14ac:dyDescent="0.25">
      <c r="A1244" s="52" t="s">
        <v>5251</v>
      </c>
      <c r="B1244" s="34" t="s">
        <v>59</v>
      </c>
      <c r="C1244" s="53">
        <v>2026</v>
      </c>
      <c r="D1244" s="53">
        <v>2026</v>
      </c>
      <c r="E1244" s="54" t="s">
        <v>3773</v>
      </c>
      <c r="F1244" s="55" t="s">
        <v>50</v>
      </c>
      <c r="G1244" s="55" t="s">
        <v>50</v>
      </c>
      <c r="H1244" s="45" t="s">
        <v>2690</v>
      </c>
      <c r="I1244" s="56" t="s">
        <v>78</v>
      </c>
      <c r="J1244" s="56"/>
      <c r="K1244" s="56" t="s">
        <v>74</v>
      </c>
      <c r="L1244" s="55" t="s">
        <v>88</v>
      </c>
      <c r="M1244" s="55"/>
      <c r="N1244" s="56" t="s">
        <v>181</v>
      </c>
      <c r="O1244" s="56"/>
      <c r="P1244" s="55" t="s">
        <v>75</v>
      </c>
      <c r="Q1244" s="56" t="s">
        <v>57</v>
      </c>
      <c r="R1244" s="55"/>
      <c r="S1244" s="56" t="s">
        <v>58</v>
      </c>
      <c r="T1244" s="55" t="str">
        <f>IF(ISNUMBER(SEARCH(",",N1244)),"Y","N")</f>
        <v>N</v>
      </c>
      <c r="U1244" s="57">
        <v>-999</v>
      </c>
      <c r="V1244" s="57" t="s">
        <v>59</v>
      </c>
      <c r="W1244" s="55"/>
      <c r="X1244" s="54" t="s">
        <v>5251</v>
      </c>
      <c r="Y1244" s="60"/>
      <c r="Z1244" s="1" t="s">
        <v>61</v>
      </c>
      <c r="AA1244" s="1" t="s">
        <v>584</v>
      </c>
      <c r="AB1244" s="1"/>
      <c r="AC1244" s="1"/>
      <c r="AD1244" s="3" t="s">
        <v>62</v>
      </c>
      <c r="AE1244" s="1" t="s">
        <v>524</v>
      </c>
      <c r="AF1244" s="1" t="s">
        <v>585</v>
      </c>
      <c r="AG1244" s="1" t="s">
        <v>586</v>
      </c>
      <c r="AH1244" s="58">
        <v>100</v>
      </c>
      <c r="AI1244" s="1"/>
      <c r="AJ1244" s="1"/>
      <c r="AK1244" s="1"/>
      <c r="AL1244" s="1"/>
      <c r="AM1244" s="1"/>
      <c r="AN1244" s="1"/>
      <c r="AO1244" s="1"/>
      <c r="AP1244" s="1"/>
      <c r="AQ1244" s="1"/>
      <c r="AR1244" s="1"/>
      <c r="AS1244" s="1"/>
      <c r="AT1244" s="1"/>
      <c r="AU1244" s="1"/>
      <c r="AV1244" s="1"/>
      <c r="AW1244" s="1"/>
      <c r="AX1244" s="1"/>
      <c r="AY1244" s="1"/>
      <c r="AZ1244" s="5" t="s">
        <v>587</v>
      </c>
      <c r="BA1244" s="5"/>
      <c r="BB1244" s="1"/>
      <c r="BC1244" s="1"/>
    </row>
    <row r="1245" spans="1:55" s="78" customFormat="1" ht="15" customHeight="1" x14ac:dyDescent="0.25">
      <c r="A1245" s="52" t="s">
        <v>5252</v>
      </c>
      <c r="B1245" s="34" t="s">
        <v>59</v>
      </c>
      <c r="C1245" s="53">
        <v>2026</v>
      </c>
      <c r="D1245" s="53">
        <v>2026</v>
      </c>
      <c r="E1245" s="54" t="s">
        <v>3774</v>
      </c>
      <c r="F1245" s="55" t="s">
        <v>50</v>
      </c>
      <c r="G1245" s="55" t="s">
        <v>50</v>
      </c>
      <c r="H1245" s="45" t="s">
        <v>2692</v>
      </c>
      <c r="I1245" s="45" t="s">
        <v>52</v>
      </c>
      <c r="J1245" s="56"/>
      <c r="K1245" s="55" t="s">
        <v>346</v>
      </c>
      <c r="L1245" s="55" t="str">
        <f>IF(K1245="Mine or Quarry","Mine","")</f>
        <v/>
      </c>
      <c r="M1245" s="55"/>
      <c r="N1245" s="56" t="s">
        <v>788</v>
      </c>
      <c r="O1245" s="55" t="s">
        <v>276</v>
      </c>
      <c r="P1245" s="56" t="s">
        <v>89</v>
      </c>
      <c r="Q1245" s="56" t="s">
        <v>89</v>
      </c>
      <c r="R1245" s="55"/>
      <c r="S1245" s="56" t="s">
        <v>81</v>
      </c>
      <c r="T1245" s="55" t="str">
        <f>IF(ISNUMBER(SEARCH(",",N1245)),"Y","N")</f>
        <v>N</v>
      </c>
      <c r="U1245" s="57">
        <v>45000</v>
      </c>
      <c r="V1245" s="57" t="s">
        <v>101</v>
      </c>
      <c r="W1245" s="55" t="s">
        <v>2319</v>
      </c>
      <c r="X1245" s="54" t="s">
        <v>5252</v>
      </c>
      <c r="Y1245" s="52"/>
      <c r="Z1245" s="3" t="s">
        <v>61</v>
      </c>
      <c r="AA1245" s="3" t="s">
        <v>2693</v>
      </c>
      <c r="AB1245" s="3"/>
      <c r="AC1245" s="3"/>
      <c r="AD1245" s="3" t="s">
        <v>62</v>
      </c>
      <c r="AE1245" s="3" t="s">
        <v>206</v>
      </c>
      <c r="AF1245" s="3"/>
      <c r="AG1245" s="3" t="s">
        <v>2694</v>
      </c>
      <c r="AH1245" s="58">
        <v>100</v>
      </c>
      <c r="AI1245" s="3"/>
      <c r="AJ1245" s="3"/>
      <c r="AK1245" s="3"/>
      <c r="AL1245" s="3"/>
      <c r="AM1245" s="3"/>
      <c r="AN1245" s="3"/>
      <c r="AO1245" s="3"/>
      <c r="AP1245" s="3"/>
      <c r="AQ1245" s="3"/>
      <c r="AR1245" s="3"/>
      <c r="AS1245" s="3"/>
      <c r="AT1245" s="3"/>
      <c r="AU1245" s="3"/>
      <c r="AV1245" s="3"/>
      <c r="AW1245" s="3"/>
      <c r="AX1245" s="3"/>
      <c r="AY1245" s="3"/>
      <c r="AZ1245" s="4" t="s">
        <v>2691</v>
      </c>
      <c r="BA1245" s="3"/>
      <c r="BB1245" s="1"/>
      <c r="BC1245" s="1"/>
    </row>
    <row r="1246" spans="1:55" s="78" customFormat="1" ht="15" customHeight="1" x14ac:dyDescent="0.25">
      <c r="A1246" s="52" t="s">
        <v>5253</v>
      </c>
      <c r="B1246" s="34" t="s">
        <v>59</v>
      </c>
      <c r="C1246" s="53">
        <v>2026</v>
      </c>
      <c r="D1246" s="53">
        <v>2026</v>
      </c>
      <c r="E1246" s="54" t="s">
        <v>3775</v>
      </c>
      <c r="F1246" s="55" t="s">
        <v>50</v>
      </c>
      <c r="G1246" s="55" t="s">
        <v>50</v>
      </c>
      <c r="H1246" s="45" t="s">
        <v>2696</v>
      </c>
      <c r="I1246" s="56" t="s">
        <v>52</v>
      </c>
      <c r="J1246" s="56"/>
      <c r="K1246" s="55" t="s">
        <v>173</v>
      </c>
      <c r="L1246" s="55"/>
      <c r="M1246" s="55" t="s">
        <v>113</v>
      </c>
      <c r="N1246" s="56"/>
      <c r="O1246" s="56"/>
      <c r="P1246" s="55" t="s">
        <v>444</v>
      </c>
      <c r="Q1246" s="56" t="s">
        <v>57</v>
      </c>
      <c r="R1246" s="55"/>
      <c r="S1246" s="56" t="s">
        <v>58</v>
      </c>
      <c r="T1246" s="55" t="s">
        <v>81</v>
      </c>
      <c r="U1246" s="57">
        <v>-999</v>
      </c>
      <c r="V1246" s="57" t="s">
        <v>59</v>
      </c>
      <c r="W1246" s="55" t="s">
        <v>2319</v>
      </c>
      <c r="X1246" s="54" t="s">
        <v>5253</v>
      </c>
      <c r="Y1246" s="52"/>
      <c r="Z1246" s="2" t="s">
        <v>61</v>
      </c>
      <c r="AA1246" s="1" t="s">
        <v>898</v>
      </c>
      <c r="AB1246" s="1"/>
      <c r="AC1246" s="1"/>
      <c r="AD1246" s="3" t="s">
        <v>62</v>
      </c>
      <c r="AE1246" s="2" t="s">
        <v>83</v>
      </c>
      <c r="AF1246" s="2"/>
      <c r="AG1246" s="1" t="s">
        <v>899</v>
      </c>
      <c r="AH1246" s="2">
        <v>100</v>
      </c>
      <c r="AI1246" s="1"/>
      <c r="AJ1246" s="1"/>
      <c r="AK1246" s="1"/>
      <c r="AL1246" s="1"/>
      <c r="AM1246" s="1"/>
      <c r="AN1246" s="1"/>
      <c r="AO1246" s="1"/>
      <c r="AP1246" s="1"/>
      <c r="AQ1246" s="1"/>
      <c r="AR1246" s="1"/>
      <c r="AS1246" s="1"/>
      <c r="AT1246" s="1"/>
      <c r="AU1246" s="1"/>
      <c r="AV1246" s="1"/>
      <c r="AW1246" s="1"/>
      <c r="AX1246" s="1"/>
      <c r="AY1246" s="1"/>
      <c r="AZ1246" s="4" t="s">
        <v>2695</v>
      </c>
      <c r="BA1246" s="1"/>
      <c r="BB1246" s="1"/>
      <c r="BC1246" s="1"/>
    </row>
    <row r="1247" spans="1:55" s="78" customFormat="1" ht="15" customHeight="1" x14ac:dyDescent="0.25">
      <c r="A1247" s="52" t="s">
        <v>5254</v>
      </c>
      <c r="B1247" s="34" t="s">
        <v>59</v>
      </c>
      <c r="C1247" s="53">
        <v>2026</v>
      </c>
      <c r="D1247" s="53">
        <v>2026</v>
      </c>
      <c r="E1247" s="54" t="s">
        <v>3776</v>
      </c>
      <c r="F1247" s="55" t="s">
        <v>50</v>
      </c>
      <c r="G1247" s="55" t="s">
        <v>50</v>
      </c>
      <c r="H1247" s="45" t="s">
        <v>2697</v>
      </c>
      <c r="I1247" s="45" t="s">
        <v>78</v>
      </c>
      <c r="J1247" s="56"/>
      <c r="K1247" s="56" t="s">
        <v>417</v>
      </c>
      <c r="L1247" s="55" t="s">
        <v>88</v>
      </c>
      <c r="M1247" s="55"/>
      <c r="N1247" s="55" t="s">
        <v>418</v>
      </c>
      <c r="O1247" s="55"/>
      <c r="P1247" s="55" t="s">
        <v>89</v>
      </c>
      <c r="Q1247" s="55" t="s">
        <v>89</v>
      </c>
      <c r="R1247" s="55"/>
      <c r="S1247" s="56" t="s">
        <v>81</v>
      </c>
      <c r="T1247" s="55" t="s">
        <v>81</v>
      </c>
      <c r="U1247" s="57">
        <v>3700000</v>
      </c>
      <c r="V1247" s="57" t="s">
        <v>101</v>
      </c>
      <c r="W1247" s="55" t="s">
        <v>2319</v>
      </c>
      <c r="X1247" s="54" t="s">
        <v>5254</v>
      </c>
      <c r="Y1247" s="52"/>
      <c r="Z1247" s="3" t="s">
        <v>61</v>
      </c>
      <c r="AA1247" s="3" t="s">
        <v>591</v>
      </c>
      <c r="AB1247" s="3"/>
      <c r="AC1247" s="3"/>
      <c r="AD1247" s="3" t="s">
        <v>62</v>
      </c>
      <c r="AE1247" s="3" t="s">
        <v>592</v>
      </c>
      <c r="AF1247" s="3"/>
      <c r="AG1247" s="3" t="s">
        <v>2698</v>
      </c>
      <c r="AH1247" s="58">
        <v>100</v>
      </c>
      <c r="AI1247" s="3"/>
      <c r="AJ1247" s="3"/>
      <c r="AK1247" s="3"/>
      <c r="AL1247" s="3"/>
      <c r="AM1247" s="3"/>
      <c r="AN1247" s="3"/>
      <c r="AO1247" s="3"/>
      <c r="AP1247" s="3"/>
      <c r="AQ1247" s="3"/>
      <c r="AR1247" s="3"/>
      <c r="AS1247" s="3"/>
      <c r="AT1247" s="3"/>
      <c r="AU1247" s="3"/>
      <c r="AV1247" s="3"/>
      <c r="AW1247" s="3"/>
      <c r="AX1247" s="3"/>
      <c r="AY1247" s="3"/>
      <c r="AZ1247" s="4" t="s">
        <v>1273</v>
      </c>
      <c r="BA1247" s="3"/>
      <c r="BB1247" s="1"/>
      <c r="BC1247" s="1"/>
    </row>
    <row r="1248" spans="1:55" s="78" customFormat="1" ht="15" customHeight="1" x14ac:dyDescent="0.25">
      <c r="A1248" s="52" t="s">
        <v>5255</v>
      </c>
      <c r="B1248" s="34" t="s">
        <v>59</v>
      </c>
      <c r="C1248" s="53">
        <v>2026</v>
      </c>
      <c r="D1248" s="53">
        <v>2026</v>
      </c>
      <c r="E1248" s="54" t="s">
        <v>3777</v>
      </c>
      <c r="F1248" s="55" t="s">
        <v>50</v>
      </c>
      <c r="G1248" s="55" t="s">
        <v>50</v>
      </c>
      <c r="H1248" s="45" t="s">
        <v>2700</v>
      </c>
      <c r="I1248" s="56" t="s">
        <v>52</v>
      </c>
      <c r="J1248" s="56"/>
      <c r="K1248" s="55" t="s">
        <v>633</v>
      </c>
      <c r="L1248" s="55"/>
      <c r="M1248" s="55"/>
      <c r="N1248" s="56" t="s">
        <v>418</v>
      </c>
      <c r="O1248" s="56"/>
      <c r="P1248" s="56" t="s">
        <v>89</v>
      </c>
      <c r="Q1248" s="61" t="s">
        <v>89</v>
      </c>
      <c r="R1248" s="55"/>
      <c r="S1248" s="56" t="s">
        <v>81</v>
      </c>
      <c r="T1248" s="55" t="s">
        <v>81</v>
      </c>
      <c r="U1248" s="57">
        <v>500000</v>
      </c>
      <c r="V1248" s="57" t="s">
        <v>101</v>
      </c>
      <c r="W1248" s="55" t="s">
        <v>2319</v>
      </c>
      <c r="X1248" s="54" t="s">
        <v>5255</v>
      </c>
      <c r="Y1248" s="52"/>
      <c r="Z1248" s="2" t="s">
        <v>61</v>
      </c>
      <c r="AA1248" s="1" t="s">
        <v>2701</v>
      </c>
      <c r="AB1248" s="1"/>
      <c r="AC1248" s="1"/>
      <c r="AD1248" s="3" t="s">
        <v>62</v>
      </c>
      <c r="AE1248" s="2" t="s">
        <v>115</v>
      </c>
      <c r="AF1248" s="2" t="s">
        <v>2702</v>
      </c>
      <c r="AG1248" s="1" t="s">
        <v>635</v>
      </c>
      <c r="AH1248" s="2">
        <v>100</v>
      </c>
      <c r="AI1248" s="1"/>
      <c r="AJ1248" s="1"/>
      <c r="AK1248" s="1"/>
      <c r="AL1248" s="1"/>
      <c r="AM1248" s="1"/>
      <c r="AN1248" s="1"/>
      <c r="AO1248" s="1"/>
      <c r="AP1248" s="1"/>
      <c r="AQ1248" s="1"/>
      <c r="AR1248" s="1"/>
      <c r="AS1248" s="1"/>
      <c r="AT1248" s="1"/>
      <c r="AU1248" s="1"/>
      <c r="AV1248" s="1"/>
      <c r="AW1248" s="1"/>
      <c r="AX1248" s="1"/>
      <c r="AY1248" s="1"/>
      <c r="AZ1248" s="4" t="s">
        <v>2699</v>
      </c>
      <c r="BA1248" s="1"/>
      <c r="BB1248" s="1"/>
      <c r="BC1248" s="1"/>
    </row>
    <row r="1249" spans="1:56" s="78" customFormat="1" ht="15" customHeight="1" x14ac:dyDescent="0.25">
      <c r="A1249" s="52" t="s">
        <v>5256</v>
      </c>
      <c r="B1249" s="34" t="s">
        <v>59</v>
      </c>
      <c r="C1249" s="53">
        <v>2026</v>
      </c>
      <c r="D1249" s="53">
        <v>2026</v>
      </c>
      <c r="E1249" s="54" t="s">
        <v>3778</v>
      </c>
      <c r="F1249" s="55" t="s">
        <v>50</v>
      </c>
      <c r="G1249" s="55" t="s">
        <v>50</v>
      </c>
      <c r="H1249" s="45" t="s">
        <v>2703</v>
      </c>
      <c r="I1249" s="45" t="s">
        <v>52</v>
      </c>
      <c r="J1249" s="56" t="s">
        <v>165</v>
      </c>
      <c r="K1249" s="56" t="s">
        <v>166</v>
      </c>
      <c r="L1249" s="55"/>
      <c r="M1249" s="55"/>
      <c r="N1249" s="56" t="s">
        <v>167</v>
      </c>
      <c r="O1249" s="56"/>
      <c r="P1249" s="56" t="s">
        <v>89</v>
      </c>
      <c r="Q1249" s="56" t="s">
        <v>89</v>
      </c>
      <c r="R1249" s="55"/>
      <c r="S1249" s="56" t="s">
        <v>81</v>
      </c>
      <c r="T1249" s="55" t="s">
        <v>81</v>
      </c>
      <c r="U1249" s="57">
        <v>-999</v>
      </c>
      <c r="V1249" s="57" t="s">
        <v>59</v>
      </c>
      <c r="W1249" s="55" t="s">
        <v>2319</v>
      </c>
      <c r="X1249" s="54" t="s">
        <v>5256</v>
      </c>
      <c r="Y1249" s="52"/>
      <c r="Z1249" s="1" t="s">
        <v>61</v>
      </c>
      <c r="AA1249" s="1" t="s">
        <v>2701</v>
      </c>
      <c r="AB1249" s="1"/>
      <c r="AC1249" s="1"/>
      <c r="AD1249" s="3" t="s">
        <v>62</v>
      </c>
      <c r="AE1249" s="3" t="s">
        <v>115</v>
      </c>
      <c r="AF1249" s="3" t="s">
        <v>169</v>
      </c>
      <c r="AG1249" s="3" t="s">
        <v>170</v>
      </c>
      <c r="AH1249" s="58">
        <v>100</v>
      </c>
      <c r="AI1249" s="1"/>
      <c r="AJ1249" s="1"/>
      <c r="AK1249" s="1"/>
      <c r="AL1249" s="1"/>
      <c r="AM1249" s="1"/>
      <c r="AN1249" s="1"/>
      <c r="AO1249" s="1"/>
      <c r="AP1249" s="1"/>
      <c r="AQ1249" s="1"/>
      <c r="AR1249" s="1"/>
      <c r="AS1249" s="1"/>
      <c r="AT1249" s="1"/>
      <c r="AU1249" s="1"/>
      <c r="AV1249" s="1"/>
      <c r="AW1249" s="1"/>
      <c r="AX1249" s="1"/>
      <c r="AY1249" s="1"/>
      <c r="AZ1249" s="4" t="s">
        <v>163</v>
      </c>
      <c r="BA1249" s="1"/>
      <c r="BB1249" s="1"/>
      <c r="BC1249" s="1"/>
    </row>
    <row r="1250" spans="1:56" s="78" customFormat="1" ht="15" customHeight="1" x14ac:dyDescent="0.25">
      <c r="A1250" s="52" t="s">
        <v>5257</v>
      </c>
      <c r="B1250" s="34" t="s">
        <v>59</v>
      </c>
      <c r="C1250" s="53">
        <v>2026</v>
      </c>
      <c r="D1250" s="53">
        <v>2026</v>
      </c>
      <c r="E1250" s="54" t="s">
        <v>3779</v>
      </c>
      <c r="F1250" s="55" t="s">
        <v>50</v>
      </c>
      <c r="G1250" s="55" t="s">
        <v>50</v>
      </c>
      <c r="H1250" s="45" t="s">
        <v>2704</v>
      </c>
      <c r="I1250" s="45" t="s">
        <v>52</v>
      </c>
      <c r="J1250" s="56" t="s">
        <v>316</v>
      </c>
      <c r="K1250" s="56" t="s">
        <v>316</v>
      </c>
      <c r="L1250" s="55" t="s">
        <v>317</v>
      </c>
      <c r="M1250" s="55"/>
      <c r="N1250" s="56" t="s">
        <v>55</v>
      </c>
      <c r="O1250" s="56" t="s">
        <v>1327</v>
      </c>
      <c r="P1250" s="55" t="s">
        <v>318</v>
      </c>
      <c r="Q1250" s="55" t="s">
        <v>57</v>
      </c>
      <c r="R1250" s="55"/>
      <c r="S1250" s="56" t="s">
        <v>81</v>
      </c>
      <c r="T1250" s="55" t="str">
        <f>IF(ISNUMBER(SEARCH(",",N1250)),"Y","N")</f>
        <v>N</v>
      </c>
      <c r="U1250" s="57">
        <v>300000</v>
      </c>
      <c r="V1250" s="57" t="s">
        <v>101</v>
      </c>
      <c r="W1250" s="55" t="s">
        <v>2319</v>
      </c>
      <c r="X1250" s="54" t="s">
        <v>5257</v>
      </c>
      <c r="Y1250" s="52"/>
      <c r="Z1250" s="2" t="s">
        <v>61</v>
      </c>
      <c r="AA1250" s="1" t="s">
        <v>2705</v>
      </c>
      <c r="AB1250" s="1"/>
      <c r="AC1250" s="1"/>
      <c r="AD1250" s="3" t="s">
        <v>62</v>
      </c>
      <c r="AE1250" s="2" t="s">
        <v>221</v>
      </c>
      <c r="AF1250" s="2"/>
      <c r="AG1250" s="3" t="s">
        <v>1448</v>
      </c>
      <c r="AH1250" s="58">
        <v>100</v>
      </c>
      <c r="AI1250" s="1"/>
      <c r="AJ1250" s="1"/>
      <c r="AK1250" s="1"/>
      <c r="AL1250" s="1"/>
      <c r="AM1250" s="1"/>
      <c r="AN1250" s="1"/>
      <c r="AO1250" s="1"/>
      <c r="AP1250" s="1"/>
      <c r="AQ1250" s="1"/>
      <c r="AR1250" s="1"/>
      <c r="AS1250" s="1"/>
      <c r="AT1250" s="1"/>
      <c r="AU1250" s="1"/>
      <c r="AV1250" s="1"/>
      <c r="AW1250" s="1"/>
      <c r="AX1250" s="1"/>
      <c r="AY1250" s="1"/>
      <c r="AZ1250" s="2" t="s">
        <v>3950</v>
      </c>
      <c r="BA1250" s="1" t="s">
        <v>3889</v>
      </c>
      <c r="BB1250" s="1"/>
      <c r="BC1250" s="1"/>
    </row>
    <row r="1251" spans="1:56" s="78" customFormat="1" ht="15" customHeight="1" x14ac:dyDescent="0.25">
      <c r="A1251" s="52" t="s">
        <v>5258</v>
      </c>
      <c r="B1251" s="34" t="s">
        <v>59</v>
      </c>
      <c r="C1251" s="53">
        <v>2026</v>
      </c>
      <c r="D1251" s="53">
        <v>2026</v>
      </c>
      <c r="E1251" s="54" t="s">
        <v>3780</v>
      </c>
      <c r="F1251" s="55" t="s">
        <v>50</v>
      </c>
      <c r="G1251" s="55" t="s">
        <v>50</v>
      </c>
      <c r="H1251" s="45" t="s">
        <v>2707</v>
      </c>
      <c r="I1251" s="56" t="s">
        <v>52</v>
      </c>
      <c r="J1251" s="45" t="s">
        <v>65</v>
      </c>
      <c r="K1251" s="55" t="s">
        <v>66</v>
      </c>
      <c r="L1251" s="55" t="s">
        <v>317</v>
      </c>
      <c r="M1251" s="55" t="s">
        <v>113</v>
      </c>
      <c r="N1251" s="56" t="s">
        <v>55</v>
      </c>
      <c r="O1251" s="56"/>
      <c r="P1251" s="56" t="s">
        <v>67</v>
      </c>
      <c r="Q1251" s="55" t="s">
        <v>57</v>
      </c>
      <c r="R1251" s="55"/>
      <c r="S1251" s="56" t="s">
        <v>58</v>
      </c>
      <c r="T1251" s="55" t="s">
        <v>81</v>
      </c>
      <c r="U1251" s="57">
        <v>-999</v>
      </c>
      <c r="V1251" s="57" t="s">
        <v>59</v>
      </c>
      <c r="W1251" s="55" t="s">
        <v>2319</v>
      </c>
      <c r="X1251" s="54" t="s">
        <v>5258</v>
      </c>
      <c r="Y1251" s="52"/>
      <c r="Z1251" s="1" t="s">
        <v>61</v>
      </c>
      <c r="AA1251" s="1" t="s">
        <v>2708</v>
      </c>
      <c r="AB1251" s="1"/>
      <c r="AC1251" s="1"/>
      <c r="AD1251" s="3" t="s">
        <v>62</v>
      </c>
      <c r="AE1251" s="1" t="s">
        <v>695</v>
      </c>
      <c r="AF1251" s="1" t="s">
        <v>2385</v>
      </c>
      <c r="AG1251" s="1" t="s">
        <v>2386</v>
      </c>
      <c r="AH1251" s="2">
        <v>100</v>
      </c>
      <c r="AI1251" s="1"/>
      <c r="AJ1251" s="1"/>
      <c r="AK1251" s="1"/>
      <c r="AL1251" s="1"/>
      <c r="AM1251" s="1"/>
      <c r="AN1251" s="1"/>
      <c r="AO1251" s="1"/>
      <c r="AP1251" s="1"/>
      <c r="AQ1251" s="1"/>
      <c r="AR1251" s="1"/>
      <c r="AS1251" s="1"/>
      <c r="AT1251" s="1"/>
      <c r="AU1251" s="1"/>
      <c r="AV1251" s="1"/>
      <c r="AW1251" s="1"/>
      <c r="AX1251" s="1"/>
      <c r="AY1251" s="1"/>
      <c r="AZ1251" s="4" t="s">
        <v>2706</v>
      </c>
      <c r="BA1251" s="1"/>
      <c r="BB1251" s="1"/>
      <c r="BC1251" s="1"/>
    </row>
    <row r="1252" spans="1:56" s="78" customFormat="1" ht="15" customHeight="1" x14ac:dyDescent="0.25">
      <c r="A1252" s="52" t="s">
        <v>5259</v>
      </c>
      <c r="B1252" s="34" t="s">
        <v>59</v>
      </c>
      <c r="C1252" s="53">
        <v>2026</v>
      </c>
      <c r="D1252" s="53">
        <v>2026</v>
      </c>
      <c r="E1252" s="54" t="s">
        <v>3780</v>
      </c>
      <c r="F1252" s="55" t="s">
        <v>50</v>
      </c>
      <c r="G1252" s="55" t="s">
        <v>50</v>
      </c>
      <c r="H1252" s="45" t="s">
        <v>2707</v>
      </c>
      <c r="I1252" s="56" t="s">
        <v>52</v>
      </c>
      <c r="J1252" s="56" t="s">
        <v>65</v>
      </c>
      <c r="K1252" s="55" t="s">
        <v>68</v>
      </c>
      <c r="L1252" s="55" t="s">
        <v>317</v>
      </c>
      <c r="M1252" s="55" t="s">
        <v>113</v>
      </c>
      <c r="N1252" s="56" t="s">
        <v>55</v>
      </c>
      <c r="O1252" s="56"/>
      <c r="P1252" s="56" t="s">
        <v>69</v>
      </c>
      <c r="Q1252" s="55" t="s">
        <v>57</v>
      </c>
      <c r="R1252" s="55"/>
      <c r="S1252" s="56" t="s">
        <v>58</v>
      </c>
      <c r="T1252" s="55" t="str">
        <f>IF(ISNUMBER(SEARCH(",",N1252)),"Y","N")</f>
        <v>N</v>
      </c>
      <c r="U1252" s="57">
        <v>-999</v>
      </c>
      <c r="V1252" s="57" t="s">
        <v>59</v>
      </c>
      <c r="W1252" s="55" t="s">
        <v>2319</v>
      </c>
      <c r="X1252" s="54" t="s">
        <v>5259</v>
      </c>
      <c r="Y1252" s="52"/>
      <c r="Z1252" s="1" t="s">
        <v>61</v>
      </c>
      <c r="AA1252" s="1" t="s">
        <v>2708</v>
      </c>
      <c r="AB1252" s="1"/>
      <c r="AC1252" s="1"/>
      <c r="AD1252" s="3" t="s">
        <v>62</v>
      </c>
      <c r="AE1252" s="1" t="s">
        <v>695</v>
      </c>
      <c r="AF1252" s="1" t="s">
        <v>2385</v>
      </c>
      <c r="AG1252" s="1" t="s">
        <v>2386</v>
      </c>
      <c r="AH1252" s="2">
        <v>100</v>
      </c>
      <c r="AI1252" s="1"/>
      <c r="AJ1252" s="1"/>
      <c r="AK1252" s="1"/>
      <c r="AL1252" s="1"/>
      <c r="AM1252" s="1"/>
      <c r="AN1252" s="1"/>
      <c r="AO1252" s="1"/>
      <c r="AP1252" s="1"/>
      <c r="AQ1252" s="1"/>
      <c r="AR1252" s="1"/>
      <c r="AS1252" s="1"/>
      <c r="AT1252" s="1"/>
      <c r="AU1252" s="1"/>
      <c r="AV1252" s="1"/>
      <c r="AW1252" s="1"/>
      <c r="AX1252" s="1"/>
      <c r="AY1252" s="1"/>
      <c r="AZ1252" s="4" t="s">
        <v>2706</v>
      </c>
      <c r="BA1252" s="1"/>
      <c r="BB1252" s="1"/>
      <c r="BC1252" s="1"/>
    </row>
    <row r="1253" spans="1:56" s="78" customFormat="1" x14ac:dyDescent="0.25">
      <c r="A1253" s="52" t="s">
        <v>5260</v>
      </c>
      <c r="B1253" s="34" t="s">
        <v>59</v>
      </c>
      <c r="C1253" s="53">
        <v>2026</v>
      </c>
      <c r="D1253" s="53">
        <v>2026</v>
      </c>
      <c r="E1253" s="54" t="s">
        <v>3781</v>
      </c>
      <c r="F1253" s="55" t="s">
        <v>50</v>
      </c>
      <c r="G1253" s="55" t="s">
        <v>50</v>
      </c>
      <c r="H1253" s="45" t="s">
        <v>2709</v>
      </c>
      <c r="I1253" s="45" t="s">
        <v>52</v>
      </c>
      <c r="J1253" s="56" t="s">
        <v>165</v>
      </c>
      <c r="K1253" s="56" t="s">
        <v>166</v>
      </c>
      <c r="L1253" s="55"/>
      <c r="M1253" s="55"/>
      <c r="N1253" s="56" t="s">
        <v>167</v>
      </c>
      <c r="O1253" s="56"/>
      <c r="P1253" s="56" t="s">
        <v>89</v>
      </c>
      <c r="Q1253" s="56" t="s">
        <v>89</v>
      </c>
      <c r="R1253" s="55"/>
      <c r="S1253" s="56" t="s">
        <v>81</v>
      </c>
      <c r="T1253" s="55" t="s">
        <v>81</v>
      </c>
      <c r="U1253" s="57">
        <v>-999</v>
      </c>
      <c r="V1253" s="57" t="s">
        <v>59</v>
      </c>
      <c r="W1253" s="55" t="s">
        <v>2319</v>
      </c>
      <c r="X1253" s="54" t="s">
        <v>5260</v>
      </c>
      <c r="Y1253" s="52"/>
      <c r="Z1253" s="1" t="s">
        <v>61</v>
      </c>
      <c r="AA1253" s="1" t="s">
        <v>2710</v>
      </c>
      <c r="AB1253" s="1"/>
      <c r="AC1253" s="1"/>
      <c r="AD1253" s="3" t="s">
        <v>62</v>
      </c>
      <c r="AE1253" s="3" t="s">
        <v>175</v>
      </c>
      <c r="AF1253" s="3"/>
      <c r="AG1253" s="3" t="s">
        <v>635</v>
      </c>
      <c r="AH1253" s="58">
        <v>100</v>
      </c>
      <c r="AI1253" s="1"/>
      <c r="AJ1253" s="1"/>
      <c r="AK1253" s="1"/>
      <c r="AL1253" s="1"/>
      <c r="AM1253" s="1"/>
      <c r="AN1253" s="1"/>
      <c r="AO1253" s="1"/>
      <c r="AP1253" s="1"/>
      <c r="AQ1253" s="1"/>
      <c r="AR1253" s="1"/>
      <c r="AS1253" s="1"/>
      <c r="AT1253" s="1"/>
      <c r="AU1253" s="1"/>
      <c r="AV1253" s="1"/>
      <c r="AW1253" s="1"/>
      <c r="AX1253" s="1"/>
      <c r="AY1253" s="1"/>
      <c r="AZ1253" s="4" t="s">
        <v>163</v>
      </c>
      <c r="BA1253" s="1"/>
      <c r="BB1253" s="1"/>
      <c r="BC1253" s="1"/>
    </row>
    <row r="1254" spans="1:56" s="78" customFormat="1" x14ac:dyDescent="0.25">
      <c r="A1254" s="52" t="s">
        <v>5261</v>
      </c>
      <c r="B1254" s="34" t="s">
        <v>59</v>
      </c>
      <c r="C1254" s="53">
        <v>2026</v>
      </c>
      <c r="D1254" s="53">
        <v>2026</v>
      </c>
      <c r="E1254" s="54" t="s">
        <v>3782</v>
      </c>
      <c r="F1254" s="55" t="s">
        <v>50</v>
      </c>
      <c r="G1254" s="55" t="s">
        <v>50</v>
      </c>
      <c r="H1254" s="45" t="s">
        <v>2711</v>
      </c>
      <c r="I1254" s="56" t="s">
        <v>52</v>
      </c>
      <c r="J1254" s="56"/>
      <c r="K1254" s="56" t="s">
        <v>204</v>
      </c>
      <c r="L1254" s="55"/>
      <c r="M1254" s="55"/>
      <c r="N1254" s="56"/>
      <c r="O1254" s="56"/>
      <c r="P1254" s="55" t="s">
        <v>89</v>
      </c>
      <c r="Q1254" s="55" t="s">
        <v>89</v>
      </c>
      <c r="R1254" s="55"/>
      <c r="S1254" s="56" t="s">
        <v>81</v>
      </c>
      <c r="T1254" s="55" t="s">
        <v>81</v>
      </c>
      <c r="U1254" s="57">
        <v>325000</v>
      </c>
      <c r="V1254" s="57" t="s">
        <v>101</v>
      </c>
      <c r="W1254" s="55" t="s">
        <v>2319</v>
      </c>
      <c r="X1254" s="54" t="s">
        <v>5261</v>
      </c>
      <c r="Y1254" s="52"/>
      <c r="Z1254" s="2" t="s">
        <v>61</v>
      </c>
      <c r="AA1254" s="1" t="s">
        <v>2712</v>
      </c>
      <c r="AB1254" s="1"/>
      <c r="AC1254" s="1"/>
      <c r="AD1254" s="3" t="s">
        <v>62</v>
      </c>
      <c r="AE1254" s="2" t="s">
        <v>115</v>
      </c>
      <c r="AF1254" s="3" t="s">
        <v>765</v>
      </c>
      <c r="AG1254" s="3" t="s">
        <v>766</v>
      </c>
      <c r="AH1254" s="58"/>
      <c r="AI1254" s="1"/>
      <c r="AJ1254" s="1"/>
      <c r="AK1254" s="1"/>
      <c r="AL1254" s="1"/>
      <c r="AM1254" s="1"/>
      <c r="AN1254" s="1"/>
      <c r="AO1254" s="1"/>
      <c r="AP1254" s="1"/>
      <c r="AQ1254" s="1"/>
      <c r="AR1254" s="1"/>
      <c r="AS1254" s="1"/>
      <c r="AT1254" s="1"/>
      <c r="AU1254" s="1"/>
      <c r="AV1254" s="1"/>
      <c r="AW1254" s="1"/>
      <c r="AX1254" s="1"/>
      <c r="AY1254" s="1"/>
      <c r="AZ1254" s="4" t="s">
        <v>202</v>
      </c>
      <c r="BA1254" s="1" t="s">
        <v>3966</v>
      </c>
      <c r="BB1254" s="1"/>
      <c r="BC1254" s="1"/>
    </row>
    <row r="1255" spans="1:56" s="78" customFormat="1" x14ac:dyDescent="0.25">
      <c r="A1255" s="52" t="s">
        <v>5262</v>
      </c>
      <c r="B1255" s="34" t="s">
        <v>59</v>
      </c>
      <c r="C1255" s="53">
        <v>2026</v>
      </c>
      <c r="D1255" s="53">
        <v>2026</v>
      </c>
      <c r="E1255" s="54" t="s">
        <v>3783</v>
      </c>
      <c r="F1255" s="55" t="s">
        <v>50</v>
      </c>
      <c r="G1255" s="55" t="s">
        <v>50</v>
      </c>
      <c r="H1255" s="45" t="s">
        <v>3769</v>
      </c>
      <c r="I1255" s="61" t="s">
        <v>78</v>
      </c>
      <c r="J1255" s="56"/>
      <c r="K1255" s="55" t="s">
        <v>715</v>
      </c>
      <c r="L1255" s="55"/>
      <c r="M1255" s="55"/>
      <c r="N1255" s="55" t="s">
        <v>358</v>
      </c>
      <c r="O1255" s="55" t="s">
        <v>723</v>
      </c>
      <c r="P1255" s="55" t="s">
        <v>716</v>
      </c>
      <c r="Q1255" s="55" t="s">
        <v>5353</v>
      </c>
      <c r="R1255" s="55"/>
      <c r="S1255" s="56" t="s">
        <v>58</v>
      </c>
      <c r="T1255" s="55" t="str">
        <f>IF(ISNUMBER(SEARCH(",",N1255)),"Y","N")</f>
        <v>N</v>
      </c>
      <c r="U1255" s="57">
        <v>57000</v>
      </c>
      <c r="V1255" s="57" t="s">
        <v>101</v>
      </c>
      <c r="W1255" s="55" t="s">
        <v>2319</v>
      </c>
      <c r="X1255" s="54" t="s">
        <v>5262</v>
      </c>
      <c r="Y1255" s="52"/>
      <c r="Z1255" s="3" t="s">
        <v>61</v>
      </c>
      <c r="AA1255" s="3" t="s">
        <v>2713</v>
      </c>
      <c r="AB1255" s="3"/>
      <c r="AC1255" s="3"/>
      <c r="AD1255" s="3" t="s">
        <v>62</v>
      </c>
      <c r="AE1255" s="3" t="s">
        <v>251</v>
      </c>
      <c r="AF1255" s="3"/>
      <c r="AG1255" s="3" t="s">
        <v>719</v>
      </c>
      <c r="AH1255" s="58">
        <v>100</v>
      </c>
      <c r="AI1255" s="3"/>
      <c r="AJ1255" s="3"/>
      <c r="AK1255" s="3"/>
      <c r="AL1255" s="3"/>
      <c r="AM1255" s="3"/>
      <c r="AN1255" s="3"/>
      <c r="AO1255" s="3"/>
      <c r="AP1255" s="3"/>
      <c r="AQ1255" s="3"/>
      <c r="AR1255" s="3"/>
      <c r="AS1255" s="3"/>
      <c r="AT1255" s="3"/>
      <c r="AU1255" s="3"/>
      <c r="AV1255" s="3"/>
      <c r="AW1255" s="3"/>
      <c r="AX1255" s="3"/>
      <c r="AY1255" s="3"/>
      <c r="AZ1255" s="4" t="s">
        <v>1067</v>
      </c>
      <c r="BA1255" s="3"/>
      <c r="BB1255" s="1"/>
      <c r="BC1255" s="1"/>
    </row>
    <row r="1256" spans="1:56" s="78" customFormat="1" x14ac:dyDescent="0.25">
      <c r="A1256" s="52" t="s">
        <v>5263</v>
      </c>
      <c r="B1256" s="34" t="s">
        <v>59</v>
      </c>
      <c r="C1256" s="53">
        <v>2026</v>
      </c>
      <c r="D1256" s="53">
        <v>2026</v>
      </c>
      <c r="E1256" s="54" t="s">
        <v>3784</v>
      </c>
      <c r="F1256" s="55" t="s">
        <v>50</v>
      </c>
      <c r="G1256" s="55" t="s">
        <v>50</v>
      </c>
      <c r="H1256" s="45" t="s">
        <v>2714</v>
      </c>
      <c r="I1256" s="61" t="s">
        <v>52</v>
      </c>
      <c r="J1256" s="56"/>
      <c r="K1256" s="55" t="s">
        <v>218</v>
      </c>
      <c r="L1256" s="55" t="str">
        <f>IF(K1256="Mine or Quarry","Mine","")</f>
        <v/>
      </c>
      <c r="M1256" s="55"/>
      <c r="N1256" s="55" t="s">
        <v>2715</v>
      </c>
      <c r="O1256" s="55"/>
      <c r="P1256" s="55" t="s">
        <v>219</v>
      </c>
      <c r="Q1256" s="55" t="s">
        <v>57</v>
      </c>
      <c r="R1256" s="55"/>
      <c r="S1256" s="56" t="s">
        <v>58</v>
      </c>
      <c r="T1256" s="55" t="str">
        <f>IF(ISNUMBER(SEARCH(",",N1256)),"Y","N")</f>
        <v>Y</v>
      </c>
      <c r="U1256" s="57">
        <v>27000</v>
      </c>
      <c r="V1256" s="57" t="s">
        <v>101</v>
      </c>
      <c r="W1256" s="55" t="s">
        <v>2319</v>
      </c>
      <c r="X1256" s="54" t="s">
        <v>5263</v>
      </c>
      <c r="Y1256" s="52"/>
      <c r="Z1256" s="3" t="s">
        <v>61</v>
      </c>
      <c r="AA1256" s="3" t="s">
        <v>2713</v>
      </c>
      <c r="AB1256" s="3"/>
      <c r="AC1256" s="3"/>
      <c r="AD1256" s="3" t="s">
        <v>62</v>
      </c>
      <c r="AE1256" s="3" t="s">
        <v>251</v>
      </c>
      <c r="AF1256" s="3"/>
      <c r="AG1256" s="3" t="s">
        <v>719</v>
      </c>
      <c r="AH1256" s="58">
        <v>100</v>
      </c>
      <c r="AI1256" s="3"/>
      <c r="AJ1256" s="3"/>
      <c r="AK1256" s="3"/>
      <c r="AL1256" s="3"/>
      <c r="AM1256" s="3"/>
      <c r="AN1256" s="3"/>
      <c r="AO1256" s="3"/>
      <c r="AP1256" s="3"/>
      <c r="AQ1256" s="3"/>
      <c r="AR1256" s="3"/>
      <c r="AS1256" s="3"/>
      <c r="AT1256" s="3"/>
      <c r="AU1256" s="3"/>
      <c r="AV1256" s="3"/>
      <c r="AW1256" s="3"/>
      <c r="AX1256" s="3"/>
      <c r="AY1256" s="3"/>
      <c r="AZ1256" s="4" t="s">
        <v>1067</v>
      </c>
      <c r="BA1256" s="3"/>
      <c r="BB1256" s="1"/>
      <c r="BC1256" s="1"/>
    </row>
    <row r="1257" spans="1:56" s="78" customFormat="1" x14ac:dyDescent="0.25">
      <c r="A1257" s="52" t="s">
        <v>5264</v>
      </c>
      <c r="B1257" s="34" t="s">
        <v>59</v>
      </c>
      <c r="C1257" s="53">
        <v>2026</v>
      </c>
      <c r="D1257" s="53">
        <v>2026</v>
      </c>
      <c r="E1257" s="54" t="s">
        <v>3785</v>
      </c>
      <c r="F1257" s="55" t="s">
        <v>50</v>
      </c>
      <c r="G1257" s="55" t="s">
        <v>50</v>
      </c>
      <c r="H1257" s="45" t="s">
        <v>2717</v>
      </c>
      <c r="I1257" s="56" t="s">
        <v>52</v>
      </c>
      <c r="J1257" s="56"/>
      <c r="K1257" s="55" t="s">
        <v>582</v>
      </c>
      <c r="L1257" s="55" t="s">
        <v>317</v>
      </c>
      <c r="M1257" s="55" t="s">
        <v>113</v>
      </c>
      <c r="N1257" s="55" t="s">
        <v>615</v>
      </c>
      <c r="O1257" s="55"/>
      <c r="P1257" s="55" t="s">
        <v>583</v>
      </c>
      <c r="Q1257" s="61" t="s">
        <v>57</v>
      </c>
      <c r="R1257" s="55"/>
      <c r="S1257" s="56" t="s">
        <v>58</v>
      </c>
      <c r="T1257" s="55" t="s">
        <v>58</v>
      </c>
      <c r="U1257" s="57">
        <v>-999</v>
      </c>
      <c r="V1257" s="57" t="s">
        <v>59</v>
      </c>
      <c r="W1257" s="55" t="s">
        <v>2319</v>
      </c>
      <c r="X1257" s="54" t="s">
        <v>5264</v>
      </c>
      <c r="Y1257" s="52"/>
      <c r="Z1257" s="3" t="s">
        <v>61</v>
      </c>
      <c r="AA1257" s="3" t="s">
        <v>2718</v>
      </c>
      <c r="AB1257" s="3"/>
      <c r="AC1257" s="3"/>
      <c r="AD1257" s="3" t="s">
        <v>62</v>
      </c>
      <c r="AE1257" s="3" t="s">
        <v>63</v>
      </c>
      <c r="AF1257" s="3"/>
      <c r="AG1257" s="3" t="s">
        <v>2603</v>
      </c>
      <c r="AH1257" s="58">
        <v>100</v>
      </c>
      <c r="AI1257" s="3"/>
      <c r="AJ1257" s="3"/>
      <c r="AK1257" s="3"/>
      <c r="AL1257" s="3"/>
      <c r="AM1257" s="3"/>
      <c r="AN1257" s="3"/>
      <c r="AO1257" s="3"/>
      <c r="AP1257" s="3"/>
      <c r="AQ1257" s="3"/>
      <c r="AR1257" s="3"/>
      <c r="AS1257" s="3"/>
      <c r="AT1257" s="3"/>
      <c r="AU1257" s="3"/>
      <c r="AV1257" s="3"/>
      <c r="AW1257" s="3"/>
      <c r="AX1257" s="3"/>
      <c r="AY1257" s="3"/>
      <c r="AZ1257" s="4" t="s">
        <v>2716</v>
      </c>
      <c r="BA1257" s="3"/>
      <c r="BB1257" s="1"/>
      <c r="BC1257" s="1"/>
    </row>
    <row r="1258" spans="1:56" s="78" customFormat="1" x14ac:dyDescent="0.25">
      <c r="A1258" s="52" t="s">
        <v>5265</v>
      </c>
      <c r="B1258" s="34" t="s">
        <v>59</v>
      </c>
      <c r="C1258" s="53">
        <v>2026</v>
      </c>
      <c r="D1258" s="53">
        <v>2026</v>
      </c>
      <c r="E1258" s="54" t="s">
        <v>3785</v>
      </c>
      <c r="F1258" s="55" t="s">
        <v>50</v>
      </c>
      <c r="G1258" s="55" t="s">
        <v>50</v>
      </c>
      <c r="H1258" s="45" t="s">
        <v>2717</v>
      </c>
      <c r="I1258" s="56" t="s">
        <v>52</v>
      </c>
      <c r="J1258" s="56"/>
      <c r="K1258" s="55" t="s">
        <v>2577</v>
      </c>
      <c r="L1258" s="55"/>
      <c r="M1258" s="55" t="s">
        <v>113</v>
      </c>
      <c r="N1258" s="55" t="s">
        <v>615</v>
      </c>
      <c r="O1258" s="55"/>
      <c r="P1258" s="55" t="s">
        <v>2578</v>
      </c>
      <c r="Q1258" s="55" t="s">
        <v>57</v>
      </c>
      <c r="R1258" s="55"/>
      <c r="S1258" s="56" t="s">
        <v>58</v>
      </c>
      <c r="T1258" s="55" t="s">
        <v>58</v>
      </c>
      <c r="U1258" s="57">
        <v>16000</v>
      </c>
      <c r="V1258" s="57" t="s">
        <v>101</v>
      </c>
      <c r="W1258" s="55" t="s">
        <v>2319</v>
      </c>
      <c r="X1258" s="54" t="s">
        <v>5265</v>
      </c>
      <c r="Y1258" s="52"/>
      <c r="Z1258" s="3" t="s">
        <v>61</v>
      </c>
      <c r="AA1258" s="3" t="s">
        <v>2718</v>
      </c>
      <c r="AB1258" s="3"/>
      <c r="AC1258" s="3"/>
      <c r="AD1258" s="3" t="s">
        <v>62</v>
      </c>
      <c r="AE1258" s="3" t="s">
        <v>63</v>
      </c>
      <c r="AF1258" s="3"/>
      <c r="AG1258" s="3" t="s">
        <v>2603</v>
      </c>
      <c r="AH1258" s="58">
        <v>100</v>
      </c>
      <c r="AI1258" s="3"/>
      <c r="AJ1258" s="3"/>
      <c r="AK1258" s="3"/>
      <c r="AL1258" s="3"/>
      <c r="AM1258" s="3"/>
      <c r="AN1258" s="3"/>
      <c r="AO1258" s="3"/>
      <c r="AP1258" s="3"/>
      <c r="AQ1258" s="3"/>
      <c r="AR1258" s="3"/>
      <c r="AS1258" s="3"/>
      <c r="AT1258" s="3"/>
      <c r="AU1258" s="3"/>
      <c r="AV1258" s="3"/>
      <c r="AW1258" s="3"/>
      <c r="AX1258" s="3"/>
      <c r="AY1258" s="3"/>
      <c r="AZ1258" s="4" t="s">
        <v>2719</v>
      </c>
      <c r="BA1258" s="3"/>
      <c r="BB1258" s="1"/>
      <c r="BC1258" s="1"/>
    </row>
    <row r="1259" spans="1:56" s="78" customFormat="1" x14ac:dyDescent="0.25">
      <c r="A1259" s="52" t="s">
        <v>5266</v>
      </c>
      <c r="B1259" s="34" t="s">
        <v>59</v>
      </c>
      <c r="C1259" s="53">
        <v>2026</v>
      </c>
      <c r="D1259" s="53">
        <v>2026</v>
      </c>
      <c r="E1259" s="54" t="s">
        <v>3786</v>
      </c>
      <c r="F1259" s="55" t="s">
        <v>50</v>
      </c>
      <c r="G1259" s="55" t="s">
        <v>50</v>
      </c>
      <c r="H1259" s="45" t="s">
        <v>2721</v>
      </c>
      <c r="I1259" s="61" t="s">
        <v>52</v>
      </c>
      <c r="J1259" s="45" t="s">
        <v>65</v>
      </c>
      <c r="K1259" s="55" t="s">
        <v>66</v>
      </c>
      <c r="L1259" s="55" t="s">
        <v>54</v>
      </c>
      <c r="M1259" s="55"/>
      <c r="N1259" s="55" t="s">
        <v>55</v>
      </c>
      <c r="O1259" s="55"/>
      <c r="P1259" s="55" t="s">
        <v>67</v>
      </c>
      <c r="Q1259" s="55" t="s">
        <v>57</v>
      </c>
      <c r="R1259" s="55"/>
      <c r="S1259" s="56" t="s">
        <v>58</v>
      </c>
      <c r="T1259" s="55" t="str">
        <f>IF(ISNUMBER(SEARCH(",",N1259)),"Y","N")</f>
        <v>N</v>
      </c>
      <c r="U1259" s="57">
        <v>-999</v>
      </c>
      <c r="V1259" s="57" t="s">
        <v>59</v>
      </c>
      <c r="W1259" s="55" t="s">
        <v>2319</v>
      </c>
      <c r="X1259" s="54" t="s">
        <v>5266</v>
      </c>
      <c r="Y1259" s="52"/>
      <c r="Z1259" s="3" t="s">
        <v>61</v>
      </c>
      <c r="AA1259" s="3" t="s">
        <v>2722</v>
      </c>
      <c r="AB1259" s="3"/>
      <c r="AC1259" s="3"/>
      <c r="AD1259" s="3" t="s">
        <v>62</v>
      </c>
      <c r="AE1259" s="3" t="s">
        <v>63</v>
      </c>
      <c r="AF1259" s="3"/>
      <c r="AG1259" s="3" t="s">
        <v>2723</v>
      </c>
      <c r="AH1259" s="58">
        <v>100</v>
      </c>
      <c r="AI1259" s="3"/>
      <c r="AJ1259" s="3"/>
      <c r="AK1259" s="3"/>
      <c r="AL1259" s="3"/>
      <c r="AM1259" s="3"/>
      <c r="AN1259" s="3"/>
      <c r="AO1259" s="3"/>
      <c r="AP1259" s="3"/>
      <c r="AQ1259" s="3"/>
      <c r="AR1259" s="3"/>
      <c r="AS1259" s="3"/>
      <c r="AT1259" s="3"/>
      <c r="AU1259" s="3"/>
      <c r="AV1259" s="3"/>
      <c r="AW1259" s="3"/>
      <c r="AX1259" s="3"/>
      <c r="AY1259" s="3"/>
      <c r="AZ1259" s="4" t="s">
        <v>2720</v>
      </c>
      <c r="BA1259" s="3"/>
      <c r="BB1259" s="1"/>
      <c r="BC1259" s="1"/>
    </row>
    <row r="1260" spans="1:56" s="78" customFormat="1" x14ac:dyDescent="0.25">
      <c r="A1260" s="52" t="s">
        <v>5267</v>
      </c>
      <c r="B1260" s="34" t="s">
        <v>59</v>
      </c>
      <c r="C1260" s="53">
        <v>2026</v>
      </c>
      <c r="D1260" s="53">
        <v>2026</v>
      </c>
      <c r="E1260" s="54" t="s">
        <v>3786</v>
      </c>
      <c r="F1260" s="55" t="s">
        <v>50</v>
      </c>
      <c r="G1260" s="55" t="s">
        <v>50</v>
      </c>
      <c r="H1260" s="45" t="s">
        <v>2721</v>
      </c>
      <c r="I1260" s="61" t="s">
        <v>52</v>
      </c>
      <c r="J1260" s="45" t="s">
        <v>65</v>
      </c>
      <c r="K1260" s="55" t="s">
        <v>68</v>
      </c>
      <c r="L1260" s="55" t="s">
        <v>54</v>
      </c>
      <c r="M1260" s="55"/>
      <c r="N1260" s="55" t="s">
        <v>55</v>
      </c>
      <c r="O1260" s="55"/>
      <c r="P1260" s="55" t="s">
        <v>69</v>
      </c>
      <c r="Q1260" s="55" t="s">
        <v>57</v>
      </c>
      <c r="R1260" s="55"/>
      <c r="S1260" s="56" t="s">
        <v>58</v>
      </c>
      <c r="T1260" s="55" t="str">
        <f>IF(ISNUMBER(SEARCH(",",N1260)),"Y","N")</f>
        <v>N</v>
      </c>
      <c r="U1260" s="57">
        <v>-999</v>
      </c>
      <c r="V1260" s="57" t="s">
        <v>59</v>
      </c>
      <c r="W1260" s="55" t="s">
        <v>2319</v>
      </c>
      <c r="X1260" s="54" t="s">
        <v>5267</v>
      </c>
      <c r="Y1260" s="52"/>
      <c r="Z1260" s="3" t="s">
        <v>61</v>
      </c>
      <c r="AA1260" s="3" t="s">
        <v>2722</v>
      </c>
      <c r="AB1260" s="3"/>
      <c r="AC1260" s="3"/>
      <c r="AD1260" s="3" t="s">
        <v>62</v>
      </c>
      <c r="AE1260" s="3" t="s">
        <v>63</v>
      </c>
      <c r="AF1260" s="3"/>
      <c r="AG1260" s="3" t="s">
        <v>2723</v>
      </c>
      <c r="AH1260" s="58">
        <v>100</v>
      </c>
      <c r="AI1260" s="3"/>
      <c r="AJ1260" s="3"/>
      <c r="AK1260" s="3"/>
      <c r="AL1260" s="3"/>
      <c r="AM1260" s="3"/>
      <c r="AN1260" s="3"/>
      <c r="AO1260" s="3"/>
      <c r="AP1260" s="3"/>
      <c r="AQ1260" s="3"/>
      <c r="AR1260" s="3"/>
      <c r="AS1260" s="3"/>
      <c r="AT1260" s="3"/>
      <c r="AU1260" s="3"/>
      <c r="AV1260" s="3"/>
      <c r="AW1260" s="3"/>
      <c r="AX1260" s="3"/>
      <c r="AY1260" s="3"/>
      <c r="AZ1260" s="4" t="s">
        <v>2720</v>
      </c>
      <c r="BA1260" s="3"/>
      <c r="BB1260" s="1"/>
      <c r="BC1260" s="1"/>
    </row>
    <row r="1261" spans="1:56" x14ac:dyDescent="0.25">
      <c r="A1261" s="52" t="s">
        <v>5268</v>
      </c>
      <c r="B1261" s="34" t="s">
        <v>59</v>
      </c>
      <c r="C1261" s="53">
        <v>2026</v>
      </c>
      <c r="D1261" s="53">
        <v>2026</v>
      </c>
      <c r="E1261" s="54" t="s">
        <v>3786</v>
      </c>
      <c r="F1261" s="55" t="s">
        <v>50</v>
      </c>
      <c r="G1261" s="55" t="s">
        <v>50</v>
      </c>
      <c r="H1261" s="45" t="s">
        <v>2721</v>
      </c>
      <c r="I1261" s="61" t="s">
        <v>52</v>
      </c>
      <c r="J1261" s="45" t="s">
        <v>65</v>
      </c>
      <c r="K1261" s="55" t="s">
        <v>890</v>
      </c>
      <c r="L1261" s="55" t="s">
        <v>54</v>
      </c>
      <c r="M1261" s="55"/>
      <c r="N1261" s="55" t="s">
        <v>55</v>
      </c>
      <c r="O1261" s="55"/>
      <c r="P1261" s="55" t="s">
        <v>892</v>
      </c>
      <c r="Q1261" s="55" t="s">
        <v>57</v>
      </c>
      <c r="R1261" s="55"/>
      <c r="S1261" s="56" t="s">
        <v>58</v>
      </c>
      <c r="T1261" s="55" t="str">
        <f>IF(ISNUMBER(SEARCH(",",N1261)),"Y","N")</f>
        <v>N</v>
      </c>
      <c r="U1261" s="57">
        <v>-999</v>
      </c>
      <c r="V1261" s="57" t="s">
        <v>59</v>
      </c>
      <c r="W1261" s="55" t="s">
        <v>2319</v>
      </c>
      <c r="X1261" s="54" t="s">
        <v>5268</v>
      </c>
      <c r="Y1261" s="52"/>
      <c r="Z1261" s="3" t="s">
        <v>61</v>
      </c>
      <c r="AA1261" s="3" t="s">
        <v>2722</v>
      </c>
      <c r="AB1261" s="3"/>
      <c r="AC1261" s="3"/>
      <c r="AD1261" s="3" t="s">
        <v>62</v>
      </c>
      <c r="AE1261" s="3" t="s">
        <v>63</v>
      </c>
      <c r="AF1261" s="3"/>
      <c r="AG1261" s="3" t="s">
        <v>2723</v>
      </c>
      <c r="AH1261" s="58">
        <v>100</v>
      </c>
      <c r="AI1261" s="3"/>
      <c r="AJ1261" s="3"/>
      <c r="AK1261" s="3"/>
      <c r="AL1261" s="3"/>
      <c r="AM1261" s="3"/>
      <c r="AN1261" s="3"/>
      <c r="AO1261" s="3"/>
      <c r="AP1261" s="3"/>
      <c r="AQ1261" s="3"/>
      <c r="AR1261" s="3"/>
      <c r="AS1261" s="3"/>
      <c r="AT1261" s="3"/>
      <c r="AU1261" s="3"/>
      <c r="AV1261" s="3"/>
      <c r="AW1261" s="3"/>
      <c r="AX1261" s="3"/>
      <c r="AY1261" s="3"/>
      <c r="AZ1261" s="4" t="s">
        <v>2720</v>
      </c>
      <c r="BA1261" s="3"/>
      <c r="BB1261" s="1"/>
      <c r="BC1261" s="1"/>
      <c r="BD1261" s="78"/>
    </row>
    <row r="1262" spans="1:56" s="78" customFormat="1" x14ac:dyDescent="0.25">
      <c r="A1262" s="52" t="s">
        <v>5269</v>
      </c>
      <c r="B1262" s="34" t="s">
        <v>59</v>
      </c>
      <c r="C1262" s="53">
        <v>2026</v>
      </c>
      <c r="D1262" s="53">
        <v>2026</v>
      </c>
      <c r="E1262" s="54" t="s">
        <v>3787</v>
      </c>
      <c r="F1262" s="55" t="s">
        <v>50</v>
      </c>
      <c r="G1262" s="55" t="s">
        <v>50</v>
      </c>
      <c r="H1262" s="45" t="s">
        <v>2725</v>
      </c>
      <c r="I1262" s="56" t="s">
        <v>78</v>
      </c>
      <c r="J1262" s="56"/>
      <c r="K1262" s="56" t="s">
        <v>417</v>
      </c>
      <c r="L1262" s="55" t="s">
        <v>88</v>
      </c>
      <c r="M1262" s="55"/>
      <c r="N1262" s="55" t="s">
        <v>418</v>
      </c>
      <c r="O1262" s="55"/>
      <c r="P1262" s="55" t="s">
        <v>89</v>
      </c>
      <c r="Q1262" s="55" t="s">
        <v>89</v>
      </c>
      <c r="R1262" s="55"/>
      <c r="S1262" s="56" t="s">
        <v>81</v>
      </c>
      <c r="T1262" s="55" t="s">
        <v>81</v>
      </c>
      <c r="U1262" s="57">
        <v>4700000</v>
      </c>
      <c r="V1262" s="57" t="s">
        <v>101</v>
      </c>
      <c r="W1262" s="55" t="s">
        <v>2319</v>
      </c>
      <c r="X1262" s="54" t="s">
        <v>5269</v>
      </c>
      <c r="Y1262" s="52"/>
      <c r="Z1262" s="3" t="s">
        <v>61</v>
      </c>
      <c r="AA1262" s="3" t="s">
        <v>2726</v>
      </c>
      <c r="AB1262" s="3"/>
      <c r="AC1262" s="3"/>
      <c r="AD1262" s="3" t="s">
        <v>62</v>
      </c>
      <c r="AE1262" s="3" t="s">
        <v>574</v>
      </c>
      <c r="AF1262" s="3" t="s">
        <v>2727</v>
      </c>
      <c r="AG1262" s="3" t="s">
        <v>1585</v>
      </c>
      <c r="AH1262" s="58">
        <v>100</v>
      </c>
      <c r="AI1262" s="3"/>
      <c r="AJ1262" s="3"/>
      <c r="AK1262" s="3"/>
      <c r="AL1262" s="3"/>
      <c r="AM1262" s="3"/>
      <c r="AN1262" s="3"/>
      <c r="AO1262" s="3"/>
      <c r="AP1262" s="3"/>
      <c r="AQ1262" s="3"/>
      <c r="AR1262" s="3"/>
      <c r="AS1262" s="3"/>
      <c r="AT1262" s="3"/>
      <c r="AU1262" s="3"/>
      <c r="AV1262" s="3"/>
      <c r="AW1262" s="3"/>
      <c r="AX1262" s="3"/>
      <c r="AY1262" s="3"/>
      <c r="AZ1262" s="4" t="s">
        <v>2724</v>
      </c>
      <c r="BA1262" s="3"/>
      <c r="BB1262" s="1"/>
      <c r="BC1262" s="1"/>
    </row>
    <row r="1263" spans="1:56" s="78" customFormat="1" x14ac:dyDescent="0.25">
      <c r="A1263" s="52" t="s">
        <v>5270</v>
      </c>
      <c r="B1263" s="34" t="s">
        <v>59</v>
      </c>
      <c r="C1263" s="53">
        <v>2026</v>
      </c>
      <c r="D1263" s="53">
        <v>2026</v>
      </c>
      <c r="E1263" s="54" t="s">
        <v>3788</v>
      </c>
      <c r="F1263" s="55" t="s">
        <v>50</v>
      </c>
      <c r="G1263" s="55" t="s">
        <v>50</v>
      </c>
      <c r="H1263" s="45" t="s">
        <v>2728</v>
      </c>
      <c r="I1263" s="45" t="s">
        <v>52</v>
      </c>
      <c r="J1263" s="56"/>
      <c r="K1263" s="55" t="s">
        <v>1678</v>
      </c>
      <c r="L1263" s="55" t="str">
        <f>IF(K1263="Mine or Quarry","Mine","")</f>
        <v/>
      </c>
      <c r="M1263" s="55"/>
      <c r="N1263" s="56"/>
      <c r="O1263" s="56"/>
      <c r="P1263" s="56" t="s">
        <v>745</v>
      </c>
      <c r="Q1263" s="56" t="s">
        <v>57</v>
      </c>
      <c r="R1263" s="55"/>
      <c r="S1263" s="56" t="s">
        <v>81</v>
      </c>
      <c r="T1263" s="55" t="str">
        <f>IF(ISNUMBER(SEARCH(",",N1263)),"Y","N")</f>
        <v>N</v>
      </c>
      <c r="U1263" s="57">
        <v>59000</v>
      </c>
      <c r="V1263" s="57" t="s">
        <v>101</v>
      </c>
      <c r="W1263" s="55" t="s">
        <v>2319</v>
      </c>
      <c r="X1263" s="54" t="s">
        <v>5270</v>
      </c>
      <c r="Y1263" s="52"/>
      <c r="Z1263" s="1" t="s">
        <v>61</v>
      </c>
      <c r="AA1263" s="1" t="s">
        <v>3975</v>
      </c>
      <c r="AB1263" s="1"/>
      <c r="AC1263" s="1"/>
      <c r="AD1263" s="3" t="s">
        <v>62</v>
      </c>
      <c r="AE1263" s="1" t="s">
        <v>366</v>
      </c>
      <c r="AF1263" s="1"/>
      <c r="AG1263" s="1" t="s">
        <v>747</v>
      </c>
      <c r="AH1263" s="2">
        <v>100</v>
      </c>
      <c r="AI1263" s="1"/>
      <c r="AJ1263" s="1"/>
      <c r="AK1263" s="1"/>
      <c r="AL1263" s="1"/>
      <c r="AM1263" s="1"/>
      <c r="AN1263" s="1"/>
      <c r="AO1263" s="1"/>
      <c r="AP1263" s="1"/>
      <c r="AQ1263" s="1"/>
      <c r="AR1263" s="1"/>
      <c r="AS1263" s="1"/>
      <c r="AT1263" s="1"/>
      <c r="AU1263" s="1"/>
      <c r="AV1263" s="1"/>
      <c r="AW1263" s="1"/>
      <c r="AX1263" s="1"/>
      <c r="AY1263" s="1"/>
      <c r="AZ1263" s="4" t="s">
        <v>742</v>
      </c>
      <c r="BA1263" s="1"/>
      <c r="BB1263" s="1"/>
      <c r="BC1263" s="1"/>
    </row>
    <row r="1264" spans="1:56" s="78" customFormat="1" x14ac:dyDescent="0.25">
      <c r="A1264" s="52" t="s">
        <v>5271</v>
      </c>
      <c r="B1264" s="34" t="s">
        <v>59</v>
      </c>
      <c r="C1264" s="53">
        <v>2026</v>
      </c>
      <c r="D1264" s="53">
        <v>2026</v>
      </c>
      <c r="E1264" s="54" t="s">
        <v>3790</v>
      </c>
      <c r="F1264" s="55" t="s">
        <v>50</v>
      </c>
      <c r="G1264" s="55" t="s">
        <v>50</v>
      </c>
      <c r="H1264" s="45" t="s">
        <v>2729</v>
      </c>
      <c r="I1264" s="45" t="s">
        <v>78</v>
      </c>
      <c r="J1264" s="56"/>
      <c r="K1264" s="56" t="s">
        <v>417</v>
      </c>
      <c r="L1264" s="55" t="s">
        <v>88</v>
      </c>
      <c r="M1264" s="55"/>
      <c r="N1264" s="55" t="s">
        <v>418</v>
      </c>
      <c r="O1264" s="55"/>
      <c r="P1264" s="55" t="s">
        <v>89</v>
      </c>
      <c r="Q1264" s="55" t="s">
        <v>89</v>
      </c>
      <c r="R1264" s="55"/>
      <c r="S1264" s="56" t="s">
        <v>81</v>
      </c>
      <c r="T1264" s="55" t="s">
        <v>81</v>
      </c>
      <c r="U1264" s="57">
        <v>8500000</v>
      </c>
      <c r="V1264" s="57" t="s">
        <v>101</v>
      </c>
      <c r="W1264" s="55" t="s">
        <v>2319</v>
      </c>
      <c r="X1264" s="54" t="s">
        <v>5271</v>
      </c>
      <c r="Y1264" s="52"/>
      <c r="Z1264" s="3" t="s">
        <v>61</v>
      </c>
      <c r="AA1264" s="3" t="s">
        <v>2730</v>
      </c>
      <c r="AB1264" s="3"/>
      <c r="AC1264" s="3"/>
      <c r="AD1264" s="3" t="s">
        <v>62</v>
      </c>
      <c r="AE1264" s="3" t="s">
        <v>175</v>
      </c>
      <c r="AF1264" s="3"/>
      <c r="AG1264" s="3" t="s">
        <v>2698</v>
      </c>
      <c r="AH1264" s="58">
        <v>100</v>
      </c>
      <c r="AI1264" s="3"/>
      <c r="AJ1264" s="3"/>
      <c r="AK1264" s="3"/>
      <c r="AL1264" s="3"/>
      <c r="AM1264" s="3"/>
      <c r="AN1264" s="3"/>
      <c r="AO1264" s="3"/>
      <c r="AP1264" s="3"/>
      <c r="AQ1264" s="3"/>
      <c r="AR1264" s="3"/>
      <c r="AS1264" s="3"/>
      <c r="AT1264" s="3"/>
      <c r="AU1264" s="3"/>
      <c r="AV1264" s="3"/>
      <c r="AW1264" s="3"/>
      <c r="AX1264" s="3"/>
      <c r="AY1264" s="3"/>
      <c r="AZ1264" s="4" t="s">
        <v>1273</v>
      </c>
      <c r="BA1264" s="3"/>
      <c r="BB1264" s="1"/>
      <c r="BC1264" s="1"/>
    </row>
    <row r="1265" spans="1:55" x14ac:dyDescent="0.25">
      <c r="A1265" s="52" t="s">
        <v>5272</v>
      </c>
      <c r="B1265" s="34" t="s">
        <v>59</v>
      </c>
      <c r="C1265" s="53">
        <v>2026</v>
      </c>
      <c r="D1265" s="53">
        <v>2026</v>
      </c>
      <c r="E1265" s="54" t="s">
        <v>3795</v>
      </c>
      <c r="F1265" s="55" t="s">
        <v>50</v>
      </c>
      <c r="G1265" s="55" t="s">
        <v>50</v>
      </c>
      <c r="H1265" s="45" t="s">
        <v>3016</v>
      </c>
      <c r="I1265" s="56" t="s">
        <v>52</v>
      </c>
      <c r="J1265" s="56"/>
      <c r="K1265" s="56" t="s">
        <v>540</v>
      </c>
      <c r="L1265" s="55" t="str">
        <f>IF(K1265="Mine or Quarry","Mine","")</f>
        <v/>
      </c>
      <c r="M1265" s="55"/>
      <c r="N1265" s="56" t="s">
        <v>541</v>
      </c>
      <c r="O1265" s="56" t="s">
        <v>2639</v>
      </c>
      <c r="P1265" s="56" t="s">
        <v>543</v>
      </c>
      <c r="Q1265" s="56" t="s">
        <v>57</v>
      </c>
      <c r="R1265" s="55"/>
      <c r="S1265" s="56" t="s">
        <v>58</v>
      </c>
      <c r="T1265" s="55" t="s">
        <v>58</v>
      </c>
      <c r="U1265" s="57">
        <v>26000</v>
      </c>
      <c r="V1265" s="57" t="s">
        <v>101</v>
      </c>
      <c r="W1265" s="55"/>
      <c r="X1265" s="54" t="s">
        <v>5272</v>
      </c>
      <c r="Y1265" s="52"/>
      <c r="Z1265" s="1" t="s">
        <v>61</v>
      </c>
      <c r="AA1265" s="1" t="s">
        <v>2640</v>
      </c>
      <c r="AB1265" s="1"/>
      <c r="AC1265" s="1"/>
      <c r="AD1265" s="3" t="s">
        <v>62</v>
      </c>
      <c r="AE1265" s="1" t="s">
        <v>464</v>
      </c>
      <c r="AF1265" s="1" t="s">
        <v>2641</v>
      </c>
      <c r="AG1265" s="1" t="s">
        <v>2642</v>
      </c>
      <c r="AH1265" s="1"/>
      <c r="AI1265" s="1"/>
      <c r="AJ1265" s="1"/>
      <c r="AK1265" s="1"/>
      <c r="AL1265" s="1"/>
      <c r="AM1265" s="1"/>
      <c r="AN1265" s="1"/>
      <c r="AO1265" s="1"/>
      <c r="AP1265" s="1"/>
      <c r="AQ1265" s="1"/>
      <c r="AR1265" s="1"/>
      <c r="AS1265" s="1"/>
      <c r="AT1265" s="1"/>
      <c r="AU1265" s="1"/>
      <c r="AV1265" s="1"/>
      <c r="AW1265" s="1"/>
      <c r="AX1265" s="1"/>
      <c r="AY1265" s="1"/>
      <c r="AZ1265" s="4" t="s">
        <v>2638</v>
      </c>
      <c r="BA1265" s="1"/>
      <c r="BB1265" s="1"/>
      <c r="BC1265" s="1"/>
    </row>
    <row r="1266" spans="1:55" s="78" customFormat="1" x14ac:dyDescent="0.25">
      <c r="A1266" s="52" t="s">
        <v>5273</v>
      </c>
      <c r="B1266" s="34" t="s">
        <v>59</v>
      </c>
      <c r="C1266" s="53">
        <v>2026</v>
      </c>
      <c r="D1266" s="53">
        <v>2026</v>
      </c>
      <c r="E1266" s="54" t="s">
        <v>3796</v>
      </c>
      <c r="F1266" s="55" t="s">
        <v>50</v>
      </c>
      <c r="G1266" s="55" t="s">
        <v>50</v>
      </c>
      <c r="H1266" s="45" t="s">
        <v>2732</v>
      </c>
      <c r="I1266" s="45" t="s">
        <v>52</v>
      </c>
      <c r="J1266" s="56"/>
      <c r="K1266" s="55" t="s">
        <v>71</v>
      </c>
      <c r="L1266" s="55"/>
      <c r="M1266" s="55"/>
      <c r="N1266" s="55" t="s">
        <v>110</v>
      </c>
      <c r="O1266" s="45" t="s">
        <v>296</v>
      </c>
      <c r="P1266" s="55" t="s">
        <v>73</v>
      </c>
      <c r="Q1266" s="55" t="s">
        <v>57</v>
      </c>
      <c r="R1266" s="55"/>
      <c r="S1266" s="56" t="s">
        <v>58</v>
      </c>
      <c r="T1266" s="55" t="str">
        <f>IF(ISNUMBER(SEARCH(",",N1266)),"Y","N")</f>
        <v>N</v>
      </c>
      <c r="U1266" s="57">
        <v>-999</v>
      </c>
      <c r="V1266" s="57" t="s">
        <v>59</v>
      </c>
      <c r="W1266" s="55" t="s">
        <v>2319</v>
      </c>
      <c r="X1266" s="54" t="s">
        <v>5273</v>
      </c>
      <c r="Y1266" s="53"/>
      <c r="Z1266" s="3" t="s">
        <v>154</v>
      </c>
      <c r="AA1266" s="3" t="s">
        <v>2733</v>
      </c>
      <c r="AB1266" s="3"/>
      <c r="AC1266" s="3"/>
      <c r="AD1266" s="3" t="s">
        <v>62</v>
      </c>
      <c r="AE1266" s="3" t="s">
        <v>83</v>
      </c>
      <c r="AF1266" s="3" t="s">
        <v>2734</v>
      </c>
      <c r="AG1266" s="3" t="s">
        <v>2735</v>
      </c>
      <c r="AH1266" s="53">
        <v>50</v>
      </c>
      <c r="AI1266" s="3" t="s">
        <v>2736</v>
      </c>
      <c r="AJ1266" s="53">
        <v>50</v>
      </c>
      <c r="AK1266" s="3"/>
      <c r="AL1266" s="53"/>
      <c r="AM1266" s="3"/>
      <c r="AN1266" s="53"/>
      <c r="AO1266" s="3"/>
      <c r="AP1266" s="53"/>
      <c r="AQ1266" s="3"/>
      <c r="AR1266" s="53"/>
      <c r="AS1266" s="3"/>
      <c r="AT1266" s="53"/>
      <c r="AU1266" s="3"/>
      <c r="AV1266" s="53"/>
      <c r="AW1266" s="3"/>
      <c r="AX1266" s="53"/>
      <c r="AY1266" s="3"/>
      <c r="AZ1266" s="4" t="s">
        <v>2731</v>
      </c>
      <c r="BA1266" s="3"/>
      <c r="BB1266" s="1"/>
      <c r="BC1266" s="1"/>
    </row>
    <row r="1267" spans="1:55" s="78" customFormat="1" x14ac:dyDescent="0.25">
      <c r="A1267" s="52" t="s">
        <v>5274</v>
      </c>
      <c r="B1267" s="34" t="s">
        <v>59</v>
      </c>
      <c r="C1267" s="53">
        <v>2026</v>
      </c>
      <c r="D1267" s="53">
        <v>2026</v>
      </c>
      <c r="E1267" s="54" t="s">
        <v>3796</v>
      </c>
      <c r="F1267" s="55" t="s">
        <v>50</v>
      </c>
      <c r="G1267" s="55" t="s">
        <v>50</v>
      </c>
      <c r="H1267" s="45" t="s">
        <v>2732</v>
      </c>
      <c r="I1267" s="45" t="s">
        <v>52</v>
      </c>
      <c r="J1267" s="56"/>
      <c r="K1267" s="56" t="s">
        <v>74</v>
      </c>
      <c r="L1267" s="56"/>
      <c r="M1267" s="56"/>
      <c r="N1267" s="55" t="s">
        <v>110</v>
      </c>
      <c r="O1267" s="56" t="s">
        <v>296</v>
      </c>
      <c r="P1267" s="56" t="s">
        <v>75</v>
      </c>
      <c r="Q1267" s="55" t="s">
        <v>57</v>
      </c>
      <c r="R1267" s="56"/>
      <c r="S1267" s="56" t="s">
        <v>58</v>
      </c>
      <c r="T1267" s="56" t="s">
        <v>81</v>
      </c>
      <c r="U1267" s="57">
        <v>-999</v>
      </c>
      <c r="V1267" s="57" t="s">
        <v>59</v>
      </c>
      <c r="W1267" s="55"/>
      <c r="X1267" s="54" t="s">
        <v>5274</v>
      </c>
      <c r="Y1267" s="53"/>
      <c r="Z1267" s="3" t="s">
        <v>154</v>
      </c>
      <c r="AA1267" s="1" t="s">
        <v>2733</v>
      </c>
      <c r="AB1267" s="1"/>
      <c r="AC1267" s="1"/>
      <c r="AD1267" s="3" t="s">
        <v>62</v>
      </c>
      <c r="AE1267" s="3" t="s">
        <v>83</v>
      </c>
      <c r="AF1267" s="1" t="s">
        <v>2734</v>
      </c>
      <c r="AG1267" s="3" t="s">
        <v>2735</v>
      </c>
      <c r="AH1267" s="53">
        <v>50</v>
      </c>
      <c r="AI1267" s="3" t="s">
        <v>2736</v>
      </c>
      <c r="AJ1267" s="53">
        <v>50</v>
      </c>
      <c r="AK1267" s="1"/>
      <c r="AL1267" s="1"/>
      <c r="AM1267" s="1"/>
      <c r="AN1267" s="1"/>
      <c r="AO1267" s="1"/>
      <c r="AP1267" s="1"/>
      <c r="AQ1267" s="1"/>
      <c r="AR1267" s="1"/>
      <c r="AS1267" s="1"/>
      <c r="AT1267" s="1"/>
      <c r="AU1267" s="1"/>
      <c r="AV1267" s="1"/>
      <c r="AW1267" s="1"/>
      <c r="AX1267" s="1"/>
      <c r="AY1267" s="1"/>
      <c r="AZ1267" s="4" t="s">
        <v>2731</v>
      </c>
      <c r="BA1267" s="5"/>
      <c r="BB1267" s="1"/>
      <c r="BC1267" s="1"/>
    </row>
    <row r="1268" spans="1:55" x14ac:dyDescent="0.25">
      <c r="A1268" s="52" t="s">
        <v>5275</v>
      </c>
      <c r="B1268" s="34" t="s">
        <v>59</v>
      </c>
      <c r="C1268" s="53">
        <v>2026</v>
      </c>
      <c r="D1268" s="53">
        <v>2026</v>
      </c>
      <c r="E1268" s="54" t="s">
        <v>3982</v>
      </c>
      <c r="F1268" s="55" t="s">
        <v>50</v>
      </c>
      <c r="G1268" s="55" t="s">
        <v>50</v>
      </c>
      <c r="H1268" s="45" t="s">
        <v>2738</v>
      </c>
      <c r="I1268" s="56" t="s">
        <v>78</v>
      </c>
      <c r="J1268" s="56"/>
      <c r="K1268" s="56" t="s">
        <v>71</v>
      </c>
      <c r="L1268" s="55" t="s">
        <v>88</v>
      </c>
      <c r="M1268" s="55"/>
      <c r="N1268" s="55" t="s">
        <v>181</v>
      </c>
      <c r="O1268" s="55"/>
      <c r="P1268" s="55" t="s">
        <v>73</v>
      </c>
      <c r="Q1268" s="56" t="s">
        <v>57</v>
      </c>
      <c r="R1268" s="55"/>
      <c r="S1268" s="56" t="s">
        <v>58</v>
      </c>
      <c r="T1268" s="55" t="str">
        <f>IF(ISNUMBER(SEARCH(",",N1268)),"Y","N")</f>
        <v>N</v>
      </c>
      <c r="U1268" s="73">
        <v>2.4</v>
      </c>
      <c r="V1268" s="57" t="s">
        <v>101</v>
      </c>
      <c r="W1268" s="55"/>
      <c r="X1268" s="54" t="s">
        <v>5275</v>
      </c>
      <c r="Y1268" s="52"/>
      <c r="Z1268" s="3" t="s">
        <v>61</v>
      </c>
      <c r="AA1268" s="3" t="s">
        <v>2739</v>
      </c>
      <c r="AB1268" s="3"/>
      <c r="AC1268" s="3"/>
      <c r="AD1268" s="3" t="s">
        <v>62</v>
      </c>
      <c r="AE1268" s="1" t="s">
        <v>474</v>
      </c>
      <c r="AF1268" s="1"/>
      <c r="AG1268" s="3" t="s">
        <v>1500</v>
      </c>
      <c r="AH1268" s="58">
        <v>100</v>
      </c>
      <c r="AI1268" s="3"/>
      <c r="AJ1268" s="3"/>
      <c r="AK1268" s="3"/>
      <c r="AL1268" s="3"/>
      <c r="AM1268" s="3"/>
      <c r="AN1268" s="3"/>
      <c r="AO1268" s="3"/>
      <c r="AP1268" s="3"/>
      <c r="AQ1268" s="3"/>
      <c r="AR1268" s="3"/>
      <c r="AS1268" s="3"/>
      <c r="AT1268" s="3"/>
      <c r="AU1268" s="3"/>
      <c r="AV1268" s="3"/>
      <c r="AW1268" s="3"/>
      <c r="AX1268" s="3"/>
      <c r="AY1268" s="3"/>
      <c r="AZ1268" s="4" t="s">
        <v>2737</v>
      </c>
      <c r="BA1268" s="3"/>
      <c r="BB1268" s="1"/>
      <c r="BC1268" s="1"/>
    </row>
    <row r="1269" spans="1:55" x14ac:dyDescent="0.25">
      <c r="A1269" s="52" t="s">
        <v>5276</v>
      </c>
      <c r="B1269" s="34" t="s">
        <v>59</v>
      </c>
      <c r="C1269" s="53">
        <v>2026</v>
      </c>
      <c r="D1269" s="53">
        <v>2026</v>
      </c>
      <c r="E1269" s="54" t="s">
        <v>3982</v>
      </c>
      <c r="F1269" s="55" t="s">
        <v>50</v>
      </c>
      <c r="G1269" s="55" t="s">
        <v>50</v>
      </c>
      <c r="H1269" s="45" t="s">
        <v>2738</v>
      </c>
      <c r="I1269" s="56" t="s">
        <v>78</v>
      </c>
      <c r="J1269" s="56"/>
      <c r="K1269" s="56" t="s">
        <v>74</v>
      </c>
      <c r="L1269" s="56" t="s">
        <v>88</v>
      </c>
      <c r="M1269" s="56"/>
      <c r="N1269" s="55" t="s">
        <v>181</v>
      </c>
      <c r="O1269" s="56"/>
      <c r="P1269" s="56" t="s">
        <v>75</v>
      </c>
      <c r="Q1269" s="55" t="s">
        <v>57</v>
      </c>
      <c r="R1269" s="56"/>
      <c r="S1269" s="56" t="s">
        <v>58</v>
      </c>
      <c r="T1269" s="56" t="s">
        <v>81</v>
      </c>
      <c r="U1269" s="73">
        <v>7.5</v>
      </c>
      <c r="V1269" s="57" t="s">
        <v>101</v>
      </c>
      <c r="W1269" s="55"/>
      <c r="X1269" s="54" t="s">
        <v>5276</v>
      </c>
      <c r="Y1269" s="52"/>
      <c r="Z1269" s="3" t="s">
        <v>61</v>
      </c>
      <c r="AA1269" s="3" t="s">
        <v>2739</v>
      </c>
      <c r="AB1269" s="3"/>
      <c r="AC1269" s="3"/>
      <c r="AD1269" s="3" t="s">
        <v>62</v>
      </c>
      <c r="AE1269" s="3" t="s">
        <v>474</v>
      </c>
      <c r="AF1269" s="1"/>
      <c r="AG1269" s="3" t="s">
        <v>1500</v>
      </c>
      <c r="AH1269" s="58">
        <v>100</v>
      </c>
      <c r="AI1269" s="3"/>
      <c r="AJ1269" s="53"/>
      <c r="AK1269" s="1"/>
      <c r="AL1269" s="1"/>
      <c r="AM1269" s="1"/>
      <c r="AN1269" s="1"/>
      <c r="AO1269" s="1"/>
      <c r="AP1269" s="1"/>
      <c r="AQ1269" s="1"/>
      <c r="AR1269" s="1"/>
      <c r="AS1269" s="1"/>
      <c r="AT1269" s="1"/>
      <c r="AU1269" s="1"/>
      <c r="AV1269" s="1"/>
      <c r="AW1269" s="1"/>
      <c r="AX1269" s="1"/>
      <c r="AY1269" s="1"/>
      <c r="AZ1269" s="4" t="s">
        <v>2737</v>
      </c>
      <c r="BA1269" s="5" t="s">
        <v>3951</v>
      </c>
      <c r="BB1269" s="1"/>
      <c r="BC1269" s="1"/>
    </row>
    <row r="1270" spans="1:55" x14ac:dyDescent="0.25">
      <c r="A1270" s="52" t="s">
        <v>5277</v>
      </c>
      <c r="B1270" s="34" t="s">
        <v>59</v>
      </c>
      <c r="C1270" s="53">
        <v>2026</v>
      </c>
      <c r="D1270" s="53">
        <v>2026</v>
      </c>
      <c r="E1270" s="54" t="s">
        <v>3983</v>
      </c>
      <c r="F1270" s="55" t="s">
        <v>50</v>
      </c>
      <c r="G1270" s="55" t="s">
        <v>50</v>
      </c>
      <c r="H1270" s="45" t="s">
        <v>2740</v>
      </c>
      <c r="I1270" s="56" t="s">
        <v>52</v>
      </c>
      <c r="J1270" s="56"/>
      <c r="K1270" s="56" t="s">
        <v>71</v>
      </c>
      <c r="L1270" s="55"/>
      <c r="M1270" s="55"/>
      <c r="N1270" s="55" t="s">
        <v>110</v>
      </c>
      <c r="O1270" s="45" t="s">
        <v>296</v>
      </c>
      <c r="P1270" s="55" t="s">
        <v>73</v>
      </c>
      <c r="Q1270" s="55" t="s">
        <v>57</v>
      </c>
      <c r="R1270" s="55"/>
      <c r="S1270" s="56" t="s">
        <v>58</v>
      </c>
      <c r="T1270" s="55" t="str">
        <f>IF(ISNUMBER(SEARCH(",",N1270)),"Y","N")</f>
        <v>N</v>
      </c>
      <c r="U1270" s="73">
        <v>2.4</v>
      </c>
      <c r="V1270" s="57" t="s">
        <v>101</v>
      </c>
      <c r="W1270" s="55"/>
      <c r="X1270" s="54" t="s">
        <v>5277</v>
      </c>
      <c r="Y1270" s="52"/>
      <c r="Z1270" s="3" t="s">
        <v>61</v>
      </c>
      <c r="AA1270" s="3" t="s">
        <v>2739</v>
      </c>
      <c r="AB1270" s="3"/>
      <c r="AC1270" s="3"/>
      <c r="AD1270" s="3" t="s">
        <v>62</v>
      </c>
      <c r="AE1270" s="1" t="s">
        <v>474</v>
      </c>
      <c r="AF1270" s="1"/>
      <c r="AG1270" s="3" t="s">
        <v>1500</v>
      </c>
      <c r="AH1270" s="58">
        <v>100</v>
      </c>
      <c r="AI1270" s="3"/>
      <c r="AJ1270" s="3"/>
      <c r="AK1270" s="3"/>
      <c r="AL1270" s="3"/>
      <c r="AM1270" s="3"/>
      <c r="AN1270" s="3"/>
      <c r="AO1270" s="3"/>
      <c r="AP1270" s="3"/>
      <c r="AQ1270" s="3"/>
      <c r="AR1270" s="3"/>
      <c r="AS1270" s="3"/>
      <c r="AT1270" s="3"/>
      <c r="AU1270" s="3"/>
      <c r="AV1270" s="3"/>
      <c r="AW1270" s="3"/>
      <c r="AX1270" s="3"/>
      <c r="AY1270" s="3"/>
      <c r="AZ1270" s="4" t="s">
        <v>2737</v>
      </c>
      <c r="BA1270" s="3"/>
      <c r="BB1270" s="1"/>
      <c r="BC1270" s="1"/>
    </row>
    <row r="1271" spans="1:55" x14ac:dyDescent="0.25">
      <c r="A1271" s="52" t="s">
        <v>5278</v>
      </c>
      <c r="B1271" s="34" t="s">
        <v>59</v>
      </c>
      <c r="C1271" s="53">
        <v>2026</v>
      </c>
      <c r="D1271" s="53">
        <v>2026</v>
      </c>
      <c r="E1271" s="54" t="s">
        <v>3983</v>
      </c>
      <c r="F1271" s="55" t="s">
        <v>50</v>
      </c>
      <c r="G1271" s="55" t="s">
        <v>50</v>
      </c>
      <c r="H1271" s="45" t="s">
        <v>2740</v>
      </c>
      <c r="I1271" s="56" t="s">
        <v>52</v>
      </c>
      <c r="J1271" s="56"/>
      <c r="K1271" s="55" t="s">
        <v>74</v>
      </c>
      <c r="L1271" s="55" t="str">
        <f>IF(K1271="Mines and Quarries","Mine","")</f>
        <v/>
      </c>
      <c r="M1271" s="55"/>
      <c r="N1271" s="55" t="s">
        <v>110</v>
      </c>
      <c r="O1271" s="45" t="s">
        <v>296</v>
      </c>
      <c r="P1271" s="55" t="s">
        <v>75</v>
      </c>
      <c r="Q1271" s="56" t="s">
        <v>57</v>
      </c>
      <c r="R1271" s="55"/>
      <c r="S1271" s="56" t="s">
        <v>58</v>
      </c>
      <c r="T1271" s="55" t="str">
        <f>IF(ISNUMBER(SEARCH(",",N1271)),"Y","N")</f>
        <v>N</v>
      </c>
      <c r="U1271" s="73">
        <v>7.5</v>
      </c>
      <c r="V1271" s="57" t="s">
        <v>101</v>
      </c>
      <c r="W1271" s="55"/>
      <c r="X1271" s="54" t="s">
        <v>5278</v>
      </c>
      <c r="Y1271" s="52"/>
      <c r="Z1271" s="3" t="s">
        <v>61</v>
      </c>
      <c r="AA1271" s="3" t="s">
        <v>2739</v>
      </c>
      <c r="AB1271" s="3"/>
      <c r="AC1271" s="3"/>
      <c r="AD1271" s="3" t="s">
        <v>62</v>
      </c>
      <c r="AE1271" s="3" t="s">
        <v>474</v>
      </c>
      <c r="AF1271" s="1"/>
      <c r="AG1271" s="3" t="s">
        <v>1500</v>
      </c>
      <c r="AH1271" s="58">
        <v>100</v>
      </c>
      <c r="AI1271" s="3"/>
      <c r="AJ1271" s="3"/>
      <c r="AK1271" s="3"/>
      <c r="AL1271" s="3"/>
      <c r="AM1271" s="3"/>
      <c r="AN1271" s="3"/>
      <c r="AO1271" s="3"/>
      <c r="AP1271" s="3"/>
      <c r="AQ1271" s="3"/>
      <c r="AR1271" s="3"/>
      <c r="AS1271" s="3"/>
      <c r="AT1271" s="3"/>
      <c r="AU1271" s="3"/>
      <c r="AV1271" s="3"/>
      <c r="AW1271" s="3"/>
      <c r="AX1271" s="3"/>
      <c r="AY1271" s="3"/>
      <c r="AZ1271" s="4" t="s">
        <v>2737</v>
      </c>
      <c r="BA1271" s="3" t="s">
        <v>3951</v>
      </c>
      <c r="BB1271" s="1"/>
      <c r="BC1271" s="1"/>
    </row>
    <row r="1272" spans="1:55" x14ac:dyDescent="0.25">
      <c r="A1272" s="52" t="s">
        <v>5279</v>
      </c>
      <c r="B1272" s="34" t="s">
        <v>59</v>
      </c>
      <c r="C1272" s="53">
        <v>2026</v>
      </c>
      <c r="D1272" s="53">
        <v>2026</v>
      </c>
      <c r="E1272" s="54" t="s">
        <v>3984</v>
      </c>
      <c r="F1272" s="55" t="s">
        <v>50</v>
      </c>
      <c r="G1272" s="55" t="s">
        <v>50</v>
      </c>
      <c r="H1272" s="45" t="s">
        <v>2742</v>
      </c>
      <c r="I1272" s="56" t="s">
        <v>78</v>
      </c>
      <c r="J1272" s="56"/>
      <c r="K1272" s="56" t="s">
        <v>180</v>
      </c>
      <c r="L1272" s="55"/>
      <c r="M1272" s="55"/>
      <c r="N1272" s="56" t="s">
        <v>181</v>
      </c>
      <c r="O1272" s="56"/>
      <c r="P1272" s="55" t="s">
        <v>182</v>
      </c>
      <c r="Q1272" s="55" t="s">
        <v>5353</v>
      </c>
      <c r="R1272" s="55"/>
      <c r="S1272" s="56" t="s">
        <v>58</v>
      </c>
      <c r="T1272" s="55" t="s">
        <v>81</v>
      </c>
      <c r="U1272" s="57">
        <v>100</v>
      </c>
      <c r="V1272" s="57" t="s">
        <v>101</v>
      </c>
      <c r="W1272" s="55"/>
      <c r="X1272" s="54" t="s">
        <v>5279</v>
      </c>
      <c r="Y1272" s="60"/>
      <c r="Z1272" s="3" t="s">
        <v>2005</v>
      </c>
      <c r="AA1272" s="1" t="s">
        <v>2743</v>
      </c>
      <c r="AB1272" s="1"/>
      <c r="AC1272" s="1"/>
      <c r="AD1272" s="3" t="s">
        <v>62</v>
      </c>
      <c r="AE1272" s="3" t="s">
        <v>574</v>
      </c>
      <c r="AF1272" s="3"/>
      <c r="AG1272" s="3" t="s">
        <v>618</v>
      </c>
      <c r="AH1272" s="58">
        <v>100</v>
      </c>
      <c r="AI1272" s="1"/>
      <c r="AJ1272" s="60"/>
      <c r="AK1272" s="1"/>
      <c r="AL1272" s="1"/>
      <c r="AM1272" s="1"/>
      <c r="AN1272" s="1"/>
      <c r="AO1272" s="1"/>
      <c r="AP1272" s="1"/>
      <c r="AQ1272" s="1"/>
      <c r="AR1272" s="1"/>
      <c r="AS1272" s="1"/>
      <c r="AT1272" s="1"/>
      <c r="AU1272" s="1"/>
      <c r="AV1272" s="1"/>
      <c r="AW1272" s="1"/>
      <c r="AX1272" s="1"/>
      <c r="AY1272" s="1"/>
      <c r="AZ1272" s="4" t="s">
        <v>2741</v>
      </c>
      <c r="BA1272" s="1"/>
      <c r="BB1272" s="1"/>
      <c r="BC1272" s="1"/>
    </row>
    <row r="1273" spans="1:55" x14ac:dyDescent="0.25">
      <c r="A1273" s="52" t="s">
        <v>5280</v>
      </c>
      <c r="B1273" s="34" t="s">
        <v>59</v>
      </c>
      <c r="C1273" s="53">
        <v>2026</v>
      </c>
      <c r="D1273" s="53">
        <v>2026</v>
      </c>
      <c r="E1273" s="54" t="s">
        <v>3984</v>
      </c>
      <c r="F1273" s="55" t="s">
        <v>50</v>
      </c>
      <c r="G1273" s="55" t="s">
        <v>50</v>
      </c>
      <c r="H1273" s="45" t="s">
        <v>2742</v>
      </c>
      <c r="I1273" s="56" t="s">
        <v>78</v>
      </c>
      <c r="J1273" s="56"/>
      <c r="K1273" s="56" t="s">
        <v>392</v>
      </c>
      <c r="L1273" s="55"/>
      <c r="M1273" s="55"/>
      <c r="N1273" s="56" t="s">
        <v>181</v>
      </c>
      <c r="O1273" s="56"/>
      <c r="P1273" s="55" t="s">
        <v>394</v>
      </c>
      <c r="Q1273" s="55" t="s">
        <v>57</v>
      </c>
      <c r="R1273" s="55"/>
      <c r="S1273" s="56" t="s">
        <v>58</v>
      </c>
      <c r="T1273" s="55" t="s">
        <v>81</v>
      </c>
      <c r="U1273" s="57">
        <v>450</v>
      </c>
      <c r="V1273" s="57" t="s">
        <v>101</v>
      </c>
      <c r="W1273" s="55"/>
      <c r="X1273" s="54" t="s">
        <v>5280</v>
      </c>
      <c r="Y1273" s="60"/>
      <c r="Z1273" s="3" t="s">
        <v>2005</v>
      </c>
      <c r="AA1273" s="1" t="s">
        <v>2743</v>
      </c>
      <c r="AB1273" s="1"/>
      <c r="AC1273" s="1"/>
      <c r="AD1273" s="3" t="s">
        <v>62</v>
      </c>
      <c r="AE1273" s="3" t="s">
        <v>574</v>
      </c>
      <c r="AF1273" s="3"/>
      <c r="AG1273" s="3" t="s">
        <v>618</v>
      </c>
      <c r="AH1273" s="58">
        <v>100</v>
      </c>
      <c r="AI1273" s="1"/>
      <c r="AJ1273" s="60"/>
      <c r="AK1273" s="1"/>
      <c r="AL1273" s="1"/>
      <c r="AM1273" s="1"/>
      <c r="AN1273" s="1"/>
      <c r="AO1273" s="1"/>
      <c r="AP1273" s="1"/>
      <c r="AQ1273" s="1"/>
      <c r="AR1273" s="1"/>
      <c r="AS1273" s="1"/>
      <c r="AT1273" s="1"/>
      <c r="AU1273" s="1"/>
      <c r="AV1273" s="1"/>
      <c r="AW1273" s="1"/>
      <c r="AX1273" s="1"/>
      <c r="AY1273" s="1"/>
      <c r="AZ1273" s="4" t="s">
        <v>2741</v>
      </c>
      <c r="BA1273" s="1"/>
      <c r="BB1273" s="1"/>
      <c r="BC1273" s="1"/>
    </row>
    <row r="1274" spans="1:55" x14ac:dyDescent="0.25">
      <c r="A1274" s="52" t="s">
        <v>5281</v>
      </c>
      <c r="B1274" s="34" t="s">
        <v>59</v>
      </c>
      <c r="C1274" s="53">
        <v>2026</v>
      </c>
      <c r="D1274" s="53">
        <v>2026</v>
      </c>
      <c r="E1274" s="54" t="s">
        <v>3987</v>
      </c>
      <c r="F1274" s="55" t="s">
        <v>50</v>
      </c>
      <c r="G1274" s="55" t="s">
        <v>50</v>
      </c>
      <c r="H1274" s="45" t="s">
        <v>2745</v>
      </c>
      <c r="I1274" s="56" t="s">
        <v>78</v>
      </c>
      <c r="J1274" s="56"/>
      <c r="K1274" s="56" t="s">
        <v>79</v>
      </c>
      <c r="L1274" s="55" t="str">
        <f>IF(K1274="Mine or Quarry","Mine","")</f>
        <v/>
      </c>
      <c r="M1274" s="55"/>
      <c r="N1274" s="56" t="s">
        <v>80</v>
      </c>
      <c r="O1274" s="56"/>
      <c r="P1274" s="56" t="s">
        <v>89</v>
      </c>
      <c r="Q1274" s="56" t="s">
        <v>89</v>
      </c>
      <c r="R1274" s="55"/>
      <c r="S1274" s="56" t="s">
        <v>81</v>
      </c>
      <c r="T1274" s="55" t="str">
        <f>IF(ISNUMBER(SEARCH(",",N1274)),"Y","N")</f>
        <v>N</v>
      </c>
      <c r="U1274" s="57">
        <v>-999</v>
      </c>
      <c r="V1274" s="57" t="s">
        <v>59</v>
      </c>
      <c r="W1274" s="55" t="s">
        <v>2319</v>
      </c>
      <c r="X1274" s="54" t="s">
        <v>5281</v>
      </c>
      <c r="Y1274" s="52"/>
      <c r="Z1274" s="1" t="s">
        <v>61</v>
      </c>
      <c r="AA1274" s="1" t="s">
        <v>2746</v>
      </c>
      <c r="AB1274" s="1"/>
      <c r="AC1274" s="1"/>
      <c r="AD1274" s="3" t="s">
        <v>62</v>
      </c>
      <c r="AE1274" s="1" t="s">
        <v>718</v>
      </c>
      <c r="AF1274" s="1" t="s">
        <v>1060</v>
      </c>
      <c r="AG1274" s="1" t="s">
        <v>1061</v>
      </c>
      <c r="AH1274" s="2">
        <v>100</v>
      </c>
      <c r="AI1274" s="1"/>
      <c r="AJ1274" s="1"/>
      <c r="AK1274" s="1"/>
      <c r="AL1274" s="1"/>
      <c r="AM1274" s="1"/>
      <c r="AN1274" s="1"/>
      <c r="AO1274" s="1"/>
      <c r="AP1274" s="1"/>
      <c r="AQ1274" s="1"/>
      <c r="AR1274" s="1"/>
      <c r="AS1274" s="1"/>
      <c r="AT1274" s="1"/>
      <c r="AU1274" s="1"/>
      <c r="AV1274" s="1"/>
      <c r="AW1274" s="1"/>
      <c r="AX1274" s="1"/>
      <c r="AY1274" s="1"/>
      <c r="AZ1274" s="5" t="s">
        <v>2744</v>
      </c>
      <c r="BA1274" s="5"/>
      <c r="BB1274" s="1"/>
      <c r="BC1274" s="1"/>
    </row>
    <row r="1275" spans="1:55" x14ac:dyDescent="0.25">
      <c r="A1275" s="52" t="s">
        <v>5282</v>
      </c>
      <c r="B1275" s="34" t="s">
        <v>59</v>
      </c>
      <c r="C1275" s="53">
        <v>2026</v>
      </c>
      <c r="D1275" s="53">
        <v>2026</v>
      </c>
      <c r="E1275" s="54" t="s">
        <v>3993</v>
      </c>
      <c r="F1275" s="55" t="s">
        <v>50</v>
      </c>
      <c r="G1275" s="55" t="s">
        <v>50</v>
      </c>
      <c r="H1275" s="45" t="s">
        <v>2747</v>
      </c>
      <c r="I1275" s="45" t="s">
        <v>52</v>
      </c>
      <c r="J1275" s="56"/>
      <c r="K1275" s="55" t="s">
        <v>392</v>
      </c>
      <c r="L1275" s="55" t="str">
        <f>IF(K1275="Mine or Quarry","Mine","")</f>
        <v/>
      </c>
      <c r="M1275" s="55"/>
      <c r="N1275" s="56" t="s">
        <v>358</v>
      </c>
      <c r="O1275" s="55" t="s">
        <v>400</v>
      </c>
      <c r="P1275" s="55" t="s">
        <v>2748</v>
      </c>
      <c r="Q1275" s="55" t="s">
        <v>5353</v>
      </c>
      <c r="R1275" s="55"/>
      <c r="S1275" s="56" t="s">
        <v>58</v>
      </c>
      <c r="T1275" s="55" t="str">
        <f>IF(ISNUMBER(SEARCH(",",N1275)),"Y","N")</f>
        <v>N</v>
      </c>
      <c r="U1275" s="57">
        <v>90</v>
      </c>
      <c r="V1275" s="57" t="s">
        <v>101</v>
      </c>
      <c r="W1275" s="55"/>
      <c r="X1275" s="54" t="s">
        <v>5282</v>
      </c>
      <c r="Y1275" s="53"/>
      <c r="Z1275" s="3" t="s">
        <v>2005</v>
      </c>
      <c r="AA1275" s="3" t="s">
        <v>493</v>
      </c>
      <c r="AB1275" s="3"/>
      <c r="AC1275" s="3"/>
      <c r="AD1275" s="3" t="s">
        <v>62</v>
      </c>
      <c r="AE1275" s="3" t="s">
        <v>251</v>
      </c>
      <c r="AF1275" s="3"/>
      <c r="AG1275" s="3" t="s">
        <v>618</v>
      </c>
      <c r="AH1275" s="58">
        <v>100</v>
      </c>
      <c r="AI1275" s="3"/>
      <c r="AJ1275" s="3"/>
      <c r="AK1275" s="3"/>
      <c r="AL1275" s="3"/>
      <c r="AM1275" s="3"/>
      <c r="AN1275" s="3"/>
      <c r="AO1275" s="3"/>
      <c r="AP1275" s="3"/>
      <c r="AQ1275" s="3"/>
      <c r="AR1275" s="3"/>
      <c r="AS1275" s="3"/>
      <c r="AT1275" s="3"/>
      <c r="AU1275" s="3"/>
      <c r="AV1275" s="3"/>
      <c r="AW1275" s="3"/>
      <c r="AX1275" s="3"/>
      <c r="AY1275" s="3"/>
      <c r="AZ1275" s="4" t="s">
        <v>3952</v>
      </c>
      <c r="BA1275" s="3" t="s">
        <v>3967</v>
      </c>
      <c r="BB1275" s="1"/>
      <c r="BC1275" s="1"/>
    </row>
    <row r="1276" spans="1:55" x14ac:dyDescent="0.25">
      <c r="A1276" s="52" t="s">
        <v>5283</v>
      </c>
      <c r="B1276" s="34" t="s">
        <v>59</v>
      </c>
      <c r="C1276" s="53">
        <v>2026</v>
      </c>
      <c r="D1276" s="53">
        <v>2026</v>
      </c>
      <c r="E1276" s="54" t="s">
        <v>3993</v>
      </c>
      <c r="F1276" s="55" t="s">
        <v>50</v>
      </c>
      <c r="G1276" s="55" t="s">
        <v>50</v>
      </c>
      <c r="H1276" s="45" t="s">
        <v>2747</v>
      </c>
      <c r="I1276" s="45" t="s">
        <v>52</v>
      </c>
      <c r="J1276" s="56"/>
      <c r="K1276" s="45" t="s">
        <v>180</v>
      </c>
      <c r="L1276" s="55" t="str">
        <f>IF(K1276="Mine or Quarry","Mine","")</f>
        <v/>
      </c>
      <c r="M1276" s="55"/>
      <c r="N1276" s="55" t="s">
        <v>110</v>
      </c>
      <c r="O1276" s="55" t="s">
        <v>188</v>
      </c>
      <c r="P1276" s="55" t="s">
        <v>182</v>
      </c>
      <c r="Q1276" s="55" t="s">
        <v>5353</v>
      </c>
      <c r="R1276" s="55"/>
      <c r="S1276" s="56" t="s">
        <v>58</v>
      </c>
      <c r="T1276" s="55" t="str">
        <f>IF(ISNUMBER(SEARCH(",",N1276)),"Y","N")</f>
        <v>N</v>
      </c>
      <c r="U1276" s="57">
        <v>3628</v>
      </c>
      <c r="V1276" s="57" t="s">
        <v>101</v>
      </c>
      <c r="W1276" s="55"/>
      <c r="X1276" s="54" t="s">
        <v>5283</v>
      </c>
      <c r="Y1276" s="53"/>
      <c r="Z1276" s="3" t="s">
        <v>61</v>
      </c>
      <c r="AA1276" s="3" t="s">
        <v>493</v>
      </c>
      <c r="AB1276" s="3"/>
      <c r="AC1276" s="3"/>
      <c r="AD1276" s="3" t="s">
        <v>62</v>
      </c>
      <c r="AE1276" s="3" t="s">
        <v>251</v>
      </c>
      <c r="AF1276" s="3"/>
      <c r="AG1276" s="3" t="s">
        <v>618</v>
      </c>
      <c r="AH1276" s="58">
        <v>100</v>
      </c>
      <c r="AI1276" s="3"/>
      <c r="AJ1276" s="53"/>
      <c r="AK1276" s="3"/>
      <c r="AL1276" s="3"/>
      <c r="AM1276" s="3"/>
      <c r="AN1276" s="3"/>
      <c r="AO1276" s="3"/>
      <c r="AP1276" s="3"/>
      <c r="AQ1276" s="3"/>
      <c r="AR1276" s="3"/>
      <c r="AS1276" s="3"/>
      <c r="AT1276" s="3"/>
      <c r="AU1276" s="3"/>
      <c r="AV1276" s="3"/>
      <c r="AW1276" s="3"/>
      <c r="AX1276" s="3"/>
      <c r="AY1276" s="3"/>
      <c r="AZ1276" s="4" t="s">
        <v>2749</v>
      </c>
      <c r="BA1276" s="3"/>
      <c r="BB1276" s="1"/>
      <c r="BC1276" s="1"/>
    </row>
    <row r="1277" spans="1:55" x14ac:dyDescent="0.25">
      <c r="A1277" s="52" t="s">
        <v>5284</v>
      </c>
      <c r="B1277" s="34" t="s">
        <v>59</v>
      </c>
      <c r="C1277" s="53">
        <v>2026</v>
      </c>
      <c r="D1277" s="53">
        <v>2026</v>
      </c>
      <c r="E1277" s="54" t="s">
        <v>3993</v>
      </c>
      <c r="F1277" s="55" t="s">
        <v>50</v>
      </c>
      <c r="G1277" s="55" t="s">
        <v>50</v>
      </c>
      <c r="H1277" s="45" t="s">
        <v>2747</v>
      </c>
      <c r="I1277" s="45" t="s">
        <v>52</v>
      </c>
      <c r="J1277" s="55" t="s">
        <v>384</v>
      </c>
      <c r="K1277" s="55" t="s">
        <v>384</v>
      </c>
      <c r="L1277" s="55" t="str">
        <f>IF(K1277="Mine or Quarry","Mine","")</f>
        <v/>
      </c>
      <c r="M1277" s="55"/>
      <c r="N1277" s="55" t="s">
        <v>1084</v>
      </c>
      <c r="O1277" s="55"/>
      <c r="P1277" s="55" t="s">
        <v>385</v>
      </c>
      <c r="Q1277" s="55" t="s">
        <v>5353</v>
      </c>
      <c r="R1277" s="55"/>
      <c r="S1277" s="56" t="s">
        <v>58</v>
      </c>
      <c r="T1277" s="55" t="str">
        <f>IF(ISNUMBER(SEARCH(",",N1277)),"Y","N")</f>
        <v>N</v>
      </c>
      <c r="U1277" s="57">
        <v>5000</v>
      </c>
      <c r="V1277" s="57" t="s">
        <v>101</v>
      </c>
      <c r="W1277" s="55"/>
      <c r="X1277" s="54" t="s">
        <v>5284</v>
      </c>
      <c r="Y1277" s="52"/>
      <c r="Z1277" s="3" t="s">
        <v>61</v>
      </c>
      <c r="AA1277" s="3" t="s">
        <v>493</v>
      </c>
      <c r="AB1277" s="3"/>
      <c r="AC1277" s="3"/>
      <c r="AD1277" s="3" t="s">
        <v>62</v>
      </c>
      <c r="AE1277" s="3" t="s">
        <v>251</v>
      </c>
      <c r="AF1277" s="3"/>
      <c r="AG1277" s="3" t="s">
        <v>618</v>
      </c>
      <c r="AH1277" s="58">
        <v>100</v>
      </c>
      <c r="AI1277" s="3"/>
      <c r="AJ1277" s="3"/>
      <c r="AK1277" s="3"/>
      <c r="AL1277" s="3"/>
      <c r="AM1277" s="3"/>
      <c r="AN1277" s="3"/>
      <c r="AO1277" s="3"/>
      <c r="AP1277" s="3"/>
      <c r="AQ1277" s="3"/>
      <c r="AR1277" s="3"/>
      <c r="AS1277" s="3"/>
      <c r="AT1277" s="3"/>
      <c r="AU1277" s="3"/>
      <c r="AV1277" s="3"/>
      <c r="AW1277" s="3"/>
      <c r="AX1277" s="3"/>
      <c r="AY1277" s="3"/>
      <c r="AZ1277" s="4" t="s">
        <v>2749</v>
      </c>
      <c r="BA1277" s="3"/>
      <c r="BB1277" s="1"/>
      <c r="BC1277" s="1"/>
    </row>
    <row r="1278" spans="1:55" x14ac:dyDescent="0.25">
      <c r="A1278" s="52" t="s">
        <v>5285</v>
      </c>
      <c r="B1278" s="34" t="s">
        <v>59</v>
      </c>
      <c r="C1278" s="53">
        <v>2026</v>
      </c>
      <c r="D1278" s="53">
        <v>2026</v>
      </c>
      <c r="E1278" s="54" t="s">
        <v>3999</v>
      </c>
      <c r="F1278" s="55" t="s">
        <v>50</v>
      </c>
      <c r="G1278" s="55" t="s">
        <v>50</v>
      </c>
      <c r="H1278" s="45" t="s">
        <v>2750</v>
      </c>
      <c r="I1278" s="56" t="s">
        <v>78</v>
      </c>
      <c r="J1278" s="56" t="s">
        <v>291</v>
      </c>
      <c r="K1278" s="55" t="s">
        <v>292</v>
      </c>
      <c r="L1278" s="55" t="str">
        <f>IF(K1278="Mine or Quarry","Mine","")</f>
        <v/>
      </c>
      <c r="M1278" s="55"/>
      <c r="N1278" s="55"/>
      <c r="O1278" s="55"/>
      <c r="P1278" s="56" t="s">
        <v>293</v>
      </c>
      <c r="Q1278" s="55" t="s">
        <v>57</v>
      </c>
      <c r="R1278" s="55"/>
      <c r="S1278" s="56" t="s">
        <v>81</v>
      </c>
      <c r="T1278" s="55" t="str">
        <f>IF(ISNUMBER(SEARCH(",",N1278)),"Y","N")</f>
        <v>N</v>
      </c>
      <c r="U1278" s="57">
        <v>500</v>
      </c>
      <c r="V1278" s="57" t="s">
        <v>101</v>
      </c>
      <c r="W1278" s="55"/>
      <c r="X1278" s="54" t="s">
        <v>5285</v>
      </c>
      <c r="Y1278" s="52"/>
      <c r="Z1278" s="3" t="s">
        <v>61</v>
      </c>
      <c r="AA1278" s="1" t="s">
        <v>2751</v>
      </c>
      <c r="AB1278" s="1"/>
      <c r="AC1278" s="1"/>
      <c r="AD1278" s="3" t="s">
        <v>62</v>
      </c>
      <c r="AE1278" s="3" t="s">
        <v>360</v>
      </c>
      <c r="AF1278" s="3"/>
      <c r="AG1278" s="3" t="s">
        <v>294</v>
      </c>
      <c r="AH1278" s="58">
        <v>100</v>
      </c>
      <c r="AI1278" s="3"/>
      <c r="AJ1278" s="3"/>
      <c r="AK1278" s="3"/>
      <c r="AL1278" s="3"/>
      <c r="AM1278" s="3"/>
      <c r="AN1278" s="3"/>
      <c r="AO1278" s="3"/>
      <c r="AP1278" s="3"/>
      <c r="AQ1278" s="3"/>
      <c r="AR1278" s="3"/>
      <c r="AS1278" s="3"/>
      <c r="AT1278" s="3"/>
      <c r="AU1278" s="3"/>
      <c r="AV1278" s="3"/>
      <c r="AW1278" s="3"/>
      <c r="AX1278" s="3"/>
      <c r="AY1278" s="3"/>
      <c r="AZ1278" s="2" t="s">
        <v>3953</v>
      </c>
      <c r="BA1278" s="3" t="s">
        <v>3954</v>
      </c>
      <c r="BB1278" s="1"/>
      <c r="BC1278" s="1"/>
    </row>
    <row r="1279" spans="1:55" x14ac:dyDescent="0.25">
      <c r="A1279" s="52" t="s">
        <v>5286</v>
      </c>
      <c r="B1279" s="34" t="s">
        <v>59</v>
      </c>
      <c r="C1279" s="53">
        <v>2026</v>
      </c>
      <c r="D1279" s="53">
        <v>2026</v>
      </c>
      <c r="E1279" s="54" t="s">
        <v>4005</v>
      </c>
      <c r="F1279" s="55" t="s">
        <v>50</v>
      </c>
      <c r="G1279" s="55" t="s">
        <v>50</v>
      </c>
      <c r="H1279" s="45" t="s">
        <v>2752</v>
      </c>
      <c r="I1279" s="56" t="s">
        <v>52</v>
      </c>
      <c r="J1279" s="56"/>
      <c r="K1279" s="45" t="s">
        <v>285</v>
      </c>
      <c r="L1279" s="55"/>
      <c r="M1279" s="55"/>
      <c r="N1279" s="45" t="s">
        <v>908</v>
      </c>
      <c r="O1279" s="45"/>
      <c r="P1279" s="55" t="s">
        <v>89</v>
      </c>
      <c r="Q1279" s="55" t="s">
        <v>89</v>
      </c>
      <c r="R1279" s="55"/>
      <c r="S1279" s="56" t="s">
        <v>58</v>
      </c>
      <c r="T1279" s="55" t="s">
        <v>81</v>
      </c>
      <c r="U1279" s="57">
        <v>-999</v>
      </c>
      <c r="V1279" s="57" t="s">
        <v>59</v>
      </c>
      <c r="W1279" s="55"/>
      <c r="X1279" s="54" t="s">
        <v>5286</v>
      </c>
      <c r="Y1279" s="52"/>
      <c r="Z1279" s="1" t="s">
        <v>61</v>
      </c>
      <c r="AA1279" s="1" t="s">
        <v>2751</v>
      </c>
      <c r="AB1279" s="1"/>
      <c r="AC1279" s="1"/>
      <c r="AD1279" s="3" t="s">
        <v>62</v>
      </c>
      <c r="AE1279" s="2" t="s">
        <v>360</v>
      </c>
      <c r="AF1279" s="2"/>
      <c r="AG1279" s="3" t="s">
        <v>294</v>
      </c>
      <c r="AH1279" s="2">
        <v>100</v>
      </c>
      <c r="AI1279" s="2"/>
      <c r="AJ1279" s="2"/>
      <c r="AK1279" s="2"/>
      <c r="AL1279" s="2"/>
      <c r="AM1279" s="2"/>
      <c r="AN1279" s="2"/>
      <c r="AO1279" s="2"/>
      <c r="AP1279" s="2"/>
      <c r="AQ1279" s="2"/>
      <c r="AR1279" s="2"/>
      <c r="AS1279" s="2"/>
      <c r="AT1279" s="2"/>
      <c r="AU1279" s="2"/>
      <c r="AV1279" s="2"/>
      <c r="AW1279" s="2"/>
      <c r="AX1279" s="2"/>
      <c r="AY1279" s="2"/>
      <c r="AZ1279" s="4" t="s">
        <v>907</v>
      </c>
      <c r="BA1279" s="2"/>
      <c r="BB1279" s="1"/>
      <c r="BC1279" s="1"/>
    </row>
    <row r="1280" spans="1:55" x14ac:dyDescent="0.25">
      <c r="A1280" s="52" t="s">
        <v>5287</v>
      </c>
      <c r="B1280" s="34" t="s">
        <v>59</v>
      </c>
      <c r="C1280" s="53">
        <v>2026</v>
      </c>
      <c r="D1280" s="53">
        <v>2026</v>
      </c>
      <c r="E1280" s="54" t="s">
        <v>4005</v>
      </c>
      <c r="F1280" s="55" t="s">
        <v>50</v>
      </c>
      <c r="G1280" s="55" t="s">
        <v>50</v>
      </c>
      <c r="H1280" s="45" t="s">
        <v>2752</v>
      </c>
      <c r="I1280" s="45" t="s">
        <v>52</v>
      </c>
      <c r="J1280" s="56" t="s">
        <v>291</v>
      </c>
      <c r="K1280" s="55" t="s">
        <v>291</v>
      </c>
      <c r="L1280" s="55"/>
      <c r="M1280" s="55"/>
      <c r="N1280" s="56" t="s">
        <v>300</v>
      </c>
      <c r="O1280" s="56"/>
      <c r="P1280" s="56" t="s">
        <v>293</v>
      </c>
      <c r="Q1280" s="55" t="s">
        <v>57</v>
      </c>
      <c r="R1280" s="55"/>
      <c r="S1280" s="56" t="s">
        <v>58</v>
      </c>
      <c r="T1280" s="55" t="str">
        <f>IF(ISNUMBER(SEARCH(",",N1280)),"Y","N")</f>
        <v>N</v>
      </c>
      <c r="U1280" s="57">
        <v>500</v>
      </c>
      <c r="V1280" s="57" t="s">
        <v>101</v>
      </c>
      <c r="W1280" s="55"/>
      <c r="X1280" s="54" t="s">
        <v>5287</v>
      </c>
      <c r="Y1280" s="52"/>
      <c r="Z1280" s="3" t="s">
        <v>61</v>
      </c>
      <c r="AA1280" s="1" t="s">
        <v>2751</v>
      </c>
      <c r="AB1280" s="1"/>
      <c r="AC1280" s="1"/>
      <c r="AD1280" s="3" t="s">
        <v>62</v>
      </c>
      <c r="AE1280" s="3" t="s">
        <v>360</v>
      </c>
      <c r="AF1280" s="3"/>
      <c r="AG1280" s="3" t="s">
        <v>294</v>
      </c>
      <c r="AH1280" s="58">
        <v>100</v>
      </c>
      <c r="AI1280" s="1"/>
      <c r="AJ1280" s="1"/>
      <c r="AK1280" s="1"/>
      <c r="AL1280" s="1"/>
      <c r="AM1280" s="1"/>
      <c r="AN1280" s="1"/>
      <c r="AO1280" s="1"/>
      <c r="AP1280" s="1"/>
      <c r="AQ1280" s="1"/>
      <c r="AR1280" s="1"/>
      <c r="AS1280" s="1"/>
      <c r="AT1280" s="1"/>
      <c r="AU1280" s="1"/>
      <c r="AV1280" s="1"/>
      <c r="AW1280" s="1"/>
      <c r="AX1280" s="1"/>
      <c r="AY1280" s="1"/>
      <c r="AZ1280" s="2" t="s">
        <v>3953</v>
      </c>
      <c r="BA1280" s="1" t="s">
        <v>3954</v>
      </c>
      <c r="BB1280" s="2"/>
      <c r="BC1280" s="2"/>
    </row>
    <row r="1281" spans="1:55" x14ac:dyDescent="0.25">
      <c r="A1281" s="52" t="s">
        <v>5288</v>
      </c>
      <c r="B1281" s="34" t="s">
        <v>59</v>
      </c>
      <c r="C1281" s="53">
        <v>2026</v>
      </c>
      <c r="D1281" s="53">
        <v>2026</v>
      </c>
      <c r="E1281" s="54" t="s">
        <v>5318</v>
      </c>
      <c r="F1281" s="55" t="s">
        <v>50</v>
      </c>
      <c r="G1281" s="55" t="s">
        <v>50</v>
      </c>
      <c r="H1281" s="45" t="s">
        <v>2754</v>
      </c>
      <c r="I1281" s="56" t="s">
        <v>52</v>
      </c>
      <c r="J1281" s="56"/>
      <c r="K1281" s="56" t="s">
        <v>140</v>
      </c>
      <c r="L1281" s="55" t="s">
        <v>54</v>
      </c>
      <c r="M1281" s="55"/>
      <c r="N1281" s="55" t="s">
        <v>141</v>
      </c>
      <c r="O1281" s="55"/>
      <c r="P1281" s="55" t="s">
        <v>142</v>
      </c>
      <c r="Q1281" s="56" t="s">
        <v>57</v>
      </c>
      <c r="R1281" s="55"/>
      <c r="S1281" s="56" t="s">
        <v>81</v>
      </c>
      <c r="T1281" s="55" t="s">
        <v>81</v>
      </c>
      <c r="U1281" s="57">
        <v>3200</v>
      </c>
      <c r="V1281" s="57" t="s">
        <v>101</v>
      </c>
      <c r="W1281" s="55" t="s">
        <v>2319</v>
      </c>
      <c r="X1281" s="54" t="s">
        <v>5288</v>
      </c>
      <c r="Y1281" s="52"/>
      <c r="Z1281" s="1" t="s">
        <v>61</v>
      </c>
      <c r="AA1281" s="3" t="s">
        <v>2755</v>
      </c>
      <c r="AB1281" s="3"/>
      <c r="AC1281" s="3"/>
      <c r="AD1281" s="3" t="s">
        <v>62</v>
      </c>
      <c r="AE1281" s="1" t="s">
        <v>306</v>
      </c>
      <c r="AF1281" s="1"/>
      <c r="AG1281" s="3" t="s">
        <v>706</v>
      </c>
      <c r="AH1281" s="2">
        <v>100</v>
      </c>
      <c r="AI1281" s="3"/>
      <c r="AJ1281" s="3"/>
      <c r="AK1281" s="3"/>
      <c r="AL1281" s="3"/>
      <c r="AM1281" s="3"/>
      <c r="AN1281" s="3"/>
      <c r="AO1281" s="3"/>
      <c r="AP1281" s="3"/>
      <c r="AQ1281" s="3"/>
      <c r="AR1281" s="3"/>
      <c r="AS1281" s="3"/>
      <c r="AT1281" s="3"/>
      <c r="AU1281" s="3"/>
      <c r="AV1281" s="3"/>
      <c r="AW1281" s="3"/>
      <c r="AX1281" s="3"/>
      <c r="AY1281" s="3"/>
      <c r="AZ1281" s="4" t="s">
        <v>139</v>
      </c>
      <c r="BA1281" s="3"/>
      <c r="BB1281" s="1"/>
      <c r="BC1281" s="1"/>
    </row>
    <row r="1282" spans="1:55" x14ac:dyDescent="0.25">
      <c r="A1282" s="52" t="s">
        <v>5289</v>
      </c>
      <c r="B1282" s="34" t="s">
        <v>59</v>
      </c>
      <c r="C1282" s="53">
        <v>2026</v>
      </c>
      <c r="D1282" s="53">
        <v>2026</v>
      </c>
      <c r="E1282" s="54" t="s">
        <v>5319</v>
      </c>
      <c r="F1282" s="55" t="s">
        <v>50</v>
      </c>
      <c r="G1282" s="55" t="s">
        <v>50</v>
      </c>
      <c r="H1282" s="45" t="s">
        <v>2757</v>
      </c>
      <c r="I1282" s="61" t="s">
        <v>52</v>
      </c>
      <c r="J1282" s="56" t="s">
        <v>65</v>
      </c>
      <c r="K1282" s="55" t="s">
        <v>66</v>
      </c>
      <c r="L1282" s="55" t="s">
        <v>317</v>
      </c>
      <c r="M1282" s="55" t="s">
        <v>113</v>
      </c>
      <c r="N1282" s="55" t="s">
        <v>55</v>
      </c>
      <c r="O1282" s="55"/>
      <c r="P1282" s="55" t="s">
        <v>67</v>
      </c>
      <c r="Q1282" s="55" t="s">
        <v>57</v>
      </c>
      <c r="R1282" s="55"/>
      <c r="S1282" s="56" t="s">
        <v>58</v>
      </c>
      <c r="T1282" s="55" t="str">
        <f t="shared" ref="T1282:T1287" si="20">IF(ISNUMBER(SEARCH(",",N1282)),"Y","N")</f>
        <v>N</v>
      </c>
      <c r="U1282" s="57">
        <v>-999</v>
      </c>
      <c r="V1282" s="57" t="s">
        <v>59</v>
      </c>
      <c r="W1282" s="55" t="s">
        <v>2319</v>
      </c>
      <c r="X1282" s="54" t="s">
        <v>5289</v>
      </c>
      <c r="Y1282" s="52"/>
      <c r="Z1282" s="3" t="s">
        <v>61</v>
      </c>
      <c r="AA1282" s="3" t="s">
        <v>2758</v>
      </c>
      <c r="AB1282" s="3"/>
      <c r="AC1282" s="3"/>
      <c r="AD1282" s="3" t="s">
        <v>62</v>
      </c>
      <c r="AE1282" s="3" t="s">
        <v>438</v>
      </c>
      <c r="AF1282" s="3"/>
      <c r="AG1282" s="3" t="s">
        <v>2396</v>
      </c>
      <c r="AH1282" s="58">
        <v>100</v>
      </c>
      <c r="AI1282" s="3"/>
      <c r="AJ1282" s="3"/>
      <c r="AK1282" s="3"/>
      <c r="AL1282" s="3"/>
      <c r="AM1282" s="3"/>
      <c r="AN1282" s="3"/>
      <c r="AO1282" s="3"/>
      <c r="AP1282" s="3"/>
      <c r="AQ1282" s="3"/>
      <c r="AR1282" s="3"/>
      <c r="AS1282" s="3"/>
      <c r="AT1282" s="3"/>
      <c r="AU1282" s="3"/>
      <c r="AV1282" s="3"/>
      <c r="AW1282" s="3"/>
      <c r="AX1282" s="3"/>
      <c r="AY1282" s="3"/>
      <c r="AZ1282" s="4" t="s">
        <v>2756</v>
      </c>
      <c r="BA1282" s="3"/>
      <c r="BB1282" s="1"/>
      <c r="BC1282" s="1"/>
    </row>
    <row r="1283" spans="1:55" x14ac:dyDescent="0.25">
      <c r="A1283" s="52" t="s">
        <v>5290</v>
      </c>
      <c r="B1283" s="34" t="s">
        <v>59</v>
      </c>
      <c r="C1283" s="53">
        <v>2026</v>
      </c>
      <c r="D1283" s="53">
        <v>2026</v>
      </c>
      <c r="E1283" s="54" t="s">
        <v>5319</v>
      </c>
      <c r="F1283" s="55" t="s">
        <v>50</v>
      </c>
      <c r="G1283" s="55" t="s">
        <v>50</v>
      </c>
      <c r="H1283" s="45" t="s">
        <v>2757</v>
      </c>
      <c r="I1283" s="61" t="s">
        <v>52</v>
      </c>
      <c r="J1283" s="56" t="s">
        <v>65</v>
      </c>
      <c r="K1283" s="55" t="s">
        <v>68</v>
      </c>
      <c r="L1283" s="55" t="s">
        <v>317</v>
      </c>
      <c r="M1283" s="55" t="s">
        <v>113</v>
      </c>
      <c r="N1283" s="55" t="s">
        <v>55</v>
      </c>
      <c r="O1283" s="55"/>
      <c r="P1283" s="55" t="s">
        <v>69</v>
      </c>
      <c r="Q1283" s="55" t="s">
        <v>57</v>
      </c>
      <c r="R1283" s="55"/>
      <c r="S1283" s="56" t="s">
        <v>58</v>
      </c>
      <c r="T1283" s="55" t="str">
        <f t="shared" si="20"/>
        <v>N</v>
      </c>
      <c r="U1283" s="57">
        <v>-999</v>
      </c>
      <c r="V1283" s="57" t="s">
        <v>59</v>
      </c>
      <c r="W1283" s="55" t="s">
        <v>2319</v>
      </c>
      <c r="X1283" s="54" t="s">
        <v>5290</v>
      </c>
      <c r="Y1283" s="52"/>
      <c r="Z1283" s="3" t="s">
        <v>61</v>
      </c>
      <c r="AA1283" s="3" t="s">
        <v>2758</v>
      </c>
      <c r="AB1283" s="3"/>
      <c r="AC1283" s="3"/>
      <c r="AD1283" s="3" t="s">
        <v>62</v>
      </c>
      <c r="AE1283" s="3" t="s">
        <v>438</v>
      </c>
      <c r="AF1283" s="3"/>
      <c r="AG1283" s="3" t="s">
        <v>2396</v>
      </c>
      <c r="AH1283" s="58">
        <v>100</v>
      </c>
      <c r="AI1283" s="3"/>
      <c r="AJ1283" s="3"/>
      <c r="AK1283" s="3"/>
      <c r="AL1283" s="3"/>
      <c r="AM1283" s="3"/>
      <c r="AN1283" s="3"/>
      <c r="AO1283" s="3"/>
      <c r="AP1283" s="3"/>
      <c r="AQ1283" s="3"/>
      <c r="AR1283" s="3"/>
      <c r="AS1283" s="3"/>
      <c r="AT1283" s="3"/>
      <c r="AU1283" s="3"/>
      <c r="AV1283" s="3"/>
      <c r="AW1283" s="3"/>
      <c r="AX1283" s="3"/>
      <c r="AY1283" s="3"/>
      <c r="AZ1283" s="4" t="s">
        <v>2756</v>
      </c>
      <c r="BA1283" s="3"/>
      <c r="BB1283" s="2"/>
      <c r="BC1283" s="2"/>
    </row>
    <row r="1284" spans="1:55" x14ac:dyDescent="0.25">
      <c r="A1284" s="52" t="s">
        <v>5292</v>
      </c>
      <c r="B1284" s="34" t="s">
        <v>59</v>
      </c>
      <c r="C1284" s="53">
        <v>2026</v>
      </c>
      <c r="D1284" s="53">
        <v>2026</v>
      </c>
      <c r="E1284" s="54" t="s">
        <v>5319</v>
      </c>
      <c r="F1284" s="55" t="s">
        <v>50</v>
      </c>
      <c r="G1284" s="55" t="s">
        <v>50</v>
      </c>
      <c r="H1284" s="45" t="s">
        <v>2757</v>
      </c>
      <c r="I1284" s="61" t="s">
        <v>52</v>
      </c>
      <c r="J1284" s="56"/>
      <c r="K1284" s="55" t="s">
        <v>120</v>
      </c>
      <c r="L1284" s="55" t="s">
        <v>317</v>
      </c>
      <c r="M1284" s="55" t="s">
        <v>113</v>
      </c>
      <c r="N1284" s="55" t="s">
        <v>55</v>
      </c>
      <c r="O1284" s="55"/>
      <c r="P1284" s="55" t="s">
        <v>121</v>
      </c>
      <c r="Q1284" s="55" t="s">
        <v>57</v>
      </c>
      <c r="R1284" s="55"/>
      <c r="S1284" s="56" t="s">
        <v>58</v>
      </c>
      <c r="T1284" s="55" t="str">
        <f t="shared" si="20"/>
        <v>N</v>
      </c>
      <c r="U1284" s="57">
        <v>-999</v>
      </c>
      <c r="V1284" s="57" t="s">
        <v>59</v>
      </c>
      <c r="W1284" s="55" t="s">
        <v>2319</v>
      </c>
      <c r="X1284" s="54" t="s">
        <v>5292</v>
      </c>
      <c r="Y1284" s="52"/>
      <c r="Z1284" s="3" t="s">
        <v>61</v>
      </c>
      <c r="AA1284" s="3" t="s">
        <v>2758</v>
      </c>
      <c r="AB1284" s="3"/>
      <c r="AC1284" s="3"/>
      <c r="AD1284" s="3" t="s">
        <v>62</v>
      </c>
      <c r="AE1284" s="3" t="s">
        <v>438</v>
      </c>
      <c r="AF1284" s="3"/>
      <c r="AG1284" s="3" t="s">
        <v>2396</v>
      </c>
      <c r="AH1284" s="58">
        <v>100</v>
      </c>
      <c r="AI1284" s="3"/>
      <c r="AJ1284" s="3"/>
      <c r="AK1284" s="3"/>
      <c r="AL1284" s="3"/>
      <c r="AM1284" s="3"/>
      <c r="AN1284" s="3"/>
      <c r="AO1284" s="3"/>
      <c r="AP1284" s="3"/>
      <c r="AQ1284" s="3"/>
      <c r="AR1284" s="3"/>
      <c r="AS1284" s="3"/>
      <c r="AT1284" s="3"/>
      <c r="AU1284" s="3"/>
      <c r="AV1284" s="3"/>
      <c r="AW1284" s="3"/>
      <c r="AX1284" s="3"/>
      <c r="AY1284" s="3"/>
      <c r="AZ1284" s="4" t="s">
        <v>2756</v>
      </c>
      <c r="BA1284" s="3"/>
      <c r="BB1284" s="2"/>
      <c r="BC1284" s="2"/>
    </row>
    <row r="1285" spans="1:55" x14ac:dyDescent="0.25">
      <c r="A1285" s="52" t="s">
        <v>5293</v>
      </c>
      <c r="B1285" s="34" t="s">
        <v>59</v>
      </c>
      <c r="C1285" s="53">
        <v>2026</v>
      </c>
      <c r="D1285" s="53">
        <v>2026</v>
      </c>
      <c r="E1285" s="54" t="s">
        <v>5319</v>
      </c>
      <c r="F1285" s="55" t="s">
        <v>50</v>
      </c>
      <c r="G1285" s="55" t="s">
        <v>50</v>
      </c>
      <c r="H1285" s="45" t="s">
        <v>2757</v>
      </c>
      <c r="I1285" s="61" t="s">
        <v>52</v>
      </c>
      <c r="J1285" s="56" t="s">
        <v>65</v>
      </c>
      <c r="K1285" s="55" t="s">
        <v>890</v>
      </c>
      <c r="L1285" s="55" t="s">
        <v>317</v>
      </c>
      <c r="M1285" s="55" t="s">
        <v>113</v>
      </c>
      <c r="N1285" s="55" t="s">
        <v>55</v>
      </c>
      <c r="O1285" s="55"/>
      <c r="P1285" s="55" t="s">
        <v>892</v>
      </c>
      <c r="Q1285" s="55" t="s">
        <v>57</v>
      </c>
      <c r="R1285" s="55"/>
      <c r="S1285" s="56" t="s">
        <v>58</v>
      </c>
      <c r="T1285" s="55" t="str">
        <f t="shared" si="20"/>
        <v>N</v>
      </c>
      <c r="U1285" s="57">
        <v>-999</v>
      </c>
      <c r="V1285" s="57" t="s">
        <v>59</v>
      </c>
      <c r="W1285" s="55" t="s">
        <v>2319</v>
      </c>
      <c r="X1285" s="54" t="s">
        <v>5293</v>
      </c>
      <c r="Y1285" s="52"/>
      <c r="Z1285" s="3" t="s">
        <v>61</v>
      </c>
      <c r="AA1285" s="3" t="s">
        <v>2758</v>
      </c>
      <c r="AB1285" s="3"/>
      <c r="AC1285" s="3"/>
      <c r="AD1285" s="3" t="s">
        <v>62</v>
      </c>
      <c r="AE1285" s="3" t="s">
        <v>438</v>
      </c>
      <c r="AF1285" s="3"/>
      <c r="AG1285" s="3" t="s">
        <v>2396</v>
      </c>
      <c r="AH1285" s="58">
        <v>100</v>
      </c>
      <c r="AI1285" s="3"/>
      <c r="AJ1285" s="3"/>
      <c r="AK1285" s="3"/>
      <c r="AL1285" s="3"/>
      <c r="AM1285" s="3"/>
      <c r="AN1285" s="3"/>
      <c r="AO1285" s="3"/>
      <c r="AP1285" s="3"/>
      <c r="AQ1285" s="3"/>
      <c r="AR1285" s="3"/>
      <c r="AS1285" s="3"/>
      <c r="AT1285" s="3"/>
      <c r="AU1285" s="3"/>
      <c r="AV1285" s="3"/>
      <c r="AW1285" s="3"/>
      <c r="AX1285" s="3"/>
      <c r="AY1285" s="3"/>
      <c r="AZ1285" s="4" t="s">
        <v>2756</v>
      </c>
      <c r="BA1285" s="3"/>
      <c r="BB1285" s="2"/>
      <c r="BC1285" s="2"/>
    </row>
    <row r="1286" spans="1:55" x14ac:dyDescent="0.25">
      <c r="A1286" s="52" t="s">
        <v>5300</v>
      </c>
      <c r="B1286" s="34" t="s">
        <v>59</v>
      </c>
      <c r="C1286" s="53">
        <v>2026</v>
      </c>
      <c r="D1286" s="53">
        <v>2026</v>
      </c>
      <c r="E1286" s="54" t="s">
        <v>5320</v>
      </c>
      <c r="F1286" s="55" t="s">
        <v>50</v>
      </c>
      <c r="G1286" s="55" t="s">
        <v>50</v>
      </c>
      <c r="H1286" s="45" t="s">
        <v>2759</v>
      </c>
      <c r="I1286" s="56" t="s">
        <v>78</v>
      </c>
      <c r="J1286" s="56" t="s">
        <v>291</v>
      </c>
      <c r="K1286" s="56" t="s">
        <v>292</v>
      </c>
      <c r="L1286" s="55" t="str">
        <f>IF(K1286="Mine or Quarry","Mine","")</f>
        <v/>
      </c>
      <c r="M1286" s="55"/>
      <c r="N1286" s="55" t="s">
        <v>110</v>
      </c>
      <c r="O1286" s="55"/>
      <c r="P1286" s="56" t="s">
        <v>293</v>
      </c>
      <c r="Q1286" s="55" t="s">
        <v>57</v>
      </c>
      <c r="R1286" s="55"/>
      <c r="S1286" s="56" t="s">
        <v>81</v>
      </c>
      <c r="T1286" s="55" t="str">
        <f t="shared" si="20"/>
        <v>N</v>
      </c>
      <c r="U1286" s="57">
        <v>1500000</v>
      </c>
      <c r="V1286" s="57" t="s">
        <v>101</v>
      </c>
      <c r="W1286" s="55" t="s">
        <v>2319</v>
      </c>
      <c r="X1286" s="54" t="s">
        <v>5300</v>
      </c>
      <c r="Y1286" s="52"/>
      <c r="Z1286" s="3" t="s">
        <v>61</v>
      </c>
      <c r="AA1286" s="3" t="s">
        <v>2760</v>
      </c>
      <c r="AB1286" s="3"/>
      <c r="AC1286" s="3"/>
      <c r="AD1286" s="3" t="s">
        <v>62</v>
      </c>
      <c r="AE1286" s="3" t="s">
        <v>360</v>
      </c>
      <c r="AF1286" s="3"/>
      <c r="AG1286" s="3" t="s">
        <v>361</v>
      </c>
      <c r="AH1286" s="58">
        <v>100</v>
      </c>
      <c r="AI1286" s="3"/>
      <c r="AJ1286" s="3"/>
      <c r="AK1286" s="3"/>
      <c r="AL1286" s="3"/>
      <c r="AM1286" s="3"/>
      <c r="AN1286" s="3"/>
      <c r="AO1286" s="3"/>
      <c r="AP1286" s="3"/>
      <c r="AQ1286" s="3"/>
      <c r="AR1286" s="3"/>
      <c r="AS1286" s="3"/>
      <c r="AT1286" s="3"/>
      <c r="AU1286" s="3"/>
      <c r="AV1286" s="3"/>
      <c r="AW1286" s="3"/>
      <c r="AX1286" s="3"/>
      <c r="AY1286" s="3"/>
      <c r="AZ1286" s="4" t="s">
        <v>1679</v>
      </c>
      <c r="BA1286" s="3"/>
      <c r="BB1286" s="2"/>
      <c r="BC1286" s="2"/>
    </row>
    <row r="1287" spans="1:55" x14ac:dyDescent="0.25">
      <c r="A1287" s="52" t="s">
        <v>5301</v>
      </c>
      <c r="B1287" s="34" t="s">
        <v>59</v>
      </c>
      <c r="C1287" s="53">
        <v>2026</v>
      </c>
      <c r="D1287" s="53">
        <v>2026</v>
      </c>
      <c r="E1287" s="54" t="s">
        <v>5321</v>
      </c>
      <c r="F1287" s="55" t="s">
        <v>50</v>
      </c>
      <c r="G1287" s="55" t="s">
        <v>50</v>
      </c>
      <c r="H1287" s="45" t="s">
        <v>2762</v>
      </c>
      <c r="I1287" s="56" t="s">
        <v>78</v>
      </c>
      <c r="J1287" s="56"/>
      <c r="K1287" s="56" t="s">
        <v>79</v>
      </c>
      <c r="L1287" s="55" t="str">
        <f>IF(K1287="Mine or Quarry","Mine","")</f>
        <v/>
      </c>
      <c r="M1287" s="55"/>
      <c r="N1287" s="56" t="s">
        <v>80</v>
      </c>
      <c r="O1287" s="56"/>
      <c r="P1287" s="56" t="s">
        <v>89</v>
      </c>
      <c r="Q1287" s="56" t="s">
        <v>89</v>
      </c>
      <c r="R1287" s="55"/>
      <c r="S1287" s="56" t="s">
        <v>81</v>
      </c>
      <c r="T1287" s="55" t="str">
        <f t="shared" si="20"/>
        <v>N</v>
      </c>
      <c r="U1287" s="57">
        <v>-999</v>
      </c>
      <c r="V1287" s="57" t="s">
        <v>59</v>
      </c>
      <c r="W1287" s="55" t="s">
        <v>2319</v>
      </c>
      <c r="X1287" s="54" t="s">
        <v>5301</v>
      </c>
      <c r="Y1287" s="52"/>
      <c r="Z1287" s="1" t="s">
        <v>61</v>
      </c>
      <c r="AA1287" s="1" t="s">
        <v>2763</v>
      </c>
      <c r="AB1287" s="1"/>
      <c r="AC1287" s="1"/>
      <c r="AD1287" s="3" t="s">
        <v>62</v>
      </c>
      <c r="AE1287" s="1" t="s">
        <v>108</v>
      </c>
      <c r="AF1287" s="1"/>
      <c r="AG1287" s="1" t="s">
        <v>1483</v>
      </c>
      <c r="AH1287" s="1"/>
      <c r="AI1287" s="1"/>
      <c r="AJ1287" s="1"/>
      <c r="AK1287" s="1"/>
      <c r="AL1287" s="1"/>
      <c r="AM1287" s="1"/>
      <c r="AN1287" s="1"/>
      <c r="AO1287" s="1"/>
      <c r="AP1287" s="1"/>
      <c r="AQ1287" s="1"/>
      <c r="AR1287" s="1"/>
      <c r="AS1287" s="1"/>
      <c r="AT1287" s="1"/>
      <c r="AU1287" s="1"/>
      <c r="AV1287" s="1"/>
      <c r="AW1287" s="1"/>
      <c r="AX1287" s="1"/>
      <c r="AY1287" s="1"/>
      <c r="AZ1287" s="5" t="s">
        <v>2761</v>
      </c>
      <c r="BA1287" s="5"/>
      <c r="BB1287" s="2"/>
      <c r="BC1287" s="2"/>
    </row>
    <row r="1288" spans="1:55" x14ac:dyDescent="0.25">
      <c r="A1288" s="52" t="s">
        <v>5313</v>
      </c>
      <c r="B1288" s="34" t="s">
        <v>59</v>
      </c>
      <c r="C1288" s="53">
        <v>2026</v>
      </c>
      <c r="D1288" s="53">
        <v>2026</v>
      </c>
      <c r="E1288" s="54" t="s">
        <v>5322</v>
      </c>
      <c r="F1288" s="55" t="s">
        <v>50</v>
      </c>
      <c r="G1288" s="55" t="s">
        <v>50</v>
      </c>
      <c r="H1288" s="45" t="s">
        <v>2764</v>
      </c>
      <c r="I1288" s="56" t="s">
        <v>52</v>
      </c>
      <c r="J1288" s="56"/>
      <c r="K1288" s="55" t="s">
        <v>582</v>
      </c>
      <c r="L1288" s="55"/>
      <c r="M1288" s="55"/>
      <c r="N1288" s="55" t="s">
        <v>400</v>
      </c>
      <c r="O1288" s="55"/>
      <c r="P1288" s="61" t="s">
        <v>583</v>
      </c>
      <c r="Q1288" s="61" t="s">
        <v>57</v>
      </c>
      <c r="R1288" s="55"/>
      <c r="S1288" s="56" t="s">
        <v>81</v>
      </c>
      <c r="T1288" s="55" t="s">
        <v>81</v>
      </c>
      <c r="U1288" s="57">
        <v>-999</v>
      </c>
      <c r="V1288" s="57" t="s">
        <v>59</v>
      </c>
      <c r="W1288" s="55" t="s">
        <v>2319</v>
      </c>
      <c r="X1288" s="54" t="s">
        <v>5313</v>
      </c>
      <c r="Y1288" s="52"/>
      <c r="Z1288" s="3" t="s">
        <v>61</v>
      </c>
      <c r="AA1288" s="3" t="s">
        <v>2765</v>
      </c>
      <c r="AB1288" s="3"/>
      <c r="AC1288" s="3"/>
      <c r="AD1288" s="3" t="s">
        <v>62</v>
      </c>
      <c r="AE1288" s="3" t="s">
        <v>288</v>
      </c>
      <c r="AF1288" s="3"/>
      <c r="AG1288" s="3" t="s">
        <v>2390</v>
      </c>
      <c r="AH1288" s="58">
        <v>100</v>
      </c>
      <c r="AI1288" s="3"/>
      <c r="AJ1288" s="3"/>
      <c r="AK1288" s="3"/>
      <c r="AL1288" s="3"/>
      <c r="AM1288" s="3"/>
      <c r="AN1288" s="3"/>
      <c r="AO1288" s="3"/>
      <c r="AP1288" s="3"/>
      <c r="AQ1288" s="3"/>
      <c r="AR1288" s="3"/>
      <c r="AS1288" s="3"/>
      <c r="AT1288" s="3"/>
      <c r="AU1288" s="3"/>
      <c r="AV1288" s="3"/>
      <c r="AW1288" s="3"/>
      <c r="AX1288" s="3"/>
      <c r="AY1288" s="3"/>
      <c r="AZ1288" s="4" t="s">
        <v>2387</v>
      </c>
      <c r="BA1288" s="3"/>
      <c r="BB1288" s="2"/>
      <c r="BC1288" s="2"/>
    </row>
    <row r="1289" spans="1:55" x14ac:dyDescent="0.25">
      <c r="A1289" s="52" t="s">
        <v>5314</v>
      </c>
      <c r="B1289" s="34" t="s">
        <v>59</v>
      </c>
      <c r="C1289" s="53">
        <v>2026</v>
      </c>
      <c r="D1289" s="53">
        <v>2026</v>
      </c>
      <c r="E1289" s="54" t="s">
        <v>5323</v>
      </c>
      <c r="F1289" s="55" t="s">
        <v>50</v>
      </c>
      <c r="G1289" s="55" t="s">
        <v>50</v>
      </c>
      <c r="H1289" s="45" t="s">
        <v>2767</v>
      </c>
      <c r="I1289" s="45" t="s">
        <v>52</v>
      </c>
      <c r="J1289" s="56"/>
      <c r="K1289" s="45" t="s">
        <v>442</v>
      </c>
      <c r="L1289" s="55"/>
      <c r="M1289" s="55" t="s">
        <v>113</v>
      </c>
      <c r="N1289" s="45" t="s">
        <v>689</v>
      </c>
      <c r="O1289" s="45" t="s">
        <v>690</v>
      </c>
      <c r="P1289" s="55" t="s">
        <v>89</v>
      </c>
      <c r="Q1289" s="55" t="s">
        <v>89</v>
      </c>
      <c r="R1289" s="55"/>
      <c r="S1289" s="56" t="s">
        <v>81</v>
      </c>
      <c r="T1289" s="55" t="s">
        <v>58</v>
      </c>
      <c r="U1289" s="57">
        <v>-999</v>
      </c>
      <c r="V1289" s="57" t="s">
        <v>59</v>
      </c>
      <c r="W1289" s="55" t="s">
        <v>2319</v>
      </c>
      <c r="X1289" s="54" t="s">
        <v>5314</v>
      </c>
      <c r="Y1289" s="52"/>
      <c r="Z1289" s="3" t="s">
        <v>61</v>
      </c>
      <c r="AA1289" s="65" t="s">
        <v>2768</v>
      </c>
      <c r="AB1289" s="65"/>
      <c r="AC1289" s="65"/>
      <c r="AD1289" s="3" t="s">
        <v>62</v>
      </c>
      <c r="AE1289" s="3" t="s">
        <v>115</v>
      </c>
      <c r="AF1289" s="3"/>
      <c r="AG1289" s="3" t="s">
        <v>692</v>
      </c>
      <c r="AH1289" s="2">
        <v>100</v>
      </c>
      <c r="AI1289" s="3"/>
      <c r="AJ1289" s="3"/>
      <c r="AK1289" s="3"/>
      <c r="AL1289" s="3"/>
      <c r="AM1289" s="3"/>
      <c r="AN1289" s="3"/>
      <c r="AO1289" s="3"/>
      <c r="AP1289" s="3"/>
      <c r="AQ1289" s="3"/>
      <c r="AR1289" s="3"/>
      <c r="AS1289" s="3"/>
      <c r="AT1289" s="3"/>
      <c r="AU1289" s="3"/>
      <c r="AV1289" s="3"/>
      <c r="AW1289" s="3"/>
      <c r="AX1289" s="3"/>
      <c r="AY1289" s="3"/>
      <c r="AZ1289" s="4" t="s">
        <v>2766</v>
      </c>
      <c r="BA1289" s="3"/>
      <c r="BB1289" s="2"/>
      <c r="BC1289" s="2"/>
    </row>
    <row r="1290" spans="1:55" x14ac:dyDescent="0.25">
      <c r="A1290" s="52" t="s">
        <v>5315</v>
      </c>
      <c r="B1290" s="34" t="s">
        <v>59</v>
      </c>
      <c r="C1290" s="53">
        <v>2026</v>
      </c>
      <c r="D1290" s="53">
        <v>2026</v>
      </c>
      <c r="E1290" s="54" t="s">
        <v>5323</v>
      </c>
      <c r="F1290" s="55" t="s">
        <v>50</v>
      </c>
      <c r="G1290" s="55" t="s">
        <v>50</v>
      </c>
      <c r="H1290" s="45" t="s">
        <v>2767</v>
      </c>
      <c r="I1290" s="45" t="s">
        <v>52</v>
      </c>
      <c r="J1290" s="56"/>
      <c r="K1290" s="45" t="s">
        <v>442</v>
      </c>
      <c r="L1290" s="55"/>
      <c r="M1290" s="55" t="s">
        <v>113</v>
      </c>
      <c r="N1290" s="45" t="s">
        <v>661</v>
      </c>
      <c r="O1290" s="45"/>
      <c r="P1290" s="55" t="s">
        <v>394</v>
      </c>
      <c r="Q1290" s="55" t="s">
        <v>57</v>
      </c>
      <c r="R1290" s="55"/>
      <c r="S1290" s="56" t="s">
        <v>81</v>
      </c>
      <c r="T1290" s="55" t="s">
        <v>58</v>
      </c>
      <c r="U1290" s="57">
        <v>2700</v>
      </c>
      <c r="V1290" s="57" t="s">
        <v>101</v>
      </c>
      <c r="W1290" s="55" t="s">
        <v>2319</v>
      </c>
      <c r="X1290" s="54" t="s">
        <v>5315</v>
      </c>
      <c r="Y1290" s="52"/>
      <c r="Z1290" s="1" t="s">
        <v>61</v>
      </c>
      <c r="AA1290" s="65" t="s">
        <v>2768</v>
      </c>
      <c r="AB1290" s="65"/>
      <c r="AC1290" s="65"/>
      <c r="AD1290" s="3" t="s">
        <v>62</v>
      </c>
      <c r="AE1290" s="2" t="s">
        <v>115</v>
      </c>
      <c r="AF1290" s="2"/>
      <c r="AG1290" s="3" t="s">
        <v>692</v>
      </c>
      <c r="AH1290" s="2">
        <v>100</v>
      </c>
      <c r="AI1290" s="2"/>
      <c r="AJ1290" s="2"/>
      <c r="AK1290" s="2"/>
      <c r="AL1290" s="2"/>
      <c r="AM1290" s="2"/>
      <c r="AN1290" s="2"/>
      <c r="AO1290" s="2"/>
      <c r="AP1290" s="2"/>
      <c r="AQ1290" s="2"/>
      <c r="AR1290" s="2"/>
      <c r="AS1290" s="2"/>
      <c r="AT1290" s="2"/>
      <c r="AU1290" s="2"/>
      <c r="AV1290" s="2"/>
      <c r="AW1290" s="2"/>
      <c r="AX1290" s="2"/>
      <c r="AY1290" s="2"/>
      <c r="AZ1290" s="4" t="s">
        <v>2766</v>
      </c>
      <c r="BA1290" s="2"/>
      <c r="BB1290" s="2"/>
      <c r="BC1290" s="2"/>
    </row>
    <row r="1292" spans="1:55" x14ac:dyDescent="0.25">
      <c r="B1292" s="80"/>
      <c r="AZ1292" s="80"/>
    </row>
    <row r="1293" spans="1:55" x14ac:dyDescent="0.25">
      <c r="B1293" s="36"/>
      <c r="Z1293" s="36"/>
      <c r="AB1293" s="36"/>
      <c r="AC1293" s="36"/>
      <c r="AD1293" s="36"/>
      <c r="AE1293" s="36"/>
      <c r="BC1293" s="36"/>
    </row>
  </sheetData>
  <autoFilter ref="A1:BC1290" xr:uid="{29A9605C-A210-40CC-AC2D-1F40BCCABC24}"/>
  <sortState xmlns:xlrd2="http://schemas.microsoft.com/office/spreadsheetml/2017/richdata2" ref="AE1294:AE1341">
    <sortCondition ref="AE1294:AE1341"/>
  </sortState>
  <phoneticPr fontId="3" type="noConversion"/>
  <hyperlinks>
    <hyperlink ref="N620" r:id="rId1" display="https://www.timet.com/" xr:uid="{41A6A5DE-11F9-4128-BF61-C2C68AC148C2}"/>
    <hyperlink ref="N802" r:id="rId2" display="https://www.timet.com/" xr:uid="{3F954903-E2B0-4357-9A9F-856D0E999CBB}"/>
    <hyperlink ref="BA971" r:id="rId3" display="https://www.miningnewsnorth.com/story/2025/01/24/news/the-worlds-largest-zinc-mine-is-fading/8926.html" xr:uid="{EE44424A-05C8-4CBF-A554-8BDD1E8B3AB5}"/>
    <hyperlink ref="BA87" r:id="rId4" display="https://www.fcx.com/operations/north-america" xr:uid="{4A1F3A22-0476-40C7-BD64-3FDF9FE64249}"/>
    <hyperlink ref="BA776" r:id="rId5" display="https://makominingcorp.com/projects/usa/production/moss-mine/" xr:uid="{A083343B-6C36-4DCB-8E3C-D36B94A412EB}"/>
    <hyperlink ref="BA325" r:id="rId6" display="https://www.ssrmining.com/operations/production/cripple-creek-victor/" xr:uid="{4ADFB925-433D-43BB-8F3A-4F504CB344BF}"/>
    <hyperlink ref="BA169" r:id="rId7" display="https://doerun.com/what-we-do/mining-milling/" xr:uid="{74677800-55AC-4B2D-B5F5-7A05DEF6A1AE}"/>
    <hyperlink ref="BA1244" r:id="rId8" display="https://doerun.com/what-we-do/mining-milling/" xr:uid="{22424253-5338-42B6-8567-14D7ED4D7108}"/>
    <hyperlink ref="BA418" r:id="rId9" display="https://doerun.com/what-we-do/mining-milling/" xr:uid="{4AAB7259-120C-4D38-A5C2-0883FB1192A5}"/>
    <hyperlink ref="BA1240" r:id="rId10" display="https://doerun.com/what-we-do/mining-milling/" xr:uid="{DE8C0FE3-4542-4F0B-91E2-BD476D7A9E1B}"/>
    <hyperlink ref="BA1163" r:id="rId11" display="https://doerun.com/what-we-do/mining-milling/" xr:uid="{C507CFCF-B020-4B8F-859D-7865E45C87C3}"/>
    <hyperlink ref="BA175" r:id="rId12" display="https://doerun.com/what-we-do/mining-milling/" xr:uid="{2D1373BB-17E8-4F3D-8B57-84759F681EB2}"/>
    <hyperlink ref="BA322" r:id="rId13" display="https://americas-gold.com/operations/galena-complex/" xr:uid="{D5C0819E-6A9B-4C15-A066-980EF5E98A51}"/>
    <hyperlink ref="BA346" r:id="rId14" display="https://www.goldroyalty.com/portfolio/rawhide/" xr:uid="{D2D8AB53-096C-43BE-A1C4-60559FD494EF}"/>
    <hyperlink ref="BA348" r:id="rId15" display="https://www.goldroyalty.com/portfolio/rawhide/" xr:uid="{D75FE61E-8ECA-43FD-B560-DB8103D79BD3}"/>
    <hyperlink ref="BA1030" r:id="rId16" location="americas-roundmountain" display="https://www.kinross.com/English/operations/default.aspx#americas-roundmountain" xr:uid="{6A58C63D-E66A-40CB-B865-710E6D3537D7}"/>
    <hyperlink ref="BA1028" r:id="rId17" location="americas-roundmountain" display="https://www.kinross.com/English/operations/default.aspx#americas-roundmountain" xr:uid="{BBF64945-37CE-4B16-AB05-B4B677EE68CA}"/>
    <hyperlink ref="BA90" r:id="rId18" location="americas-baldmountainusa" display="https://www.kinross.com/English/operations/default.aspx#americas-baldmountainusa" xr:uid="{947A6173-61FD-44CB-89DA-F8F93FBAE812}"/>
    <hyperlink ref="BA874" r:id="rId19" display="https://www.barrick.com/English/operations/nevada-gold-mines/default.aspx" xr:uid="{A0859D99-9B4D-4A55-BBA7-0F5F51EF69D1}"/>
    <hyperlink ref="BA76:BA79" r:id="rId20" display="https://www.barrick.com/English/operations/nevada-gold-mines/default.aspx" xr:uid="{A1C54EF8-3F3E-446B-B681-2DAA79F0591D}"/>
    <hyperlink ref="BA210" r:id="rId21" display="https://www.barrick.com/English/operations/nevada-gold-mines/default.aspx" xr:uid="{F745C336-07DB-461F-AE38-8BA36D669026}"/>
    <hyperlink ref="BA316" r:id="rId22" display="https://www.barrick.com/English/operations/nevada-gold-mines/default.aspx" xr:uid="{6E2B8243-4915-40A4-9691-CAE6557073FB}"/>
    <hyperlink ref="BA319" r:id="rId23" display="https://www.barrick.com/English/operations/nevada-gold-mines/default.aspx" xr:uid="{2B5BB6E7-3DBF-4AD6-9617-F86B0AD8C80E}"/>
    <hyperlink ref="BA426" r:id="rId24" display="https://integraresources.com/asset/florida-canyon-mine/" xr:uid="{011918D0-6713-4F47-924A-5C2E1B08D0C5}"/>
    <hyperlink ref="BA688" r:id="rId25" display="https://www.ssrmining.com/operations/production/marigold/" xr:uid="{95EF2BEC-979A-4FBD-8CE5-630B81B79401}"/>
    <hyperlink ref="BA689" r:id="rId26" display="https://www.ssrmining.com/operations/production/marigold/" xr:uid="{1A6FCC5D-5E46-4DDF-A8C6-536942F85025}"/>
    <hyperlink ref="BA1222" r:id="rId27" display="https://freeportinnewmexico.com/" xr:uid="{3493115C-C67B-4256-8BEC-18346CC706F1}"/>
    <hyperlink ref="BA705" r:id="rId28" location=":~:text=Equinox%20Gold%20Corp.%20%28TSX-V%3A%20EQX%2C%20OTC%3A%20EQXFF%29%20%28%E2%80%9CEquinox,immediate%20production%20and%20cash%20flow%20to%20Equinox%20Gold" display="https://www.equinoxgold.com/news/equinox-gold-completes-acquisition-of-the-mesquite-gold-mine-in-california/#:~:text=Equinox%20Gold%20Corp.%20%28TSX-V%3A%20EQX%2C%20OTC%3A%20EQXFF%29%20%28%E2%80%9CEquinox,immediate%20production%20and%20cash%20flow%20to%20Equinox%20Gold." xr:uid="{71D3E037-2A17-416D-A9FF-FDE66D697CE9}"/>
    <hyperlink ref="BA7" r:id="rId29" display="https://maps.app.goo.gl/ZjjZdNrSopUXq4AK8" xr:uid="{63B0FC0D-BCDD-432D-B9D4-BAFF71FF6256}"/>
    <hyperlink ref="BA8" r:id="rId30" display="https://www.mass.gov/news/attorney-generals-office-announces-proposed-settlement-with-minerals-processing-facility-in-the-town-of-adams-over-alleged-state-and-federal-environmental-violations" xr:uid="{001B228E-8437-4F4F-AA75-445706A5D44D}"/>
    <hyperlink ref="BA77" r:id="rId31" display="https://maps.app.goo.gl/ES1u9mqnufi1Jf3XA" xr:uid="{249ADD49-3ABC-4AF3-8101-3164EF0D5962}"/>
    <hyperlink ref="BA43" r:id="rId32" display="https://maps.app.goo.gl/k7aeia1TySG1B3ZV9" xr:uid="{807612E6-AFEF-4339-9C64-519F6440E119}"/>
    <hyperlink ref="BA44" r:id="rId33" display="https://maps.app.goo.gl/ACt3i4yzLD57g4h78" xr:uid="{A6A8D75A-4E17-4CAA-822C-D07B2FCB92C0}"/>
    <hyperlink ref="BA45" r:id="rId34" display="https://pabcogypsum.com/" xr:uid="{9473EDD7-A0D2-490B-B1E1-82C9C05F4CF5}"/>
    <hyperlink ref="BA99" r:id="rId35" display="https://www.whiterivernow.com/2024/11/05/arkansas-lime-company-celebrates-100th-year-at-limedale/" xr:uid="{679B1814-0440-4BC5-9238-671B7F7FE2E2}"/>
    <hyperlink ref="BA888" r:id="rId36" display="https://www.michigansugar.com/products/co-products/sugarbeet-lime/" xr:uid="{63E7FE39-90FE-4900-8758-ACA808BE9423}"/>
    <hyperlink ref="BA889" r:id="rId37" display="https://maps.app.goo.gl/3df3yUgnNaKNDBAS8" xr:uid="{05A57BE3-0C10-45DE-99EE-C05E7E1B6632}"/>
    <hyperlink ref="BA131" r:id="rId38" display="https://maps.app.goo.gl/LdWptxrmgPFUaPqk7" xr:uid="{63E6EAA3-E459-4C32-A12C-ECF32C294420}"/>
    <hyperlink ref="BA132" r:id="rId39" display="https://www.msha.gov/data-reports/statistics/mines/az/black-rock-mine" xr:uid="{43F21FD8-882C-477E-91BE-638BF930D614}"/>
    <hyperlink ref="BA140" r:id="rId40" display="https://maps.app.goo.gl/SYW5eZsg3ZbBDni66" xr:uid="{00CCBE08-2AEB-4283-A7EF-F0F8E8CB45B6}"/>
    <hyperlink ref="BA145" r:id="rId41" display="https://www.pitandquarry.com/mlc-to-revamp-dolomitic-lime-site-in-missouri/" xr:uid="{23F398F9-4CDE-45C5-B967-C2A930A9CD29}"/>
    <hyperlink ref="BA163" r:id="rId42" display="https://maps.app.goo.gl/FAwwXEutVyXFxtjh7" xr:uid="{5173344E-5C3B-4747-B99D-9F53D17335D5}"/>
    <hyperlink ref="BA890" r:id="rId43" display="https://maps.app.goo.gl/VjqjjudgaRdKKtPX6" xr:uid="{D57E62C1-3488-4C75-9C38-D3F6A17FF0B5}"/>
    <hyperlink ref="BA891" r:id="rId44" display="https://www.paperfirst.info/resolute-announces-indefinite-idling-of-pulp-and-paper-operations-at-calhoun-tn-mill/" xr:uid="{78E76C44-35C7-4F8F-8FF4-F9EBB618BF38}"/>
    <hyperlink ref="BA892" r:id="rId45" display="https://www.michigansugar.com/wp-content/uploads/2026/03/Lime-Program-Prices-and-Procedures.pdf" xr:uid="{EC68B60C-8C2D-4B50-8435-A5D2D375024E}"/>
    <hyperlink ref="BA923" r:id="rId46" display="https://maps.app.goo.gl/jeTMYYyGZAaBeLwH9" xr:uid="{4891FB8E-77F1-46E8-8F3B-F03DEF4B0F36}"/>
    <hyperlink ref="BA226" r:id="rId47" display="https://diamondkgypsum.com/about/" xr:uid="{4040B11A-A11C-4A76-B58D-8E15198683C4}"/>
    <hyperlink ref="BA232" r:id="rId48" display="https://www.facebook.com/GeorgiaPacific/posts/we-have-made-the-difficult-decision-to-close-our-mcqueeney-texas-gypsum-facility/661052219384105/" xr:uid="{61DF553C-B34C-48A4-9A0F-0E6909353F2C}"/>
    <hyperlink ref="BA274" r:id="rId49" display="https://www.codyenterprise.com/news/local/article_1cd30446-8b3e-11eb-8206-77134035e07f.html" xr:uid="{F35C06DE-B616-409E-97B3-EE7B1D33B201}"/>
    <hyperlink ref="BA323" r:id="rId50" display="https://www.graymont.com/" xr:uid="{94325A8A-91A7-4F7B-88FE-D03DA5DAD667}"/>
    <hyperlink ref="BA563" r:id="rId51" display="https://www.lime.org/find-a-lime-plant/?categories=75&amp;pagenum=" xr:uid="{0A22F585-8966-4970-B170-CFAF5C51E808}"/>
    <hyperlink ref="BA896" r:id="rId52" display="https://www.lime.org/find-a-lime-plant/?categories=&amp;pagenum=" xr:uid="{EC70A29C-F9CC-4E2B-B60E-761E8B84715A}"/>
    <hyperlink ref="BA898" r:id="rId53" display="https://www.lime.org/find-a-lime-plant/?categories=&amp;pagenum=" xr:uid="{70CE29EA-5DEE-4A8D-BD60-A41599A1982E}"/>
    <hyperlink ref="BA903" r:id="rId54" display="https://www.carmeuse.com/eu-en/products-map" xr:uid="{E4BB747E-976E-481A-83BC-3E5EF5F8EAB9}"/>
    <hyperlink ref="BA866" r:id="rId55" display="https://www.lime.org/find-a-lime-plant/?categories=&amp;pagenum=" xr:uid="{E95D452B-64E2-466E-83ED-E978163E192C}"/>
    <hyperlink ref="BA901" r:id="rId56" display="https://www.carmeuse.com/eu-en/products-map/348" xr:uid="{413CAE65-5375-435B-90FC-D5B3A2B7A0B6}"/>
    <hyperlink ref="BA900" r:id="rId57" display="https://www.carmeuse.com/eu-en/products-map" xr:uid="{499E4FDC-1B41-45F6-B0E8-48DDD29F70D1}"/>
    <hyperlink ref="BA905" r:id="rId58" display="https://www.carmeuse.com/eu-en/products-map" xr:uid="{DBE316AC-431A-4DDA-A119-187626B6B5FD}"/>
    <hyperlink ref="BA910" r:id="rId59" display="https://www.carmeuse.com/eu-en/products-map" xr:uid="{89441759-FDCB-4584-B900-42C711D44690}"/>
    <hyperlink ref="BA913" r:id="rId60" display="https://www.carmeuse.com/eu-en/products-map" xr:uid="{5F2E67C6-4207-429E-B9BF-C479B50C9DE7}"/>
    <hyperlink ref="BA749" r:id="rId61" display="https://maps.app.goo.gl/ASK2Hehiwabzv8L36" xr:uid="{EB9FF18C-3E93-40E7-8640-77E3C5CCF078}"/>
    <hyperlink ref="BA911" r:id="rId62" display="https://www.amalgamatedsugar.com/twin-falls-factory/" xr:uid="{31DCBB1C-E8B7-44B3-A6B6-045F20DF4B40}"/>
    <hyperlink ref="BA904" r:id="rId63" display="https://www.amalgamatedsugar.com/nampa-factory/" xr:uid="{CAD89D8A-D789-44C4-8C01-014E51E2FC7A}"/>
    <hyperlink ref="BA922" r:id="rId64" display="https://www.crystalsugar.com/about-our-cooperative/locations/" xr:uid="{1D2FB27B-FB6B-4291-817A-A137BB5ADC2D}"/>
    <hyperlink ref="BA918" r:id="rId65" display="https://www.crystalsugar.com/about-our-cooperative/locations/" xr:uid="{775D17E1-7C65-48FD-BAB8-714A8C35C9E2}"/>
    <hyperlink ref="BA573:BA574" r:id="rId66" display="https://www.crystalsugar.com/about-our-cooperative/locations/" xr:uid="{24B77A21-79E5-4E0D-9873-2765B28284C1}"/>
    <hyperlink ref="BA627" r:id="rId67" display="https://www.cheneylime.com/" xr:uid="{DC050772-EBC0-44CD-AAAA-9163AA2938B9}"/>
    <hyperlink ref="BA387" r:id="rId68" location="map=42.408542%2C-71.124358%2C4z" display="https://www.graymont.com/locations/#map=42.408542%2C-71.124358%2C4z" xr:uid="{352491E3-DB59-46A4-BF9D-2992125F2381}"/>
    <hyperlink ref="BA454" r:id="rId69" location="map=42.408542%2C-71.124358%2C4z" display="https://www.graymont.com/locations/#map=42.408542%2C-71.124358%2C4z" xr:uid="{C561CAAE-930A-4DA9-9D17-641B1BCB26B6}"/>
    <hyperlink ref="BA485" r:id="rId70" location="map=42.408542%2C-71.124358%2C4z" display="https://www.graymont.com/locations/#map=42.408542%2C-71.124358%2C4z" xr:uid="{BBBB32BB-6110-4F2E-A3ED-466F4A9A8874}"/>
    <hyperlink ref="BA876" r:id="rId71" location="location_id=3161&amp;map=40.768000%2C-114.116000%2C8z" display="https://www.graymont.com/locations/#location_id=3161&amp;map=40.768000%2C-114.116000%2C8z" xr:uid="{65BC5485-8C87-4E58-8AC6-F3EAF2F9502F}"/>
    <hyperlink ref="BA925" r:id="rId72" display="https://maps.app.goo.gl/pSyCwV3bcY4zEY2F9" xr:uid="{24D866A5-8CFE-4D7B-9A16-03FBF649CF4C}"/>
    <hyperlink ref="BA921" r:id="rId73" display="https://maps.app.goo.gl/pHPJE2aDox55nTNj6" xr:uid="{506B1F37-7CB7-4A88-BD36-CA1173A7545C}"/>
    <hyperlink ref="BA791" r:id="rId74" display="https://www.lime.org/find-a-lime-plant/?startrow=2" xr:uid="{1F1D7E48-223A-4AEC-9961-0B2404AFF5D7}"/>
    <hyperlink ref="BA608" r:id="rId75" display="https://www.energy.virginia.gov/public/documents/newsroom/2023/Press_Release_Lhoist_Fatality_Investigation_Completed20230620.pdf" xr:uid="{A0EB2200-DB33-4C50-98C9-1B6E8C7B7613}"/>
    <hyperlink ref="BA797" r:id="rId76" display="https://www.lime.org/find-a-lime-plant/?startrow=2" xr:uid="{2C6984F2-4B7E-4D31-BBD3-28B14EDFE185}"/>
    <hyperlink ref="BA909" r:id="rId77" display="https://www.lime.org/find-a-lime-plant/?startrow=2" xr:uid="{A0D8FD24-DF8E-4997-A093-C8DD8863DCE2}"/>
    <hyperlink ref="BA917" r:id="rId78" display="https://www.linwoodmining.com/facilities/" xr:uid="{9842390F-AB2D-4F89-A2CC-F76B23EFD5F6}"/>
    <hyperlink ref="BA931" r:id="rId79" display="https://www.rhimagnesita.com/north-america/" xr:uid="{F82C5D75-5D26-476A-886E-37A01611A21F}"/>
    <hyperlink ref="BA914" r:id="rId80" display="https://magnesiaspecialties.com/company/about" xr:uid="{6DF6AB3A-0FCC-47E7-8847-33D900412AE8}"/>
    <hyperlink ref="BA895" r:id="rId81" display="https://www.michigansugar.com/about-us/locations/" xr:uid="{9FE46A46-D76E-4184-8535-2B54E00652E8}"/>
    <hyperlink ref="BA1062" r:id="rId82" display="https://www.michigansugar.com/about-us/locations/" xr:uid="{CD948FE8-0C19-4F82-ABD5-A35B3B34E05E}"/>
    <hyperlink ref="BA970" r:id="rId83" display="2025-Annual-Report.pdf" xr:uid="{79FB919C-2BC8-48A3-9E96-C50B7ACE3F0B}"/>
    <hyperlink ref="BA341" r:id="rId84" display="https://wp-integraresources-2024.s3.ca-central-1.amazonaws.com/media/2026/02/Integra-DeLamar-43-101-FS-Report-FINAL.pdf" xr:uid="{C06383D6-D194-47A0-900E-3C3FA92CC0B8}"/>
    <hyperlink ref="BA340" r:id="rId85" display="https://wp-integraresources-2024.s3.ca-central-1.amazonaws.com/media/2026/02/Integra-DeLamar-43-101-FS-Report-FINAL.pdf" xr:uid="{6D5B9F77-CFE5-4D01-B493-56281CBCAAA2}"/>
    <hyperlink ref="BA268" r:id="rId86" display="https://cmxgoldandsilver.com/wp-content/uploads/2024/01/Clayton-NI-43-101.pdf" xr:uid="{3B868513-6A75-4A40-BA36-50F9A35C0E03}"/>
    <hyperlink ref="BA267" r:id="rId87" display="https://cmxgoldandsilver.com/wp-content/uploads/2024/01/Clayton-NI-43-101.pdf" xr:uid="{75D3F1A4-7D96-432D-A0BB-6DFD432615AE}"/>
    <hyperlink ref="BA333" r:id="rId88" display="CUMO | Property Profile" xr:uid="{83E52B59-AF14-46D5-B039-174F38BE82A1}"/>
    <hyperlink ref="BA334" r:id="rId89" display="CUMO | Property Profile" xr:uid="{14E22734-F2F8-4380-84B6-CADFA71CD90C}"/>
    <hyperlink ref="BA335" r:id="rId90" display="CUMO | Property Profile" xr:uid="{FF885DBF-40CF-4DBF-83EC-2289914D9BCB}"/>
    <hyperlink ref="BA331" r:id="rId91" display="CUMO | Property Profile" xr:uid="{364E2D7C-453D-437B-B21C-F69299DAF4C1}"/>
    <hyperlink ref="BA332" r:id="rId92" display="CUMO | Property Profile" xr:uid="{CA173E39-253A-4748-9327-194DCE607ACE}"/>
    <hyperlink ref="BA407" r:id="rId93" display="https://wp-phoenixcopper-2024.s3.eu-west-2.amazonaws.com/media/2024/10/KonnexPFS.pdf" xr:uid="{208F95A0-0307-412D-BDD2-31E844C4EFB1}"/>
    <hyperlink ref="BA408" r:id="rId94" display="https://wp-phoenixcopper-2024.s3.eu-west-2.amazonaws.com/media/2024/10/KonnexPFS.pdf" xr:uid="{8AD81D94-D5F7-497A-90A2-0E8C9F0434D5}"/>
    <hyperlink ref="BA665" r:id="rId95" display="https://ir.hecla.com/News--Media/news-releases/news-details/2026/Hecla-Reports-Fourth-Quarter-and-Full-Year-2025-Results/default.aspx" xr:uid="{20AB2978-6871-4DD7-8EFC-DE9A6CABF1DC}"/>
    <hyperlink ref="BA667" r:id="rId96" display="https://ir.hecla.com/News--Media/news-releases/news-details/2026/Hecla-Reports-Fourth-Quarter-and-Full-Year-2025-Results/default.aspx" xr:uid="{3A2D6641-16F8-4B65-9778-068BE20377F0}"/>
    <hyperlink ref="BA666" r:id="rId97" display="https://ir.hecla.com/News--Media/news-releases/news-details/2026/Hecla-Reports-Fourth-Quarter-and-Full-Year-2025-Results/default.aspx" xr:uid="{EB7A3970-A46D-4692-AD5D-F0564576CDF4}"/>
    <hyperlink ref="BA1204:BA1207" r:id="rId98" display="https://www.idahogeology.org/pub/Staff_Reports/1999/S-99-2.pdf" xr:uid="{3729E0D5-3992-4616-909D-259CE779B33F}"/>
    <hyperlink ref="BA572" r:id="rId99" display="https://www.electrabmc.com/_resources/reports/Iron-Creek-Tech-Report-2023-Final.pdf" xr:uid="{5112C002-99F3-4761-BAAB-8015B6FB8AF0}"/>
    <hyperlink ref="BA756" r:id="rId100" display="https://www.transatlanticminingcorp.com/wp-content/uploads/2026/01/26.01-Monitor_TR_Final.pdf" xr:uid="{EE9830EE-89D2-49E0-8883-7A7B3E206F37}"/>
    <hyperlink ref="BA758" r:id="rId101" display="https://www.transatlanticminingcorp.com/wp-content/uploads/2026/01/26.01-Monitor_TR_Final.pdf" xr:uid="{D1DC5A5F-F06D-4EDA-8198-6082393FD94A}"/>
    <hyperlink ref="BA757" r:id="rId102" display="https://www.transatlanticminingcorp.com/wp-content/uploads/2026/01/26.01-Monitor_TR_Final.pdf" xr:uid="{31B0E1B5-F58B-4435-BD84-629D25B8E398}"/>
    <hyperlink ref="BA490" r:id="rId103" display="https://ir.hecla.com/Investors/annual-reports-filings/sec-filings-details/default.aspx?FilingId=19156252" xr:uid="{8A76A4E9-910A-4D79-929A-D4A65736AF18}"/>
    <hyperlink ref="BA487" r:id="rId104" display="https://ir.hecla.com/Investors/annual-reports-filings/sec-filings-details/default.aspx?FilingId=19156252" xr:uid="{2F511606-794D-4587-95B2-6CE7D9907F66}"/>
    <hyperlink ref="BA488" r:id="rId105" display="https://ir.hecla.com/Investors/annual-reports-filings/sec-filings-details/default.aspx?FilingId=19156252" xr:uid="{2465CC29-C703-4EEF-B124-DC4C148DE3F7}"/>
    <hyperlink ref="BA489" r:id="rId106" display="https://ir.hecla.com/Investors/annual-reports-filings/sec-filings-details/default.aspx?FilingId=19156252" xr:uid="{84B9F1A4-E9EC-4A12-9C56-625A52649A2B}"/>
    <hyperlink ref="BA491" r:id="rId107" display="https://ir.hecla.com/Investors/annual-reports-filings/sec-filings-details/default.aspx?FilingId=19156252" xr:uid="{8A0498B8-0E16-45B8-86DC-88B748F07C4C}"/>
    <hyperlink ref="BA1193" r:id="rId108" display="https://www.usantimony.com/uamy-production-facilities" xr:uid="{C502D883-8328-4716-B22C-E755F95FEC8E}"/>
    <hyperlink ref="BA1194" r:id="rId109" display="https://www.usantimony.com/uamy-production-facilities" xr:uid="{A6E0F256-2771-480A-BB02-4BAD783288EC}"/>
    <hyperlink ref="BA1192" r:id="rId110" display="https://www.usantimony.com/uamy-production-facilities" xr:uid="{83D6E7A6-F575-4D67-9DC2-0C18F0C0299C}"/>
    <hyperlink ref="BA1195" r:id="rId111" display="https://www.usantimony.com/uamy-production-facilities" xr:uid="{CEE84510-CD20-4935-87CE-D33A467623A7}"/>
    <hyperlink ref="BA470" r:id="rId112" display="https://www.sec.gov/Archives/edgar/data/1030192/000165495426002560/idr_ex961.htm" xr:uid="{A4C8595F-31F0-45CC-AA0B-780E9D3E5319}"/>
    <hyperlink ref="BA93" r:id="rId113" display="https://pubs.usgs.gov/of/2000/of00-425/chapters/15_Ballard.pdf" xr:uid="{81515EB5-6B2C-4437-A4AD-5E2368BFD4F2}"/>
    <hyperlink ref="BA5" r:id="rId114" display="https://www.recyclingtoday.com/news/sibanye-stillwater-group-integrates-recently-acquired-abington-reldan-metals-llc/" xr:uid="{46026FB3-10BC-4786-AC3C-47313589CB55}"/>
    <hyperlink ref="BA6" r:id="rId115" display="https://www.recyclingtoday.com/news/sibanye-stillwater-group-integrates-recently-acquired-abington-reldan-metals-llc/" xr:uid="{BD024901-81EE-4897-AFF3-D8E552C31F83}"/>
    <hyperlink ref="BA14" r:id="rId116" display="https://fintel.io/doc/sec-freeport-mcmoran-inc-831259-10k-2023-february-15-19403-5016" xr:uid="{B2EED58A-168C-497C-9FE1-175FF9C4888F}"/>
    <hyperlink ref="BA29" r:id="rId117" display="https://endomines.com/en/company/our-operations/" xr:uid="{F01D3C74-FF24-4702-87AC-EA3092723940}"/>
    <hyperlink ref="BA28" r:id="rId118" display="https://endomines.com/en/company/our-operations/" xr:uid="{D611727F-335B-4427-9EC1-903B12148CC6}"/>
    <hyperlink ref="BA54" r:id="rId119" display="https://www.upr.org/utah-news/2025-12-02/this-secretive-refinery-makes-gold-utahs-biggest-export-and-its-expanding" xr:uid="{46D89711-2043-4AF5-9346-EE95B14F2A92}"/>
    <hyperlink ref="BA55" r:id="rId120" display="https://www.upr.org/utah-news/2025-12-02/this-secretive-refinery-makes-gold-utahs-biggest-export-and-its-expanding" xr:uid="{19C337E8-6DDF-4393-B88A-6A2F4445618B}"/>
    <hyperlink ref="BA68" r:id="rId121" display="https://www.amesgoldsmith.com/about-us/" xr:uid="{28A9ECBE-3A27-4ED4-BE1B-922B65D2C713}"/>
    <hyperlink ref="BA75" r:id="rId122" display="https://www.hecla.com/exploration/nevada-usa" xr:uid="{778B8AD6-E5A8-4523-97C1-9E8C5D4DA5F8}"/>
    <hyperlink ref="BA76" r:id="rId123" display="https://www.hecla.com/exploration/nevada-usa" xr:uid="{8C20AB58-5A4C-4F59-BAD6-C6F8977860E9}"/>
    <hyperlink ref="BA79" r:id="rId124" display="https://goldresourcecorp.com/site/assets/files/6493/sk1300_b40_gold_resource_corp_filed_10_27_2023.pdf" xr:uid="{B2BB7DED-C0E5-4AFD-BE0D-1D9617A8FF12}"/>
    <hyperlink ref="BA78" r:id="rId125" display="https://goldresourcecorp.com/site/assets/files/6493/sk1300_b40_gold_resource_corp_filed_10_27_2023.pdf" xr:uid="{04ECE1A0-AFBB-4414-B82B-0B9F776CA693}"/>
    <hyperlink ref="BA83" r:id="rId126" display="https://goldresourcecorp.com/site/assets/files/6493/sk1300_b40_gold_resource_corp_filed_10_27_2023.pdf" xr:uid="{5E7B324B-E723-4C63-99CE-D62039059687}"/>
    <hyperlink ref="BA82" r:id="rId127" display="https://goldresourcecorp.com/site/assets/files/6493/sk1300_b40_gold_resource_corp_filed_10_27_2023.pdf" xr:uid="{52C0E597-9AAA-428D-9FD7-4B5EC22F2AD6}"/>
    <hyperlink ref="BA85" r:id="rId128" display="https://www.fcx.com/operations/north-america" xr:uid="{FED5E2FD-EDC3-4FD7-A90B-323AF2E4B634}"/>
    <hyperlink ref="BA89" r:id="rId129" location="americas-baldmountainusa" display="https://www.kinross.com/English/operations/default.aspx#americas-baldmountainusa" xr:uid="{53FC6333-2063-4B78-8106-26F3888EE8B8}"/>
    <hyperlink ref="BA91" r:id="rId130" location="americas-baldmountainusa" display="https://www.kinross.com/English/operations/default.aspx#americas-baldmountainusa" xr:uid="{D115DE37-FCCF-4EEE-A828-75F0B75D4F8D}"/>
    <hyperlink ref="BA123" r:id="rId131" display="https://www.riotinto.com/en/Operations/us/kennecott" xr:uid="{FA04F50D-36AF-4EFE-A024-D96E6933B0AF}"/>
    <hyperlink ref="BA168" r:id="rId132" display="https://doerun.com/what-we-do/mining-milling/" xr:uid="{42E3F96E-81E1-4A0F-AF23-44E0F62E4D00}"/>
    <hyperlink ref="BA178" r:id="rId133" display="https://doerun.com/what-we-do/mining-milling/" xr:uid="{B9CE594C-8671-42DC-BB0C-062CBC47D36E}"/>
    <hyperlink ref="BA179" r:id="rId134" display="https://doerun.com/what-we-do/mining-milling/" xr:uid="{868A2D65-54B5-419D-9697-F9E265024288}"/>
    <hyperlink ref="BA209" r:id="rId135" display="https://www.barrick.com/English/operations/nevada-gold-mines/default.aspx" xr:uid="{F5A82522-6DDB-477C-A490-4A75BE78FBB7}"/>
    <hyperlink ref="BA222" r:id="rId136" display="https://minedocs.com/21/CastleMountain_FS_02262021.pdf" xr:uid="{308ADCFB-28D9-4AD5-8239-7A30C43736BB}"/>
    <hyperlink ref="BA224" r:id="rId137" display="https://minedocs.com/21/CastleMountain_FS_02262021.pdf" xr:uid="{673FDC2A-2C6B-417E-9BC8-2C36C7EBA76A}"/>
    <hyperlink ref="BA221" r:id="rId138" display="https://minedocs.com/21/CastleMountain_FS_02262021.pdf" xr:uid="{DE5515B6-9C22-43AB-A8FF-CA0DD1921841}"/>
    <hyperlink ref="BA308" r:id="rId139" display="sec.gov/Archives/edgar/data/839470/000110465924107335/tm2425743d1_ex96-1.htm" xr:uid="{94125B53-A873-4910-9048-C2A38FE2039B}"/>
    <hyperlink ref="BA242" r:id="rId140" display="https://www.sec.gov/Archives/edgar/data/831259/000083125922000009/fcx-20211231.htm" xr:uid="{3FF53E09-3C39-4371-AA3A-929177515C52}"/>
    <hyperlink ref="BA243" r:id="rId141" display="https://www.sec.gov/Archives/edgar/data/831259/000083125922000009/fcx-20211231.htm" xr:uid="{81258787-659B-4234-8257-716FBD2A2113}"/>
    <hyperlink ref="BA606" r:id="rId142" display="https://www.titanminingcorp.com/news/news-releases/titan-launches-processing-facility-for-us-natural-flake-graphite-production-in-new-york" xr:uid="{13DB5AF9-FB7E-44A3-918F-248E825AE9CF}"/>
    <hyperlink ref="BA249" r:id="rId143" display="https://www.recyclingtoday.com/news/ecobat-lead-battery-recycling-plant-california-dtsc-permit-support/" xr:uid="{D4A024F4-CDE0-4EA9-B734-E83B204F0A03}"/>
    <hyperlink ref="BA265" r:id="rId144" display="https://www.cnbc.com/2025/12/15/pentagon-korea-zinc-refinery-tennessee.html?msockid=1c73399e70b4602809062ec471ae6101" xr:uid="{3E158D91-9E75-4606-8FDD-7273B3F39C17}"/>
    <hyperlink ref="BA259" r:id="rId145" display="https://www.koreazinc.co.kr/en/korea-zinc-partners-with-the-u-s-department-of-war-and-u-s-department-of-commerce-to-build-a-state-of-the-art-critical-minerals-smelter-in-the-united-states-with-6-6-billion-of-capital-expenditures/" xr:uid="{D7349ADF-1E06-452D-AE92-C155BD2C0DFB}"/>
    <hyperlink ref="BA264" r:id="rId146" display="https://www.cnbc.com/2025/12/15/pentagon-korea-zinc-refinery-tennessee.html?msockid=1c73399e70b4602809062ec471ae6101" xr:uid="{53AB9CB7-175B-40EB-86F1-19808CB9C6DC}"/>
    <hyperlink ref="BA304" r:id="rId147" display="https://www.montanaresources.com/about/" xr:uid="{E8A63199-7D8D-450C-841D-F4F630352027}"/>
    <hyperlink ref="BA307" r:id="rId148" display="https://www.montanaresources.com/about/" xr:uid="{612564C0-6B09-4041-AFCE-0AA5D3709C4C}"/>
    <hyperlink ref="BA306" r:id="rId149" display="https://www.montanaresources.com/about/" xr:uid="{8A4749A0-0100-4226-83EE-10ED34924D59}"/>
    <hyperlink ref="BA309" r:id="rId150" display="https://www.highlandcopper.com/wp-content/uploads/2024/01/Feasability-Study-Update-Copperwood.pdf" xr:uid="{7C730136-FABF-4420-8FFD-FBCA7E77BB98}"/>
    <hyperlink ref="BA345" r:id="rId151" display="https://www.goldroyalty.com/portfolio/rawhide/" xr:uid="{39B4CD73-B89D-4078-A926-9CDF16A734B7}"/>
    <hyperlink ref="BA347" r:id="rId152" display="https://www.goldroyalty.com/portfolio/rawhide/" xr:uid="{DEF65BE0-2E69-4B3A-9FBE-DBA6E7DA2A38}"/>
    <hyperlink ref="BA879" r:id="rId153" display="https://minedocs.com/21/PintoValley_TR_06112021.pdf" xr:uid="{5C6CB5A4-5180-41DD-976C-0FE325212BA6}"/>
    <hyperlink ref="BA881" r:id="rId154" display="https://minedocs.com/21/PintoValley_TR_06112021.pdf" xr:uid="{E469ED18-0F11-4005-A187-3E254C0C4E5C}"/>
    <hyperlink ref="BA882" r:id="rId155" display="https://minedocs.com/21/PintoValley_TR_06112021.pdf" xr:uid="{B74AF5CB-651B-4D65-AAFF-208C4B47159D}"/>
    <hyperlink ref="BA958" r:id="rId156" display="https://www.goldroyalty.com/portfolio/railroad-pinion/" xr:uid="{564BF610-88E0-44CC-AA07-5FE88A8CD69B}"/>
    <hyperlink ref="BA960" r:id="rId157" display="https://archive.epa.gov/epawaste/nonhaz/industrial/special/web/pdf/goldch5.pdf" xr:uid="{81A1B4E5-F95F-46E5-AD35-66A1489DB2F4}"/>
    <hyperlink ref="BA963" r:id="rId158" display="https://tucson.com/news/local/mine-tales-ray-mining-district-has-history-of-more-than-a-century/article_5560fe20-f4c4-559f-8298-1c8be0b75c77.html" xr:uid="{C9578A75-BDF9-43BD-939C-018FE02BC3E6}"/>
    <hyperlink ref="BA425" r:id="rId159" display="https://integraresources.com/asset/florida-canyon-mine/" xr:uid="{4FDFF36D-DEE8-4FF4-8F37-67F85835E8D4}"/>
    <hyperlink ref="BA420" r:id="rId160" display="https://doerun.com/what-we-do/mining-milling/" xr:uid="{8FB1434D-AF9D-4E81-9DAF-709E46D2D0AB}"/>
    <hyperlink ref="BA421" r:id="rId161" display="https://doerun.com/what-we-do/mining-milling/" xr:uid="{16E84906-AF34-4788-8A60-3DAC9A650E85}"/>
    <hyperlink ref="BA427" r:id="rId162" display="https://integraresources.com/asset/florida-canyon-mine/" xr:uid="{CA2BDBF3-E5E9-492F-B24D-1676E515E476}"/>
    <hyperlink ref="BA428" r:id="rId163" display="https://integraresources.com/asset/florida-canyon-mine/" xr:uid="{3F12F7CC-AEBB-4BFF-A39B-62F6D8C4E7B0}"/>
    <hyperlink ref="BA435" r:id="rId164" display="https://www.kinross.com/operations/americas/Explore-Fort-Knox-America/default.aspx" xr:uid="{C1A4D497-7C7C-44FC-8C45-7EDB162A0040}"/>
    <hyperlink ref="BA434" r:id="rId165" display="https://www.kinross.com/operations/americas/Explore-Fort-Knox-America/default.aspx" xr:uid="{51E2FF44-7D88-466C-9BD7-BE27C4B9AD20}"/>
    <hyperlink ref="BA596" r:id="rId166" display="https://nhmu.utah.edu/sites/default/files/fact-sheets/NHMU%20fact%20sheet%20-%20LF.pdf" xr:uid="{294BBCC5-C9F6-48B6-8870-D0A796285284}"/>
    <hyperlink ref="BA598" r:id="rId167" display="https://nhmu.utah.edu/sites/default/files/fact-sheets/NHMU%20fact%20sheet%20-%20LF.pdf" xr:uid="{43226594-BF67-4E91-93FD-C7535ED90897}"/>
    <hyperlink ref="BA462" r:id="rId168" display="https://www.goldroyalty.com/portfolio/gold-bar/" xr:uid="{F5465F9F-20F6-46B9-8AF5-61269549BA99}"/>
    <hyperlink ref="BA461" r:id="rId169" display="https://www.goldroyalty.com/portfolio/gold-bar/" xr:uid="{25FBD732-85D8-41A0-AA2A-76AE34DB18C1}"/>
    <hyperlink ref="BA464" r:id="rId170" display="https://www.goldroyalty.com/portfolio/gold-bar/" xr:uid="{DBE007F4-5FC1-4400-BF47-FB9968CB5A8A}"/>
    <hyperlink ref="BA463" r:id="rId171" display="https://www.goldroyalty.com/portfolio/gold-bar/" xr:uid="{646A878E-F8FC-44DB-A6C7-B220A14991E7}"/>
    <hyperlink ref="BA468" r:id="rId172" display="https://www.goldroadusa.com/about1" xr:uid="{7AFC1153-535B-4D78-B849-7F542D021BE1}"/>
    <hyperlink ref="BA467" r:id="rId173" display="https://www.goldroadusa.com/about1" xr:uid="{8DE94A08-F139-4807-AF8E-4D5D3503CB4E}"/>
    <hyperlink ref="BA260" r:id="rId174" display="https://nam.org/pentagon-korea-zinc-partner-on-tennessee-mineral-smelter-35425/?stream=series-input-stories" xr:uid="{B302A3D1-C777-476D-BADB-309B9BF4AA5F}"/>
    <hyperlink ref="BA258" r:id="rId175" display="https://nam.org/pentagon-korea-zinc-partner-on-tennessee-mineral-smelter-35425/?stream=series-input-stories" xr:uid="{00644E49-F42F-4094-A333-A1D4B9AA61F9}"/>
    <hyperlink ref="BA257" r:id="rId176" display="https://nam.org/pentagon-korea-zinc-partner-on-tennessee-mineral-smelter-35425/?stream=series-input-stories" xr:uid="{3EA0DD96-9E12-4048-BF43-78AE4CCC00EE}"/>
    <hyperlink ref="BA252" r:id="rId177" display="https://nam.org/pentagon-korea-zinc-partner-on-tennessee-mineral-smelter-35425/?stream=series-input-stories" xr:uid="{2445F18C-9C47-44C6-917C-57AD71B41929}"/>
    <hyperlink ref="BA254" r:id="rId178" display="https://nam.org/pentagon-korea-zinc-partner-on-tennessee-mineral-smelter-35425/?stream=series-input-stories" xr:uid="{82C34AB4-2927-497D-A8D6-659F75ED615D}"/>
    <hyperlink ref="BA253" r:id="rId179" display="https://nam.org/pentagon-korea-zinc-partner-on-tennessee-mineral-smelter-35425/?stream=series-input-stories" xr:uid="{7226DDAD-A806-4208-8829-4ACA6E243D98}"/>
    <hyperlink ref="BA262" r:id="rId180" display="https://nam.org/pentagon-korea-zinc-partner-on-tennessee-mineral-smelter-35425/?stream=series-input-stories" xr:uid="{FF33B996-372B-4770-84A7-68B030B69DD7}"/>
    <hyperlink ref="BA256" r:id="rId181" display="https://nam.org/pentagon-korea-zinc-partner-on-tennessee-mineral-smelter-35425/?stream=series-input-stories" xr:uid="{35C3296E-BE53-42DD-80CD-B49F3003DF01}"/>
    <hyperlink ref="BA263" r:id="rId182" display="https://nam.org/pentagon-korea-zinc-partner-on-tennessee-mineral-smelter-35425/?stream=series-input-stories" xr:uid="{1C08027C-83E0-4964-85D2-97D827F4796B}"/>
    <hyperlink ref="BA261" r:id="rId183" display="https://nam.org/pentagon-korea-zinc-partner-on-tennessee-mineral-smelter-35425/?stream=series-input-stories" xr:uid="{5C29E99A-0E02-4CC2-9BA7-A8ADCF7B9C0A}"/>
    <hyperlink ref="BA255" r:id="rId184" display="https://nam.org/pentagon-korea-zinc-partner-on-tennessee-mineral-smelter-35425/?stream=series-input-stories" xr:uid="{EF9E1EA8-8E90-4F99-93B1-FEF75D739A93}"/>
    <hyperlink ref="BA472" r:id="rId185" display="https://apcrp.org/CERBAT/Cerbat_Cem_mast_text.htm" xr:uid="{97B02B9A-24D2-404F-8149-90DBEAECEDF2}"/>
    <hyperlink ref="BA473" r:id="rId186" display="https://apcrp.org/CERBAT/Cerbat_Cem_mast_text.htm" xr:uid="{FF2E7410-79C7-44EE-A784-6B912815017F}"/>
    <hyperlink ref="BA495" r:id="rId187" location=":~:text=Full%2DYear%202022%20Highlights&amp;text=Full%20year%20revenue%20of%20%24967.4,Net%20Profit%20of%20%2441.0%20million" display="https://investors.oceanagold.com/2023-02-21-OceanaGold-Reports-Full-Year-2022-Financial-Results#:~:text=Full%2DYear%202022%20Highlights&amp;text=Full%20year%20revenue%20of%20%24967.4,Net%20Profit%20of%20%2441.0%20million." xr:uid="{B00BADEF-63AF-453A-8C27-32CBA6B49BB4}"/>
    <hyperlink ref="BA494" r:id="rId188" location=":~:text=Full%2DYear%202022%20Highlights&amp;text=Full%20year%20revenue%20of%20%24967.4,Net%20Profit%20of%20%2441.0%20million" display="https://investors.oceanagold.com/2023-02-21-OceanaGold-Reports-Full-Year-2022-Financial-Results#:~:text=Full%2DYear%202022%20Highlights&amp;text=Full%20year%20revenue%20of%20%24967.4,Net%20Profit%20of%20%2441.0%20million." xr:uid="{D6D96A4F-8924-44B5-A94B-B1E942A750F8}"/>
    <hyperlink ref="BA502" r:id="rId189" display="https://www.westvaultmining.com/hasbrouck-gold-project/pre-feasibility-study/" xr:uid="{F2C55659-7C96-4F53-B59C-3991AC866DE6}"/>
    <hyperlink ref="BA503" r:id="rId190" display="https://www.westvaultmining.com/hasbrouck-gold-project/pre-feasibility-study/" xr:uid="{48DEDF71-3459-49C0-83A0-E62DF0791A91}"/>
    <hyperlink ref="BA514" r:id="rId191" display="https://investors.fcx.com/investors/news-releases/news-release-details/2023/Freeport-McMoRan-Reports-Fourth-Quarter-And-Year-Ended-2022-Results/default.aspx" xr:uid="{7CC719AB-E14D-4CE5-BC00-653EE909C8DE}"/>
    <hyperlink ref="BA530" r:id="rId192" display="https://minerals.nv.gov/uploadedFiles/mineralsnvgov/content/Programs/Mining/2022%20Metallic%20Production%20by%20mine.pdf" xr:uid="{9A7C9D5C-04DE-4140-B16E-8F8ECB1EE379}"/>
    <hyperlink ref="BA531" r:id="rId193" display="https://minerals.nv.gov/uploadedFiles/mineralsnvgov/content/Programs/Mining/2022%20Metallic%20Production%20by%20mine.pdf" xr:uid="{F77B9C07-D7E5-4436-AA9F-C0217982A1D8}"/>
    <hyperlink ref="BA548" r:id="rId194" display="https://minedocs.com/20/Hycroft-Summary-Technical-Report-07312019.pdf" xr:uid="{8DD9F4D7-1686-416A-A081-0523BA228DDF}"/>
    <hyperlink ref="BA551" r:id="rId195" display="https://minedocs.com/20/Hycroft-Summary-Technical-Report-07312019.pdf" xr:uid="{E53DA0AB-FEC4-41B5-B7BB-27DD7C0E4688}"/>
    <hyperlink ref="BA549" r:id="rId196" display="https://minedocs.com/20/Hycroft-Summary-Technical-Report-07312019.pdf" xr:uid="{991C8035-5AA2-443C-8E52-0E1FBEE2A790}"/>
    <hyperlink ref="BA550" r:id="rId197" display="https://minedocs.com/20/Hycroft-Summary-Technical-Report-07312019.pdf" xr:uid="{7A8F4596-5916-4E21-AC44-3D0B16C67389}"/>
    <hyperlink ref="BA559" r:id="rId198" display="https://miningrecord.com/santa-fe-gold-acquires-fully-permitted-billali-jim-crow-and-imperial-mines/" xr:uid="{C45C6D06-A384-4F14-AD59-EB5D84979076}"/>
    <hyperlink ref="BA560" r:id="rId199" display="https://miningrecord.com/santa-fe-gold-acquires-fully-permitted-billali-jim-crow-and-imperial-mines/" xr:uid="{88E23ACD-8FDE-46F1-8863-248AC794CD8A}"/>
    <hyperlink ref="BA575" r:id="rId200" display="https://www.goldroyalty.com/portfolio/isabella-pearl/" xr:uid="{BD22AF04-6C4A-49CA-93CC-BA5A555CC1B8}"/>
    <hyperlink ref="BA578" r:id="rId201" display="https://www.goldroyalty.com/portfolio/isabella-pearl/" xr:uid="{D0898DF5-CE69-41F9-922F-8B459F8E4431}"/>
    <hyperlink ref="BA577" r:id="rId202" display="https://www.goldroyalty.com/portfolio/isabella-pearl/" xr:uid="{11168A5A-6CC2-476A-9B96-2720BE43FE64}"/>
    <hyperlink ref="BA581" r:id="rId203" display="https://www.firstmajestic.com/projects/exploration-development/jerritt-canyon/" xr:uid="{82D0FF70-090D-4A62-BA46-2103D3CCD3FD}"/>
    <hyperlink ref="BA582" r:id="rId204" display="https://www.firstmajestic.com/projects/exploration-development/jerritt-canyon/" xr:uid="{0A3372BB-7326-4E86-A00E-BC84D3040CB5}"/>
    <hyperlink ref="BA605" r:id="rId205" display="https://www.prnewswire.com/news-releases/clifton-mining-company-otcbb-cftn-clifton--january-2023-report-301720147.html" xr:uid="{0E259295-863E-449A-9FA5-7F83879675D6}"/>
    <hyperlink ref="BA604" r:id="rId206" display="https://www.prnewswire.com/news-releases/clifton-mining-company-otcbb-cftn-clifton--january-2023-report-301720147.html" xr:uid="{C3CE9C74-4675-495A-B055-2D6CC506D1BA}"/>
    <hyperlink ref="BA687" r:id="rId207" display="https://www.minerals.nv.gov/siteassets/content/programs/mining/2022_Metallic_Production_by_mine.pdf" xr:uid="{F8390400-D8A4-497A-9D04-E12089FF48B0}"/>
    <hyperlink ref="BA690" r:id="rId208" display="https://www.minerals.nv.gov/siteassets/content/programs/mining/2022_Metallic_Production_by_mine.pdf" xr:uid="{BE24CA93-4B06-4396-8352-1F38701DF3B6}"/>
    <hyperlink ref="BA706" r:id="rId209" location=":~:text=Equinox%20Gold%20Corp.%20%28TSX-V%3A%20EQX%2C%20OTC%3A%20EQXFF%29%20%28%E2%80%9CEquinox,immediate%20production%20and%20cash%20flow%20to%20Equinox%20Gold" display="https://www.equinoxgold.com/news/equinox-gold-completes-acquisition-of-the-mesquite-gold-mine-in-california/#:~:text=Equinox%20Gold%20Corp.%20%28TSX-V%3A%20EQX%2C%20OTC%3A%20EQXFF%29%20%28%E2%80%9CEquinox,immediate%20production%20and%20cash%20flow%20to%20Equinox%20Gold." xr:uid="{775BF50A-B659-4F4B-A956-6E93219602B7}"/>
    <hyperlink ref="BA708" r:id="rId210" location=":~:text=Equinox%20Gold%20Corp.%20%28TSX-V%3A%20EQX%2C%20OTC%3A%20EQXFF%29%20%28%E2%80%9CEquinox,immediate%20production%20and%20cash%20flow%20to%20Equinox%20Gold" display="https://www.equinoxgold.com/news/equinox-gold-completes-acquisition-of-the-mesquite-gold-mine-in-california/#:~:text=Equinox%20Gold%20Corp.%20%28TSX-V%3A%20EQX%2C%20OTC%3A%20EQXFF%29%20%28%E2%80%9CEquinox,immediate%20production%20and%20cash%20flow%20to%20Equinox%20Gold." xr:uid="{F51AEE5E-884E-48AE-9BC3-3B395F37BBC7}"/>
    <hyperlink ref="BA324" r:id="rId211" display="https://www.ssrmining.com/_resources/reports/Technical-Report-CCV-2025-SK1300.pdf?v=051904" xr:uid="{85951139-4D8F-4329-829A-DCDA3E3CBB74}"/>
    <hyperlink ref="BA327" r:id="rId212" display="https://www.ssrmining.com/_resources/reports/Technical-Report-CCV-2025-SK1300.pdf?v=051904" xr:uid="{FC64D5BA-4516-4E64-964A-ACBB582924E4}"/>
    <hyperlink ref="BA165" r:id="rId213" display="https://www.aaamolybdenum.com/mo/" xr:uid="{A235C2C8-6766-4B02-9DFA-41BB7303AC8B}"/>
    <hyperlink ref="BA270" r:id="rId214" display="https://d18rn0p25nwr6d.cloudfront.net/CIK-0000831259/70a55880-a8ad-4730-9658-be92fcd263de.pdf" xr:uid="{C47BE933-4585-4324-BBF3-7DE5DE7C78E0}"/>
    <hyperlink ref="BA652" r:id="rId215" display="Nevada Gold Mines JV – United States | Newmont Corporation – Operations &amp; Projects" xr:uid="{43AF810D-6689-41E4-856D-9F07D2C93484}"/>
    <hyperlink ref="BA653" r:id="rId216" display="Nevada Gold Mines JV – United States | Newmont Corporation – Operations &amp; Projects" xr:uid="{2C73DC7C-55B3-44C8-A640-1899D4BC9EFD}"/>
    <hyperlink ref="BA654" r:id="rId217" display="Nevada Gold Mines JV – United States | Newmont Corporation – Operations &amp; Projects" xr:uid="{F72FA5F0-8E8B-4B31-88FA-26D19749CFCD}"/>
    <hyperlink ref="BA655" r:id="rId218" display="Nevada Gold Mines JV – United States | Newmont Corporation – Operations &amp; Projects" xr:uid="{7A967C82-E3B2-453A-84F5-B194A617A6B6}"/>
    <hyperlink ref="BA711" r:id="rId219" location=":~:text=Metallix%20has%20been%20operating%20for,(131.5%20tons)%20of%20copper" display="https://www.recyclingtoday.com/news/metallix-usa-sibanye-stillwater-south-africa-acquisition-gold-silver-platinum-recycling/#:~:text=Metallix%20has%20been%20operating%20for,(131.5%20tons)%20of%20copper." xr:uid="{B4C9EEB0-DC3F-43EB-853C-542922D57D38}"/>
    <hyperlink ref="BA712" r:id="rId220" location=":~:text=Metallix%20has%20been%20operating%20for,(131.5%20tons)%20of%20copper" display="https://www.recyclingtoday.com/news/metallix-usa-sibanye-stillwater-south-africa-acquisition-gold-silver-platinum-recycling/#:~:text=Metallix%20has%20been%20operating%20for,(131.5%20tons)%20of%20copper." xr:uid="{EC7BE668-6792-4F07-AE57-5F3EB5D91344}"/>
    <hyperlink ref="BA710" r:id="rId221" location=":~:text=Metallix%20has%20been%20operating%20for,(131.5%20tons)%20of%20copper" display="https://www.recyclingtoday.com/news/metallix-usa-sibanye-stillwater-south-africa-acquisition-gold-silver-platinum-recycling/#:~:text=Metallix%20has%20been%20operating%20for,(131.5%20tons)%20of%20copper." xr:uid="{DD591351-F38A-45D1-AE32-D52757405EC5}"/>
    <hyperlink ref="BA722" r:id="rId222" display="https://ndep.nv.gov/uploads/documents/20241009TM_0096107_Factsheet_Midas_1.pdf" xr:uid="{479B8883-52E0-4A60-9365-3DE71C1E1180}"/>
    <hyperlink ref="BA590" r:id="rId223" display="https://ndep.nv.gov/uploads/documents/20241009TM_0096107_Factsheet_Midas_1.pdf" xr:uid="{F459D2B3-507F-4B33-8A13-B1D6F15BF67B}"/>
    <hyperlink ref="BA721" r:id="rId224" display="https://ndep.nv.gov/uploads/documents/20241009TM_0096107_Factsheet_Midas_1.pdf" xr:uid="{BB0C965D-0C5B-489B-86E4-D73C5BAD94A7}"/>
    <hyperlink ref="BA589" r:id="rId225" display="https://ndep.nv.gov/uploads/documents/20241009TM_0096107_Factsheet_Midas_1.pdf" xr:uid="{94F019A1-794D-4E1B-B52D-322D76EFC50A}"/>
    <hyperlink ref="BA1155" r:id="rId226" display="https://sunshinesilvermining.com/" xr:uid="{B2B4D83B-6B62-4FAE-AF88-505AF87FA662}"/>
    <hyperlink ref="BA1156" r:id="rId227" display="https://sunshinesilvermining.com/" xr:uid="{862B4508-4F77-4EC1-A067-0FFA394852A6}"/>
    <hyperlink ref="BA1153" r:id="rId228" display="https://sunshinesilvermining.com/" xr:uid="{89AA24B5-5DBD-4D08-8746-C8B23421830C}"/>
    <hyperlink ref="BA741" r:id="rId229" display="https://originmine.com/mineral-park/" xr:uid="{981755A6-EE2A-4979-A62D-D0A94900B18E}"/>
    <hyperlink ref="BA742" r:id="rId230" display="https://originmine.com/mineral-park/" xr:uid="{6B05DF32-282D-4221-B34C-A253E527D4ED}"/>
    <hyperlink ref="BA743" r:id="rId231" display="https://originmine.com/mineral-park/" xr:uid="{878A0F44-C6FF-41C5-AE49-E82F82ECA9DD}"/>
    <hyperlink ref="BA745" r:id="rId232" display="https://minedocs.com/21/Mineral_Ridge_Expansion-TR-12222020.pdf" xr:uid="{676C3C50-32B6-4D3A-9E0D-367E32584DD5}"/>
    <hyperlink ref="BA744" r:id="rId233" display="https://minedocs.com/21/Mineral_Ridge_Expansion-TR-12222020.pdf" xr:uid="{E94FCB4A-0082-4EB2-92CF-CC99DDEF5FDC}"/>
    <hyperlink ref="BA701:BA702" r:id="rId234" display="https://minedocs.com/21/Mineral_Ridge_Expansion-TR-12222020.pdf" xr:uid="{3FE9DA90-6904-4642-B325-F65216BCBD05}"/>
    <hyperlink ref="BA1187" r:id="rId235" display="https://www.asarco.com/mines/" xr:uid="{C37DFB15-9C7B-4FB8-AE3F-7EB30B18699F}"/>
    <hyperlink ref="BA1188" r:id="rId236" display="https://www.asarco.com/mines/" xr:uid="{485F8459-7964-4DA6-B297-1C24EC0E58B8}"/>
    <hyperlink ref="BA1186" r:id="rId237" display="https://www.asarco.com/mines/" xr:uid="{A98893AB-9157-4ABE-B199-A8B970E47902}"/>
    <hyperlink ref="BA763" r:id="rId238" display="https://www.montanagoldfieldsinc.com/montana-tunnels/" xr:uid="{491929A9-C764-4681-8314-8637B3760522}"/>
    <hyperlink ref="BA760" r:id="rId239" display="https://www.montanagoldfieldsinc.com/montana-tunnels/" xr:uid="{91350B00-5AC6-44FD-8E97-38EBBCA9EABD}"/>
    <hyperlink ref="BA764" r:id="rId240" display="https://www.montanagoldfieldsinc.com/montana-tunnels/" xr:uid="{CB1E31CC-F017-4FC9-8D7B-7E89570BA996}"/>
    <hyperlink ref="BA761" r:id="rId241" display="https://www.montanagoldfieldsinc.com/montana-tunnels/" xr:uid="{6BB0BF16-BC1C-478E-9FED-D9A6F5C60EA9}"/>
    <hyperlink ref="BA775" r:id="rId242" display="https://makominingcorp.com/projects/usa/production/moss-mine/" xr:uid="{1880B589-C96E-4543-87B8-F8F6F025AA76}"/>
    <hyperlink ref="BA677" r:id="rId243" display="https://makominingcorp.com/projects/usa/production/moss-mine/" xr:uid="{E0556CCE-18D6-48B4-BB0F-772672343278}"/>
    <hyperlink ref="BA676" r:id="rId244" display="https://makominingcorp.com/projects/usa/production/moss-mine/" xr:uid="{7C50F962-2711-4988-9D9E-72122E5FCF92}"/>
    <hyperlink ref="BA819" r:id="rId245" display="https://www.hooverandstrong.com/landing/Refining" xr:uid="{C3741088-F126-4B5F-999D-4DE86AC02FF9}"/>
    <hyperlink ref="BA822" r:id="rId246" display="https://www.hooverandstrong.com/landing/Refining" xr:uid="{FBD2EB76-8461-47CD-A4E5-598A741BF930}"/>
    <hyperlink ref="BA829" r:id="rId247" display="https://www.epa.gov/mn/polymet-now-newrange-copper-nickel-llc" xr:uid="{AC7F4EA7-5B67-4E6B-95DA-B943962730C0}"/>
    <hyperlink ref="BA839" r:id="rId248" display="https://www.epa.gov/mn/polymet-now-newrange-copper-nickel-llc" xr:uid="{F753377B-90EC-450D-8065-5D56026C6AA0}"/>
    <hyperlink ref="BA836" r:id="rId249" display="https://www.epa.gov/mn/polymet-now-newrange-copper-nickel-llc" xr:uid="{B97A84EA-9722-4805-AAF7-20663359C597}"/>
    <hyperlink ref="BA828" r:id="rId250" display="https://www.epa.gov/mn/polymet-now-newrange-copper-nickel-llc" xr:uid="{BFD9AA2B-3244-4FE8-910A-030A85033D44}"/>
    <hyperlink ref="BA834" r:id="rId251" display="https://www.epa.gov/mn/polymet-now-newrange-copper-nickel-llc" xr:uid="{1B868529-F1AC-4E4A-AEEC-42DF41A8D264}"/>
    <hyperlink ref="BA835" r:id="rId252" display="https://www.epa.gov/mn/polymet-now-newrange-copper-nickel-llc" xr:uid="{1F8DD5DA-0193-4572-9006-5EC4C6DCF1D4}"/>
    <hyperlink ref="BA862" r:id="rId253" display="https://minedocs.com/24/Pan-TR-12312022.pdf" xr:uid="{81AE272E-69CA-436D-BE16-BC184D42EE41}"/>
    <hyperlink ref="BA861" r:id="rId254" display="https://minedocs.com/24/Pan-TR-12312022.pdf" xr:uid="{AF74DBAF-416C-49AD-BE7A-F3B1087F6D65}"/>
    <hyperlink ref="BA864" r:id="rId255" display="https://minedocs.com/24/Pan-TR-12312022.pdf" xr:uid="{2AFBA723-01BC-4F8F-8665-6E1C2651F733}"/>
    <hyperlink ref="BA863" r:id="rId256" display="https://minedocs.com/24/Pan-TR-12312022.pdf" xr:uid="{82A40B60-105A-435B-92E7-691283C03198}"/>
    <hyperlink ref="BA869" r:id="rId257" display="https://minedocs.com/19/Phoenix-Fact-Sheet-10192021.pdf" xr:uid="{2A7C4E32-F209-4DD1-99EE-2FB6C5E0E097}"/>
    <hyperlink ref="BA871" r:id="rId258" display="https://minedocs.com/19/Phoenix-Fact-Sheet-10192021.pdf" xr:uid="{79ECE71D-BA74-4E30-B5E9-82345A1D259B}"/>
    <hyperlink ref="BA870" r:id="rId259" display="https://minedocs.com/19/Phoenix-Fact-Sheet-10192021.pdf" xr:uid="{31F4382C-D4EA-4D06-B87B-CEC862626992}"/>
    <hyperlink ref="BA873" r:id="rId260" display="https://minedocs.com/19/Phoenix-Fact-Sheet-10192021.pdf" xr:uid="{5217C675-1613-4BB1-A574-3A13609CF8C9}"/>
    <hyperlink ref="BA872" r:id="rId261" display="https://minedocs.com/19/Phoenix-Fact-Sheet-10192021.pdf" xr:uid="{FC54AC5E-DE7D-4E7C-B7FF-766524B3417E}"/>
    <hyperlink ref="BA880" r:id="rId262" display="https://minedocs.com/21/PintoValley_TR_06112021.pdf" xr:uid="{20CA916D-2DE7-4255-9784-88C709CC012C}"/>
    <hyperlink ref="BA883" r:id="rId263" display="https://minedocs.com/21/PintoValley_TR_06112021.pdf" xr:uid="{E1AFDEF8-B2E9-4BAD-8F5B-25B541249167}"/>
    <hyperlink ref="BA949" r:id="rId264" display="https://www.kinterracapital.com/portfolio/pumpkin-hollow-copper" xr:uid="{7F52CE6A-8BA8-4D02-8C30-9C25F2BCB488}"/>
    <hyperlink ref="BA950" r:id="rId265" display="https://www.kinterracapital.com/portfolio/pumpkin-hollow-copper" xr:uid="{1D7F8EB2-3450-47CC-8E3B-67180396E5E6}"/>
    <hyperlink ref="BA951" r:id="rId266" display="https://www.kinterracapital.com/portfolio/pumpkin-hollow-copper" xr:uid="{41AEC8DC-87AE-41AD-84AE-DB12A0923D7A}"/>
    <hyperlink ref="BA1149" r:id="rId267" display="https://western-uranium.com/reports/Technical_Report_Sunday_Mine_Complex.pdf" xr:uid="{6ECA8E87-1B45-47EC-9741-9BD0A425F8E3}"/>
    <hyperlink ref="BA1150" r:id="rId268" display="https://western-uranium.com/reports/Technical_Report_Sunday_Mine_Complex.pdf" xr:uid="{3AB283FC-868F-48E1-9D24-ED71E58A9C35}"/>
    <hyperlink ref="BA447" r:id="rId269" display="https://americas-gold.com/site/assets/files/6067/nr20260121-1.pdf" xr:uid="{EF4CE161-526B-4EB6-B618-F7537EE9DF09}"/>
    <hyperlink ref="BA448" r:id="rId270" display="https://americas-gold.com/site/assets/files/6067/nr20260121-1.pdf" xr:uid="{A001745C-3755-4EF8-9F2A-C0344452CBC7}"/>
    <hyperlink ref="BA449" r:id="rId271" display="https://americas-gold.com/site/assets/files/6085/nr20260330b-1.pdf" xr:uid="{9488E647-2309-4065-B301-AC80F10588D1}"/>
    <hyperlink ref="BA450" r:id="rId272" display="https://americas-gold.com/site/assets/files/6085/nr20260330b-1.pdf" xr:uid="{0A4A752B-9BCF-49A2-ADA0-1FCF425EB364}"/>
    <hyperlink ref="BA557" r:id="rId273" display="https://www.idahogeology.org/pub/Staff_Reports/1999/S-99-2.pdf" xr:uid="{67C25849-4CDB-4322-AF9B-F3E953586C4A}"/>
    <hyperlink ref="BA558" r:id="rId274" display="https://www.idahogeology.org/pub/Staff_Reports/1999/S-99-2.pdf" xr:uid="{F53F5406-8DAF-48A7-BD5D-EC49935BCB8A}"/>
    <hyperlink ref="BA556" r:id="rId275" display="https://www.idahogeology.org/pub/Staff_Reports/1999/S-99-2.pdf" xr:uid="{6EE4956D-A419-410A-85C4-4578114C2F7A}"/>
    <hyperlink ref="BA184" r:id="rId276" display="https://bunkerhillmining.com/news-and-media/news-releases/bunker-hill-announces-prefeasibility-study-for-first-phase-of-mine-restart" xr:uid="{2A3D8F74-6759-4E41-B6B7-CA53B51C6A10}"/>
    <hyperlink ref="BA591" r:id="rId277" display="https://bunkerhillmining.com/news-and-media/news-releases/bunker-hill-announces-prefeasibility-study-for-first-phase-of-mine-restart" xr:uid="{7421977F-B115-4D8C-B77E-31664F1C335C}"/>
    <hyperlink ref="BA595" r:id="rId278" display="https://bunkerhillmining.com/news-and-media/news-releases/bunker-hill-announces-prefeasibility-study-for-first-phase-of-mine-restart" xr:uid="{EBD933DE-C85F-4926-A9F2-C8B4441B93DE}"/>
    <hyperlink ref="BA186" r:id="rId279" display="https://bunkerhillmining.com/news-and-media/news-releases/bunker-hill-announces-prefeasibility-study-for-first-phase-of-mine-restart" xr:uid="{332796C4-3B88-49FF-B81B-4B7747F812D7}"/>
    <hyperlink ref="BA185" r:id="rId280" display="https://bunkerhillmining.com/news-and-media/news-releases/bunker-hill-announces-prefeasibility-study-for-first-phase-of-mine-restart" xr:uid="{E0CBE530-D12E-4E0A-8BC3-75F5FCA03EA8}"/>
    <hyperlink ref="BA588" r:id="rId281" display="https://westwaterresources.com/operations/kellyton-processing-plant/default.aspx" xr:uid="{1BFA6120-C800-4047-BABF-D0D66B9FE51A}"/>
    <hyperlink ref="BA135" r:id="rId282" display="https://www.sec.gov/Archives/edgar/data/1691303/000119312526048914/hcc-20251231.htm" xr:uid="{90FDF0DE-4CBB-4CA4-8DC4-2F52D6E85344}"/>
    <hyperlink ref="BA159" r:id="rId283" display="https://www.ferroglobe.com/static-files/98064c31-754a-4c29-9f6f-38f1669a3445" xr:uid="{DEAA13D6-4703-4D23-8364-81DE6C6E6D60}"/>
    <hyperlink ref="BA486" r:id="rId284" display="https://www.alabamapigments.com/" xr:uid="{2C1348C3-7779-4ABA-8B78-D0397798B59F}"/>
    <hyperlink ref="BA736" r:id="rId285" display="https://www.steeldust.com/products.php" xr:uid="{30A82AF6-0C06-44F8-BFCC-863EE5B45AF2}"/>
    <hyperlink ref="BA737" r:id="rId286" display="https://www.steeldust.com/products.php" xr:uid="{D586923C-ACAD-4012-A13A-B6AA6D08A7D7}"/>
    <hyperlink ref="BA784" r:id="rId287" display="https://www.sec.gov/Archives/edgar/data/941174/000095014401004647/g68095e10-k405.txt" xr:uid="{17BB4793-0D86-492C-9383-E49E69202CD6}"/>
    <hyperlink ref="BA979" r:id="rId288" display="https://mshascan.com/mine/republic-pit-south-3400256" xr:uid="{E02A4745-1ABD-40BF-8986-CC15F07DF592}"/>
    <hyperlink ref="BA1274" r:id="rId289" display="https://geoinfo.nmt.edu/resources/minerals/industrial/home.html" xr:uid="{1CE19CA9-99D0-4C43-81C9-DA0B25CDCF35}"/>
    <hyperlink ref="BA1131" r:id="rId290" display="https://permitting.mdaqmd.ca.gov/facility/view/3707" xr:uid="{DFC1BB57-812E-4546-84B6-B405582872B4}"/>
    <hyperlink ref="BA406" r:id="rId291" display="https://www.empireminingco.com/copy-of-agriculture" xr:uid="{1E3F1965-1D09-4329-B7B8-13740C7C7ADB}"/>
    <hyperlink ref="BA664" r:id="rId292" location="location" display="https://www.gp.com/about-us/locations/wyoming#location" xr:uid="{FC784B48-5F46-4097-8BC1-091A871949D6}"/>
    <hyperlink ref="BA1162" r:id="rId293" display="https://www.prnewswire.com/news-releases/georgia-pacific-announces-plans-to-build-state-of-the-art-gypsum-production-facility-near-sweetwater-nolan-county-texas-301137502.html" xr:uid="{DE687DCB-BE4E-44F2-973F-DBF9C9D09143}"/>
    <hyperlink ref="BA130" r:id="rId294" display="https://www.bhpioneer.com/covid-19/black-hawk-residents-evacuated-because-of-sinkholes/article_a2b8c4ba-8afe-11ea-8001-9fbfe5308c55.html" xr:uid="{4C397A1F-5C95-4D41-9585-0A9C12520F48}"/>
    <hyperlink ref="BA362" r:id="rId295" display="https://www.stgeorgeutah.com/news/bureau-of-land-management-should-cedar-canyons-dry-creek-gypsum-mine-be-expanded/article_d770bd10-b1ab-11ef-88ba-bf283f91db26.html" xr:uid="{69906FA5-FB42-4C20-879D-20BD7F2317F7}"/>
    <hyperlink ref="BA35" r:id="rId296" display="https://arcosaspecialtymaterials.com/location-cyril-ok-mine-2/" xr:uid="{5F152372-F666-4DB3-98FF-CE2EF5F0D747}"/>
    <hyperlink ref="BA113" r:id="rId297" display="https://arcosaspecialtymaterials.com/location-cyril-ok-mine-2/" xr:uid="{5D0BD82F-9D8C-4212-BA68-929A6A58E3CD}"/>
    <hyperlink ref="BA155" r:id="rId298" display="https://arcosaspecialtymaterials.com/location-cyril-ok-mine-2/" xr:uid="{7D67D89A-E397-48F1-A1FC-17064431BEC0}"/>
    <hyperlink ref="BA336" r:id="rId299" display="https://arcosaspecialtymaterials.com/location-cyril-ok-mine-2/" xr:uid="{9C69FA27-6005-48E5-8BE5-B093222992C3}"/>
    <hyperlink ref="BA355" r:id="rId300" display="https://arcosaspecialtymaterials.com/location-cyril-ok-mine-2/" xr:uid="{8B437892-E722-4872-BC3A-A0E71A94F8E0}"/>
    <hyperlink ref="BA368" r:id="rId301" display="https://dasmithdrilling.com/projects/american-gypsum-eagle-mine-gypsum-colorado" xr:uid="{EB722CFE-5713-4261-A79F-4A53FCE804A6}"/>
    <hyperlink ref="BA433" r:id="rId302" display="https://www.911metallurgist.com/blog/gypsum-mining-methods-costs/" xr:uid="{9218E69F-BDA7-419D-98AB-8B4892707006}"/>
    <hyperlink ref="BA437" r:id="rId303" display="https://www.westernsugar.com/who-we-are/our-facilities/fort-morgan-co-manufacturing-facility/" xr:uid="{DF250F12-A160-4BF1-AA76-90EC84647412}"/>
    <hyperlink ref="BA441" r:id="rId304" display="https://www.basinelectric.com/About-Us/Organization/Subsidiaries/Wyoming-Lime-Producers/" xr:uid="{6A92008E-538C-4037-8AF6-EFD28980E49B}"/>
    <hyperlink ref="BA599" r:id="rId305" display="https://www.coeur.com/operations-projects/kensington-ak/default.aspx" xr:uid="{9CF90E74-F4C3-40EE-A380-4A820D4650FE}"/>
    <hyperlink ref="BA143" r:id="rId306" display="https://ucore.com/ucore-updates-mineral-resource-estimate-and-technical-report-for-bokan-dotson-ridge-rare-earth-property/" xr:uid="{745E99E9-5774-466C-9BD6-B710F9FE23F8}"/>
    <hyperlink ref="BA227" r:id="rId307" display="https://www.goldrichmining.com/media/downloads/IA/Goldrich-Mining-IA-2023.pdf" xr:uid="{D65155D6-E89E-4EB2-B02B-DFAE70689620}"/>
    <hyperlink ref="BA361" r:id="rId308" display="https://novagold.com/donlin-gold/project-overview/" xr:uid="{AE47D100-91E6-4391-9422-9E9F82AEE97C}"/>
    <hyperlink ref="BA632" r:id="rId309" display="https://gypsumresources.com/" xr:uid="{D5390434-65D2-4237-A4E5-38AC2CF6CB2B}"/>
    <hyperlink ref="BA1234" r:id="rId310" display="https://mshascan.com/mine/ventucopa-quarry-0405481" xr:uid="{C494636D-21F4-4190-8A13-A9543CADBA3C}"/>
    <hyperlink ref="BA533" r:id="rId311" display="https://www.hoskinsent.com/solutions" xr:uid="{3C8137EA-F86B-4B69-983D-C2864161422E}"/>
    <hyperlink ref="BA661" r:id="rId312" display="https://hollowayag.com/90years/" xr:uid="{3D78CA04-316E-4EE9-B18B-8039E942F84C}"/>
    <hyperlink ref="BA908" r:id="rId313" display="https://www.mlc.com/locations/" xr:uid="{4B0FC7A5-7A16-4FE2-95F1-3471661E6095}"/>
    <hyperlink ref="BA912" r:id="rId314" display="https://www.mlc.com/locations/" xr:uid="{8074432B-0C84-4484-AEBC-FC4F48B4B8EB}"/>
    <hyperlink ref="BA1026" r:id="rId315" display="https://nationalgypsum.widen.net/view/pdf/k4sk3kqpuo/EVOLVE_X_Fire-Shield_Rotan_EPD11057_05-23-30.pdf?t.download=true&amp;u=vtetuw+pdf+" xr:uid="{50E224E5-E2D2-45CA-BA95-1488780EF5C9}"/>
    <hyperlink ref="BA586" r:id="rId316" display="https://facilityexplorer.iowadnr.gov/FacilityExplorer/SiteDetail.aspx?facID=310401884" xr:uid="{7D44DA3D-A463-46E7-99B5-EBF6861DF22A}"/>
    <hyperlink ref="BA885" r:id="rId317" display="https://www.kgs.ku.edu/Publications/Bulletins/133/04_blaine.html" xr:uid="{613B63B8-67FB-4C83-B8BF-762457CDBD81}"/>
    <hyperlink ref="BA1179" r:id="rId318" display="https://www.msha.gov/data-reports/statistics/mines/mi/tawas-quarry" xr:uid="{66247448-2F94-4A15-8C68-B465A3764DC0}"/>
    <hyperlink ref="BA811" r:id="rId319" display="https://www.newswire.ca/news-releases/fire-river-gold-corp-update-on-the-progress-of-the-nixon-fork-gold-mine-510247581.html" xr:uid="{ABEDA401-18CA-4B3B-A59D-D87A440594AC}"/>
    <hyperlink ref="BA1287" r:id="rId320" display="https://asmi.az.gov/sites/default/files/2026-04/2026%205.21%20PUBLIC%20MEETING%20AGENDA%20National%20Gypsum.pdf" xr:uid="{33C37E79-26C7-4DA2-A6C8-CF7B778E7766}"/>
    <hyperlink ref="BA897" r:id="rId321" display="https://www.oldcastleapg.com/our-locations/" xr:uid="{14F41D01-3B1F-4A54-8D5D-FBFABEDB6EB8}"/>
    <hyperlink ref="BA961" r:id="rId322" display="https://petelien.com/locations/" xr:uid="{5DBFDE9E-9566-4376-95B7-C77FD74EE1CA}"/>
    <hyperlink ref="BA1235" r:id="rId323" display="https://static.azdeq.gov/pn/%e2%80%a2%20Old%20-%20Check%20then%20remove/190213_pcc_tsd.pdf" xr:uid="{996E73F2-A5DB-4A37-A37E-E761DEDF6673}"/>
    <hyperlink ref="BA978" r:id="rId324" display="https://smbsc.com/" xr:uid="{E958AEA0-C16D-4E41-A66C-3DD7E972762C}"/>
    <hyperlink ref="BA648" r:id="rId325" display="https://www.thespectrum.com/story/news/2015/09/03/operations-move-ahead-gypsum-mine/71670672/" xr:uid="{AD13712C-6971-474B-9724-960EA44CA3E7}"/>
    <hyperlink ref="BA926" r:id="rId326" display="https://www.sugarproducer.com/2024/05/update-sidney-sugars-incorporated-to" xr:uid="{2DFEE373-016F-439C-A7DB-68203C94E0F6}"/>
    <hyperlink ref="BA930" r:id="rId327" display="https://www.mdf.coop/lime-information" xr:uid="{2594240C-9892-4622-AD36-F23EF32651BF}"/>
    <hyperlink ref="BA916" r:id="rId328" display="https://mlc.com/mississippi-lime-completes-acquisition-of-southern-lime-begins-integration-of-the-calera-alabama-based-business-2/" xr:uid="{4858221F-F2D8-4D43-8263-3E472C5E65DA}"/>
    <hyperlink ref="BA933" r:id="rId329" display="https://clui.org/ludb/site/plaster-city" xr:uid="{98FFE28B-868E-4B7E-B57D-6E93A83E5E09}"/>
    <hyperlink ref="BA927" r:id="rId330" display="https://www.usg.com/en-US/about-usg/locations/manufacturing-plants" xr:uid="{9B8BC0D5-F0EA-4A8C-8425-C14EAA793B3A}"/>
    <hyperlink ref="BA928" r:id="rId331" display="https://www.usg.com/en-US/about-usg/locations/manufacturing-plants" xr:uid="{01CFC589-8044-4339-B382-CE129AE30254}"/>
    <hyperlink ref="BA585" r:id="rId332" display="https://arlweb.msha.gov/FATALS/1999/FTL99M16.HTM" xr:uid="{2A794B92-7CD4-4224-916F-2991E515F736}"/>
    <hyperlink ref="BA1074" r:id="rId333" display="https://www.usg.com/en-US/about-usg/locations/manufacturing-plants" xr:uid="{A7B95CDC-93F6-46FD-B374-DAB6B8E5D577}"/>
    <hyperlink ref="BA907" r:id="rId334" display="https://www.usg.com/en-US/about-usg/locations/manufacturing-plants" xr:uid="{0E60BB8A-5FFA-4204-B7BB-E7898C1A2645}"/>
    <hyperlink ref="BA1112" r:id="rId335" display="https://www.uslm.com/USLM_Oklahoma.html" xr:uid="{FDBDC75B-BBCE-4E7B-BB2B-AB071FCF52AB}"/>
    <hyperlink ref="BA893" r:id="rId336" display="https://www.uslm.com/USLM_Cleburne.html" xr:uid="{E286F282-086A-4FBC-903F-B69D5DCC28E2}"/>
    <hyperlink ref="BA941" r:id="rId337" display="https://www.westernsugar.com/who-we-are/our-facilities/lovell-wy-manufacturing-facility/" xr:uid="{A7419D3B-7DD0-4BA2-AC36-02558D5CD0AD}"/>
    <hyperlink ref="BA906" r:id="rId338" display="https://www.westernsugar.com/who-we-are/our-facilities/scottsbluff-ne-manufacturing-facility/" xr:uid="{2148DD80-285F-4EB1-B436-35343BBE2CBC}"/>
    <hyperlink ref="BA915" r:id="rId339" display="https://wyomingsugar.com/" xr:uid="{B467EDFF-809B-4A59-B49A-824D2C05884E}"/>
    <hyperlink ref="BA1065" r:id="rId340" display="https://www.basf.com/us/en/pages/contracted-services/site-specific/Seneca" xr:uid="{17FFA2E7-C9FF-4228-ADFC-9D5124F5E33B}"/>
    <hyperlink ref="BA1066" r:id="rId341" display="https://www.basf.com/us/en/pages/contracted-services/site-specific/Seneca" xr:uid="{D8514431-3C0C-4DB6-B068-C5FE5D8336C3}"/>
    <hyperlink ref="BA994" r:id="rId342" display="https://www.graphite.resonac.com/company/production-plants/" xr:uid="{0E240770-1681-46C4-B3CA-45DD80AC8BB4}"/>
    <hyperlink ref="AZ423" r:id="rId343" display="https://www.tasekomines.com/_resources/investors/technical_report_florence_copper_march_2023.pdf" xr:uid="{F0A13C0B-4A5E-4B51-94CC-52BA7D302B44}"/>
    <hyperlink ref="AZ1079" r:id="rId344" display="https://fintel.io/doc/sec-freeport-mcmoran-inc-831259-10k-2023-february-15-19403-5016" xr:uid="{4470EE12-00E4-4871-AD0E-5E3CB6DC24E2}"/>
    <hyperlink ref="AZ534" r:id="rId345" location=":~:text=From%202008%20to%202018%2C%20production,of%20V205." display="https://usvanadium.com/us-vanadium-high-purity-vanadium/ - :~:text=From%202008%20to%202018%2C%20production,of%20V205." xr:uid="{E0184F13-929F-4173-B243-64465A451000}"/>
    <hyperlink ref="AZ431" r:id="rId346" display="https://www.accessnewswire.com/newsroom/en/metals-and-mining/5e-advanced-materials-reports-positive-progress-unveils-strengthened-project-econo-996618" xr:uid="{446D397A-1EC5-43FD-99AD-484A6B3B2966}"/>
    <hyperlink ref="AZ432" r:id="rId347" display="https://company-announcements.afr.com/asx/5ea/2348c8d7-f04a-11ed-82f2-6e9c8c69ee5f.pdf" xr:uid="{1C1D3EFE-F68B-470E-A0EB-07735A1319BB}"/>
    <hyperlink ref="AZ1149" r:id="rId348" display="https://western-uranium.com/reports/Technical_Report_Sunday_Mine_Complex.pdf" xr:uid="{BAC931AC-0104-4D70-A3F3-326BEB66079B}"/>
    <hyperlink ref="AZ97" r:id="rId349" display="https://www.accessnewswire.com/newsroom/en/food-and-beverage-products/mosaic-revises-guidance-1036136" xr:uid="{32002F20-DD86-488D-ABDE-73DB74510E08}"/>
    <hyperlink ref="AZ440" r:id="rId350" display="https://investors.mosaicco.com/financials/annual-reports/default.aspx" xr:uid="{72A91BFC-153B-4067-B4F6-34C5118256DA}"/>
    <hyperlink ref="AZ997" r:id="rId351" display="https://www.accessnewswire.com/newsroom/en/food-and-beverage-products/mosaic-revises-guidance-1036136" xr:uid="{A33561C9-D2D7-4808-910B-9A2B40F2EFA4}"/>
    <hyperlink ref="AZ1286" r:id="rId352" display="https://www.sec.gov/Archives/edgar/data/1285785/000124378623000008/pressreleaseq42022-ex991.htm" xr:uid="{9B288D81-3C42-4A73-9F7E-F7857C756D74}"/>
    <hyperlink ref="AZ185" r:id="rId353" display="https://bunkerhillmining.com/news-and-media/news-releases/bunker-hill-announces-prefeasibility-study-for-first-phase-of-mine-restart" xr:uid="{941790AB-EA45-4E7A-A283-14A40F1E6AB3}"/>
    <hyperlink ref="AZ184" r:id="rId354" display="https://bunkerhillmining.com/news-and-media/news-releases/bunker-hill-announces-prefeasibility-study-for-first-phase-of-mine-restart" xr:uid="{C4EEB7DE-C8DE-49BD-AD46-8E93DBBF15FD}"/>
    <hyperlink ref="AZ186" r:id="rId355" display="https://bunkerhillmining.com/news-and-media/news-releases/bunker-hill-announces-prefeasibility-study-for-first-phase-of-mine-restart" xr:uid="{B3AD8A80-3160-40C6-B363-F767ED11896E}"/>
    <hyperlink ref="AZ302" r:id="rId356" display="https://itafos.com/site/assets/files/2139/itafos-2022-aif-03-22-2023-ac-vfinal.pdf" xr:uid="{E95DADEC-989F-4690-8F98-AB7C56EA0B6A}"/>
    <hyperlink ref="AZ554" r:id="rId357" display="https://mb.cision.com/Main/2472/2430220/776611.pdf" xr:uid="{0DFC5B6C-8A6D-439A-9F7E-C3D60028E875}"/>
    <hyperlink ref="AZ801" r:id="rId358" display="https://www.sec.gov/Archives/edgar/data/1030192/000165495423003968/njmc_10k.htm" xr:uid="{8E8F4590-936C-4825-A930-DD4ADF0A96D5}"/>
    <hyperlink ref="AZ1245" r:id="rId359" display="https://www.syrahresources.com.au/our-business/vidalia-active-anode-material-facility" xr:uid="{256396A4-9AF9-41F8-9B2B-4F6BB52A6F05}"/>
    <hyperlink ref="AZ817" r:id="rId360" display="https://www.goldbarsworldwide.com/PDF/RB_5_MetalorGoldBars.pdf" xr:uid="{FAFAA106-B2B2-4042-BFB5-9E232114A433}"/>
    <hyperlink ref="AZ81" r:id="rId361" display="https://goldresourcecorp.com/site/assets/files/6493/sk1300_b40_gold_resource_corp_filed_10_27_2023.pdf" xr:uid="{23500F80-5EAB-4839-9A61-936E5503D4E9}"/>
    <hyperlink ref="AZ80" r:id="rId362" display="https://goldresourcecorp.com/site/assets/files/6493/sk1300_b40_gold_resource_corp_filed_10_27_2023.pdf" xr:uid="{39B1F2E4-D301-4869-AC9E-71D3FB63B6A3}"/>
    <hyperlink ref="AZ310" r:id="rId363" display="https://www.highlandcopper.com/wp-content/uploads/2024/01/Feasability-Study-Update-Copperwood.pdf" xr:uid="{9D235DFB-1AE0-4507-AD8E-415A72F247A2}"/>
    <hyperlink ref="AZ309" r:id="rId364" display="https://www.highlandcopper.com/wp-content/uploads/2024/01/Feasability-Study-Update-Copperwood.pdf" xr:uid="{D2967768-2AC1-44AF-A0C3-3463C2DC6205}"/>
    <hyperlink ref="AZ374" r:id="rId365" display="https://minedocs.com/23/Eagle-TR-12312022.pdf" xr:uid="{23233AEF-D8EB-430A-BFFD-E59E2CE4112C}"/>
    <hyperlink ref="AZ887" r:id="rId366" display="https://www.accessnewswire.com/newsroom/en/metals-and-mining/cotec-holdings-corp.-investment-magiron-secures-potentially-significant-iron-ore-f-862969" xr:uid="{3290C579-1866-44FF-82B3-3DD33B3C3915}"/>
    <hyperlink ref="AZ29" r:id="rId367" display="https://www.transatlanticminingcorp.com/wp-content/uploads/2017/08/TCO_USGrantNI43-101_Geology-Report.pdf" xr:uid="{AC033749-77D3-4E8D-AFA4-ECCDE07FC552}"/>
    <hyperlink ref="AZ865" r:id="rId368" display="https://paradinemill.com/" xr:uid="{669DDB16-2070-4AF4-BA7C-F28B39B21CD3}"/>
    <hyperlink ref="AZ399" r:id="rId369" display="https://www.niocorp.com/wp-content/uploads/NioCorp_June-2022_NI_43-101_Technical_Report.pdf" xr:uid="{48DDAF1E-82CD-4DF2-8915-257F68242A70}"/>
    <hyperlink ref="AZ398" r:id="rId370" display="https://www.niocorp.com/wp-content/uploads/NioCorp_June-2022_NI_43-101_Technical_Report.pdf" xr:uid="{F5D24250-2FDD-4823-9759-6E784A34F02C}"/>
    <hyperlink ref="AZ400" r:id="rId371" display="https://www.niocorp.com/wp-content/uploads/NioCorp_June-2022_NI_43-101_Technical_Report.pdf" xr:uid="{D6E6CE48-98BB-4846-B630-5B8FA5CE53A7}"/>
    <hyperlink ref="AZ397" r:id="rId372" display="https://www.niocorp.com/wp-content/uploads/NioCorp_June-2022_NI_43-101_Technical_Report.pdf" xr:uid="{176DBFA0-998B-425B-9E9F-C2C92D3DFE8B}"/>
    <hyperlink ref="AZ478" r:id="rId373" display="https://www.i80gold.com/wp-content/uploads/2025/03/Granite-Creek-PEA-Technical-Report-Final-03_31_25.pdf" xr:uid="{9B384A83-B4E3-41DC-AB78-793FE46609E7}"/>
    <hyperlink ref="AZ578" r:id="rId374" display="https://www.fortitudegold.com/news/news-releases/fortitude-gold-reports-2022-net-income-of-147-million-725-all-in-sustaining-cost-and-increased-cash-balance-to-45-million" xr:uid="{7FF5B429-5E8D-4F28-8670-CCAE3E0364FF}"/>
    <hyperlink ref="AZ577" r:id="rId375" display="https://www.fortitudegold.com/news/news-releases/fortitude-gold-reports-2022-net-income-of-147-million-725-all-in-sustaining-cost-and-increased-cash-balance-to-45-million" xr:uid="{C884B389-FEFB-4152-8DC9-EE762C9EF26B}"/>
    <hyperlink ref="AZ959" r:id="rId376" xr:uid="{0D9D828E-31EB-450F-8542-06AE0AFB679B}"/>
    <hyperlink ref="AZ986" r:id="rId377" display="https://minedocs.com/28/Reward-FS-09032024.pdf" xr:uid="{F38C94E0-6087-48B3-99EC-4779E54E4F04}"/>
    <hyperlink ref="AZ990" r:id="rId378" display="https://wcsecure.weblink.com.au/pdf/INR/02952628.pdf" xr:uid="{DBC694D0-1D4D-4983-8384-003A594D757E}"/>
    <hyperlink ref="AZ989" r:id="rId379" display="https://wcsecure.weblink.com.au/pdf/INR/02952628.pdf" xr:uid="{5D208465-811B-4BD0-ACEF-B203C3A3B620}"/>
    <hyperlink ref="AZ1184" r:id="rId380" display="https://s203.q4cdn.com/835901927/files/doc_financials/2023/ar/NewLAC-ThackerPassFeasibilityStudyNI43-101-October2023.pdf" xr:uid="{81048853-6C49-4632-981E-E6BA098A342D}"/>
    <hyperlink ref="AZ1209" r:id="rId381" display="https://www.streetinsider.com/SEC+Filings/Form+10-Q+American+Clean+Resources+For%3A+Jun+30/25227993.html" xr:uid="{C6258967-7E8A-4F46-B940-ED3C5FB87554}"/>
    <hyperlink ref="AZ215" r:id="rId382" display="https://d18rn0p25nwr6d.cloudfront.net/CIK-0001285785/c177b49b-a7e5-4f2f-afbc-b1fdc9629748.pdf" xr:uid="{5A2054A1-31B0-426D-BEA5-835C6BC49AC8}"/>
    <hyperlink ref="AZ213" r:id="rId383" display="https://s28.q4cdn.com/607153883/files/doc_financials/2023/ar/22a5383e-3bd9-44c0-a3a0-46ea1482496a.pdf" xr:uid="{A8E581B8-D7DF-409C-A1FB-6460A180B288}"/>
    <hyperlink ref="AZ216" r:id="rId384" display="https://s28.q4cdn.com/607153883/files/doc_financials/2023/ar/22a5383e-3bd9-44c0-a3a0-46ea1482496a.pdf" xr:uid="{94A8615E-4F30-4BCC-BC8E-D733D109C04A}"/>
    <hyperlink ref="AZ273" r:id="rId385" display="https://markets.ft.com/data/announce/detail?dockey=1323-16007280-17LBDAUDQA5RL9Q1L931C5SUDS" xr:uid="{BD98E8E2-3F0A-4649-82BF-D4388EB1D2D7}"/>
    <hyperlink ref="AZ656" r:id="rId386" display="https://www.golcondagold.com/news/english/golconda-gold-ltd-releases-financial-and-operating-results-for-2022" xr:uid="{7659652D-F7C7-4C53-B19E-A87280949D8A}"/>
    <hyperlink ref="AZ606" r:id="rId387" xr:uid="{4C9671FD-EE60-495A-92D6-A020548AB8A9}"/>
    <hyperlink ref="AZ694" r:id="rId388" display="https://s203.q4cdn.com/782025361/files/doc_financials/2023/ar/materion-2023-annual-report.pdf" xr:uid="{E054007B-430E-4F77-84BF-07B1C5080D9D}"/>
    <hyperlink ref="AZ1225" r:id="rId389" location=":~:text=In%20early%201992%2C%20the%20new,to%20support%20the%20increased%20demand." display="https://southernjewelrynews.com/featured-articles/united-precious-metals-refining-steady-growth-since-1988/ - :~:text=In%20early%201992%2C%20the%20new,to%20support%20the%20increased%20demand." xr:uid="{30846057-8E37-4486-BEB5-213FF56407BF}"/>
    <hyperlink ref="AZ712" r:id="rId390" location=":~:text=Metallix%20has%20been%20operating%20for,(131.5%20tons)%20of%20copper." display="https://www.recyclingtoday.com/news/metallix-usa-sibanye-stillwater-south-africa-acquisition-gold-silver-platinum-recycling/ - :~:text=Metallix%20has%20been%20operating%20for,(131.5%20tons)%20of%20copper." xr:uid="{66AD694E-6908-4FF2-AA44-F40EC378AA34}"/>
    <hyperlink ref="AZ710" r:id="rId391" location=":~:text=Metallix%20has%20been%20operating%20for,(131.5%20tons)%20of%20copper." display="https://www.recyclingtoday.com/news/metallix-usa-sibanye-stillwater-south-africa-acquisition-gold-silver-platinum-recycling/ - :~:text=Metallix%20has%20been%20operating%20for,(131.5%20tons)%20of%20copper." xr:uid="{5FA62C05-2622-4214-82E4-BE567E70D28F}"/>
    <hyperlink ref="AZ714" r:id="rId392" location=":~:text=Metallix%20has%20been%20operating%20for,(131.5%20tons)%20of%20copper." display="https://www.recyclingtoday.com/news/metallix-usa-sibanye-stillwater-south-africa-acquisition-gold-silver-platinum-recycling/ - :~:text=Metallix%20has%20been%20operating%20for,(131.5%20tons)%20of%20copper." xr:uid="{E3D98511-AAB5-401F-8727-75453D5162A1}"/>
    <hyperlink ref="AZ715" r:id="rId393" location=":~:text=Metallix%20has%20been%20operating%20for,(131.5%20tons)%20of%20copper." display="https://www.recyclingtoday.com/news/metallix-usa-sibanye-stillwater-south-africa-acquisition-gold-silver-platinum-recycling/ - :~:text=Metallix%20has%20been%20operating%20for,(131.5%20tons)%20of%20copper." xr:uid="{6608B2FE-98D6-4916-AF33-651580624C83}"/>
    <hyperlink ref="AZ713" r:id="rId394" location=":~:text=Metallix%20has%20been%20operating%20for,(131.5%20tons)%20of%20copper." display="https://www.recyclingtoday.com/news/metallix-usa-sibanye-stillwater-south-africa-acquisition-gold-silver-platinum-recycling/ - :~:text=Metallix%20has%20been%20operating%20for,(131.5%20tons)%20of%20copper." xr:uid="{8E6F37CF-F9D4-4AD3-BC5C-78BEB598B1BB}"/>
    <hyperlink ref="AZ711" r:id="rId395" location=":~:text=Metallix%20has%20been%20operating%20for,(131.5%20tons)%20of%20copper." display="https://www.recyclingtoday.com/news/metallix-usa-sibanye-stillwater-south-africa-acquisition-gold-silver-platinum-recycling/ - :~:text=Metallix%20has%20been%20operating%20for,(131.5%20tons)%20of%20copper." xr:uid="{C189749D-6CDA-411C-BBB3-59AAB62D740B}"/>
    <hyperlink ref="AZ30" r:id="rId396" display="https://alexymetals.com/pages/about-us" xr:uid="{890D1BC8-DF4B-4E5E-AA8C-09A2E93362EE}"/>
    <hyperlink ref="AZ6" r:id="rId397" xr:uid="{501FCDCE-64B1-45A7-912C-27CC2D3B2200}"/>
    <hyperlink ref="AZ3" r:id="rId398" location=":~:text=Reldan%20is%20a%20Pennsylvania%2Dbased,and%203.4mlbs%20of%20copper." display="https://www.resource-capital.ch/en/news/view/sibanye-stillwater-to-acquire-reldan-a-us-based-metals-recycler-enhancing-its-exposure-to-the-circular-economy/ - :~:text=Reldan%20is%20a%20Pennsylvania%2Dbased,and%203.4mlbs%20of%20copper." xr:uid="{BD7EC83F-9992-4EB3-9258-62D6851ADC31}"/>
    <hyperlink ref="AZ4" r:id="rId399" location=":~:text=Reldan%20is%20a%20Pennsylvania%2Dbased,and%203.4mlbs%20of%20copper." display="https://www.resource-capital.ch/en/news/view/sibanye-stillwater-to-acquire-reldan-a-us-based-metals-recycler-enhancing-its-exposure-to-the-circular-economy/ - :~:text=Reldan%20is%20a%20Pennsylvania%2Dbased,and%203.4mlbs%20of%20copper." xr:uid="{5481E8B7-1E52-4091-9EC9-DA3E9E335ACB}"/>
    <hyperlink ref="AZ2" r:id="rId400" location=":~:text=Reldan%20is%20a%20Pennsylvania%2Dbased,and%203.4mlbs%20of%20copper." display="https://www.resource-capital.ch/en/news/view/sibanye-stillwater-to-acquire-reldan-a-us-based-metals-recycler-enhancing-its-exposure-to-the-circular-economy/ - :~:text=Reldan%20is%20a%20Pennsylvania%2Dbased,and%203.4mlbs%20of%20copper." xr:uid="{35B7AE9F-78F1-4F1A-BDA9-48A30325C411}"/>
    <hyperlink ref="AZ629" r:id="rId401" display="https://s205.q4cdn.com/276554285/files/doc_financials/2022/ar/2022_cg_aif.pdf" xr:uid="{009B1B01-BA09-4DBD-B931-327B01DD1EF8}"/>
    <hyperlink ref="AZ783" r:id="rId402" display="https://s23.q4cdn.com/963478445/files/doc_financials/2022/ar/2022-form-10-k.pdf" xr:uid="{83707F6D-E7DE-4573-9639-2F6D5A725A48}"/>
    <hyperlink ref="AZ263" r:id="rId403" location=":~:text=Zinc%20production%20in%202003%20was,additional%20storage%20or%20disposal%20requirements." display="http://www.sulphuric-acid.com/sulphuric-acid-on-the-web/acid plants/Nyrstar - Clarksville.htm - :~:text=Zinc%20production%20in%202003%20was,additional%20storage%20or%20disposal%20requirements." xr:uid="{A09752B1-EDC7-4438-BBBA-5B6050518739}"/>
    <hyperlink ref="AZ188" r:id="rId404" display="https://www.uraniumenergy.com/_resources/reports/Burke_Hollow_43-101_12_14_17.pdf" xr:uid="{3330CA45-5B9F-4084-9777-CDD43F98B8A5}"/>
    <hyperlink ref="AZ474" r:id="rId405" display="https://www.sec.gov/Archives/edgar/data/1334933/000143774923027072/uec20230731_10k.htm" xr:uid="{FD6FD4B8-2229-4E62-96B5-87D49BEA40E0}"/>
    <hyperlink ref="AZ612" r:id="rId406" display="https://encoreuranium.com/wp-content/uploads/2024/04/enCore_AR2023_FINAL.pdf" xr:uid="{7B668E80-61EF-4BA6-9FB2-07B1C124DBF9}"/>
    <hyperlink ref="AZ1020" r:id="rId407" display="https://encoreuranium.com/wp-content/uploads/2025/02/2025_2_13_South-Texas-Uranium-Project-Technical-Report_FINAL.pdf" xr:uid="{82D6BE12-1CC2-44E8-835C-08B82D92604E}"/>
    <hyperlink ref="AZ127" r:id="rId408" location="2022" display="https://www.riotinto.com/en/invest/invest-archive - 2022" xr:uid="{97AAB11A-EA20-4997-8461-A89A7C98DC43}"/>
    <hyperlink ref="AZ124" r:id="rId409" location="2022" display="https://www.riotinto.com/en/invest/invest-archive - 2022" xr:uid="{7A152958-6BC1-408F-8CD2-6FD465A15241}"/>
    <hyperlink ref="AZ183" r:id="rId410" display="https://energyfuels.com/wp-content/uploads/2025/01/REVISED-FINAL_SLR-Energy-Fuels-Bullfrog-FINAL-Technical-Report-23-Feb-2022.pdf" xr:uid="{37DDB890-7802-48CA-B381-B917D0BF39F5}"/>
    <hyperlink ref="AZ337" r:id="rId411" xr:uid="{C46623F1-8B7A-4244-90DE-D8E3361D2319}"/>
    <hyperlink ref="AZ354" r:id="rId412" display="https://www.annualreports.com/HostedData/AnnualReportArchive/k/LSE_KRS_2022.pdf" xr:uid="{FCB066D6-1564-473E-A07D-DB64262D6D27}"/>
    <hyperlink ref="AZ605" r:id="rId413" xr:uid="{CBE1155A-D052-4228-9541-9CBD85888F8A}"/>
    <hyperlink ref="AZ754" r:id="rId414" xr:uid="{C1998AC4-C487-403D-A82E-1644F65CFD7D}"/>
    <hyperlink ref="AZ849" r:id="rId415" display="https://minedocs.com/24/Compass_Minerals-F10-K-2022.pdf" xr:uid="{E307A911-970B-4405-93D2-1F6833B49D24}"/>
    <hyperlink ref="AZ1198" r:id="rId416" location=":~:text=In%20the%20near%20term%2C%20ODV,upon%20completion%20of%20the%20expansion." display="https://www.juniorminingnetwork.com/junior-miner-news/press-releases/350-tsx/or/114621-osisko-announces-agreement-to-acquire-a-metals-stream-on-the-high-grade-trixie-mine-in-utah-s-historic-tintic-mining-district.html - :~:text=In%20the%20near%20term%2C%20ODV,upon%20completion%20of%20the%20expansion." xr:uid="{BFCB076A-1A53-41A6-B6D9-583F9CD39068}"/>
    <hyperlink ref="AZ1255" r:id="rId417" xr:uid="{7FC444E0-F401-414F-8987-AE945D05ABF7}"/>
    <hyperlink ref="AZ1276" r:id="rId418" display="C:\Users\tmobrien\AppData\Local\Temp\1\MicrosoftEdgeDownloads\2901a48a-fa6f-4e96-9c09-32e08630d954\UUUU (Energy Fuels Inc)  (10-K) 2023-03-08.pdf_.pdf" xr:uid="{FAAF9482-A1C1-4835-9D33-3936D8A40059}"/>
    <hyperlink ref="AZ1277" r:id="rId419" display="C:\Users\tmobrien\AppData\Local\Temp\1\MicrosoftEdgeDownloads\2901a48a-fa6f-4e96-9c09-32e08630d954\UUUU (Energy Fuels Inc)  (10-K) 2023-03-08.pdf_.pdf" xr:uid="{1039C28D-AF35-4913-A557-35CADDDCD177}"/>
    <hyperlink ref="AZ1023" r:id="rId420" display="https://www.pel.net.au/wp-content/uploads/2022/08/DFS-Completed-for-Lance.pdf" xr:uid="{E02ECD9F-1F2C-4353-97E2-AC3F14E25B47}"/>
    <hyperlink ref="AZ808" r:id="rId421" display="https://www.sec.gov/Archives/edgar/data/1385849/000106299323005315/exhibit99-1.htm" xr:uid="{1D276698-E190-408B-AF7F-F9CA2E581CEA}"/>
    <hyperlink ref="AZ818" r:id="rId422" location=":~:text=North%20Butte%20is%20expected%20to,700%2C000%20lb/y%20by%202015." display="https://www.e-mj.com/news/us-and-canada/cameco-begins-production-at-north-butte/ - :~:text=North%20Butte%20is%20expected%20to,700%2C000%20lb/y%20by%202015." xr:uid="{F1362254-56DC-44A7-AD71-3587E8F0B7A4}"/>
    <hyperlink ref="AZ1073" r:id="rId423" display="https://www.stratawyo.com/wp-content/uploads/2017/11/UR-Energy-2015-Shirley-Basin-PEA_Final.pdf" xr:uid="{B0783C80-0846-45A2-A5CD-676D02D9A29C}"/>
    <hyperlink ref="AZ1092" r:id="rId424" display="https://www.cameco.com/businesses/uranium-operations/suspended/smith-ranch-highland" xr:uid="{8FA2735F-C6B5-4283-BA14-6F393423A176}"/>
    <hyperlink ref="AZ1168" r:id="rId425" location=":~:text=About%20the%20Sweetwater%20Processing%20Plant,infrastructure%20and%20enhanced%20operating%20synergies." display="https://www.prnewswire.com/news-releases/uranium-energy-corp-sweetwater-project-designated-by-us-government-for-fast-track-permitting-to-add-in-situ-recovery-capability-creating-the-largest-dual-feed-uranium-facility-in-the-us-302521478.html - :~:text=About%20the%20Sweetwater%20Processing%20Plant,infrastructure%20and%20enhanced%20operating%20synergies." xr:uid="{EF510E5B-6C69-45B7-9EAE-3F75459A55F6}"/>
    <hyperlink ref="AZ702" r:id="rId426" display="https://minerals.nv.gov/uploadedFiles/mineralsnvgov/content/Programs/Mining/2022 Metallic Production by mine.pdf" xr:uid="{BCDFAAFA-560F-4CD4-A6E0-F7DBB7DCE113}"/>
    <hyperlink ref="AZ1004" r:id="rId427" display="https://minerals.nv.gov/uploadedFiles/mineralsnvgov/content/Programs/Mining/2022 Metallic Production by mine.pdf" xr:uid="{0F76F4CE-7171-4842-9E0C-8B5637F0E009}"/>
    <hyperlink ref="AZ1002" r:id="rId428" display="https://minerals.nv.gov/uploadedFiles/mineralsnvgov/content/Programs/Mining/2022 Metallic Production by mine.pdf" xr:uid="{5109CD4F-6B81-43E4-862D-857A1FFE9677}"/>
    <hyperlink ref="AZ863" r:id="rId429" xr:uid="{E10D4DA6-54B6-4E33-AE3F-79B5E5F27E7E}"/>
    <hyperlink ref="AZ974" r:id="rId430" display="http://content.stockpr.com/pershinggold/files/pages/relief-canyon/technical-reports/Relief+Canyon_2015_Technical_Report_v8.pdf" xr:uid="{B45E6DAB-8DCE-450C-B1B4-8B5B71015517}"/>
    <hyperlink ref="AZ975" r:id="rId431" display="http://content.stockpr.com/pershinggold/files/pages/relief-canyon/technical-reports/Relief+Canyon_2015_Technical_Report_v8.pdf" xr:uid="{3A700900-5608-4A8E-B55A-70B85ECB5F5D}"/>
    <hyperlink ref="AZ530" r:id="rId432" display="https://minerals.nv.gov/uploadedFiles/mineralsnvgov/content/Programs/Mining/2022 Metallic Production by mine.pdf" xr:uid="{D55AE1C3-0752-4C14-99EA-6B28F2A2FFC5}"/>
    <hyperlink ref="AZ531" r:id="rId433" display="https://minerals.nv.gov/uploadedFiles/mineralsnvgov/content/Programs/Mining/2022 Metallic Production by mine.pdf" xr:uid="{6238047B-D476-4679-AF59-270F52155A48}"/>
    <hyperlink ref="AZ76" r:id="rId434" display="https://minerals.nv.gov/uploadedFiles/mineralsnvgov/content/Programs/Mining/2022 Metallic Production by mine.pdf" xr:uid="{ABC9B08B-2523-43F9-B735-B14D6D3F90AB}"/>
    <hyperlink ref="AZ75" r:id="rId435" display="https://minerals.nv.gov/uploadedFiles/mineralsnvgov/content/Programs/Mining/2022 Metallic Production by mine.pdf" xr:uid="{9A488B8A-AF32-45EB-B1DB-47B35F88C1BB}"/>
    <hyperlink ref="AZ551" r:id="rId436" display="https://minedocs.com/20/Hycroft-Summary-Technical-Report-07312019.pdf" xr:uid="{9E54713E-78B2-42BD-AD5A-C60A4352514E}"/>
    <hyperlink ref="AZ550" r:id="rId437" display="https://minedocs.com/20/Hycroft-Summary-Technical-Report-07312019.pdf" xr:uid="{D8468283-25D6-4BAA-95E9-134A78BC1E5B}"/>
    <hyperlink ref="AZ210" r:id="rId438" display="https://minerals.nv.gov/uploadedFiles/mineralsnvgov/content/Programs/Mining/2022 Metallic Production by mine.pdf" xr:uid="{F9059F2F-968A-4B34-8C1A-3E2181F9207C}"/>
    <hyperlink ref="AZ316" r:id="rId439" display="https://minerals.nv.gov/uploadedFiles/mineralsnvgov/content/Programs/Mining/2022 Metallic Production by mine.pdf" xr:uid="{01C278F1-E7AB-4B94-B360-9B3150587126}"/>
    <hyperlink ref="AZ317" r:id="rId440" display="https://minerals.nv.gov/uploadedFiles/mineralsnvgov/content/Programs/Mining/2022 Metallic Production by mine.pdf" xr:uid="{4DBC5CC1-A5E7-4B9F-8BDE-D2D4BA66B522}"/>
    <hyperlink ref="AZ318" r:id="rId441" display="https://minerals.nv.gov/uploadedFiles/mineralsnvgov/content/Programs/Mining/2022 Metallic Production by mine.pdf" xr:uid="{73A4EDD7-7C9C-4FFC-960E-C4A1D9A3F7C9}"/>
    <hyperlink ref="AZ319" r:id="rId442" display="https://minerals.nv.gov/uploadedFiles/mineralsnvgov/content/Programs/Mining/2022 Metallic Production by mine.pdf" xr:uid="{33214F08-85A3-435F-AFBE-C5BFB923113B}"/>
    <hyperlink ref="AZ654" r:id="rId443" display="https://minerals.nv.gov/uploadedFiles/mineralsnvgov/content/Programs/Mining/2022 Metallic Production by mine.pdf" xr:uid="{100BE2B3-5206-498C-89E5-A19DB2AF4BAF}"/>
    <hyperlink ref="AZ126" r:id="rId444" location="2022" display="https://www.riotinto.com/en/invest/invest-archive - 2022" xr:uid="{AF83C60B-09DB-4D08-992A-3EBE29ED2BAB}"/>
    <hyperlink ref="AZ1106" r:id="rId445" display="https://s203.q4cdn.com/782025361/files/doc_financials/2022/ar/2022-Annual-Report.pdf" xr:uid="{ADA36666-2FEE-4008-8D11-4763512210FB}"/>
    <hyperlink ref="AZ483" r:id="rId446" location=":~:text=The%20facility%20has%20the%20capacity%20to%20produce:,liquefaction%20plant%20*%20Hydrochloric%20acid%20synthesis%20plant" display="https://usmagnesium.com/about-us-mag/ - :~:text=The%20facility%20has%20the%20capacity%20to%20produce:,liquefaction%20plant%20*%20Hydrochloric%20acid%20synthesis%20plant" xr:uid="{7EECCD66-CC1D-492D-A9B5-91F36D777D28}"/>
    <hyperlink ref="AZ484" r:id="rId447" location=":~:text=The%20facility%20has%20the%20capacity%20to%20produce:,liquefaction%20plant%20*%20Hydrochloric%20acid%20synthesis%20plant" display="https://usmagnesium.com/about-us-mag/ - :~:text=The%20facility%20has%20the%20capacity%20to%20produce:,liquefaction%20plant%20*%20Hydrochloric%20acid%20synthesis%20plant" xr:uid="{446BDED3-ED1E-4A44-A866-DD0981403668}"/>
    <hyperlink ref="AZ1256" r:id="rId448" xr:uid="{A4D0AB84-EAB9-4AD8-9536-03D6F8483047}"/>
    <hyperlink ref="AZ848" r:id="rId449" display="https://minedocs.com/24/Compass_Minerals-F10-K-2022.pdf" xr:uid="{FA291F65-B07F-457A-8E5A-FB4F42BB661F}"/>
    <hyperlink ref="AZ192" r:id="rId450" display="https://pubs.usgs.gov/myb/vol1/2020/myb1-2020-bauxite-alumina.pdf" xr:uid="{CDFDC324-6BBA-4B32-AE41-CACBC72AC1BA}"/>
    <hyperlink ref="AZ475" r:id="rId451" location=":~:text=A%201.2%2Dmillion%2Dton%2Dper%2Dyear%20alumina%20refinery%20in%20Gramercy%2C%20LA%2C,no%20plans%20have%20been%20announced%20regarding%20reopening." display="https://pubs.usgs.gov/periodicals/mcs2022/mcs2022-bauxite-alumina.pdf - :~:text=A%201.2%2Dmillion%2Dton%2Dper%2Dyear%20alumina%20refinery%20in%20Gramercy%2C%20LA%2C,no%20plans%20have%20been%20announced%20regarding%20reopening." xr:uid="{D9BE4136-DAF2-493C-9566-64397889A382}"/>
    <hyperlink ref="AZ10" r:id="rId452" display="https://advchem.com/services/melting" xr:uid="{29E89866-5F87-4A43-A9F6-0E4E1F5878C1}"/>
    <hyperlink ref="AZ55" r:id="rId453" display="https://www.asahirefining.com/product-category/cast-bars/" xr:uid="{6871E8C0-2FFD-4E72-9FE1-A0BE04CB14C1}"/>
    <hyperlink ref="AZ54" r:id="rId454" display="https://www.asahirefining.com/product-category/cast-bars/" xr:uid="{49C8A6DA-23B3-4608-8FA4-F2A8CAD208F1}"/>
    <hyperlink ref="AZ161" r:id="rId455" display="https://www.sec.gov/Archives/edgar/data/1041548/000114420408031546/v115478_ex99-1.htm" xr:uid="{D898B497-4B1C-4168-AD75-390048690318}"/>
    <hyperlink ref="AZ221" r:id="rId456" display="https://minedocs.com/21/CastleMountain_FS_02262021.pdf" xr:uid="{87726105-C79A-450E-9BBB-2E47F1726081}"/>
    <hyperlink ref="AZ298" r:id="rId457" display="https://comstock.inc/press-release/comstock-announces-full-year-2022-results/" xr:uid="{E756A481-0C5B-4BB0-970F-097A93DA8CAD}"/>
    <hyperlink ref="AZ356" r:id="rId458" display="https://www.montanagoldfieldsinc.com/diamond-hill/" xr:uid="{3D0B5B09-1F1F-403F-9DAE-228EC3B9CCEA}"/>
    <hyperlink ref="AZ451" r:id="rId459" display="https://noblemetalservices.com/refining-process/" xr:uid="{82E48D59-D2DD-4196-9A44-75066FF904F6}"/>
    <hyperlink ref="AZ468" r:id="rId460" display="https://static1.squarespace.com/static/6807b8b87d058a08ac563fb1/t/69906f9dde27ba74c399f405/1771073437914/Gold+Road+Presentation+-+February+2026.pdf" xr:uid="{ED28FC96-90D9-49AA-A7C9-C19370BAF6CD}"/>
    <hyperlink ref="AZ467" r:id="rId461" display="https://static1.squarespace.com/static/6807b8b87d058a08ac563fb1/t/69906f9dde27ba74c399f405/1771073437914/Gold+Road+Presentation+-+February+2026.pdf" xr:uid="{7B0B2FA3-DBFB-4797-9EF0-4F8C38DAF052}"/>
    <hyperlink ref="AZ471" r:id="rId462" display="https://miningdataonline.com/property/10/Golden-Sunlight-Mine.aspx" xr:uid="{DBB07B6D-1F8A-42AD-92CA-8F15C4E0C3D6}"/>
    <hyperlink ref="AZ981" r:id="rId463" display="https://s1.q4cdn.com/337451660/files/doc_downloads/FortuneMinerals_Revenue_PEA_457700.030_014_20140723.pdf" xr:uid="{A12798B1-5C40-47EF-A1BF-7A49C0684E50}"/>
    <hyperlink ref="AZ983" r:id="rId464" display="https://s1.q4cdn.com/337451660/files/doc_downloads/FortuneMinerals_Revenue_PEA_457700.030_014_20140723.pdf" xr:uid="{B33BFFAD-4C8B-4671-8FC0-588733568E3A}"/>
    <hyperlink ref="AZ1039" r:id="rId465" display="https://www.asahirefining.com/" xr:uid="{D9A66945-96E5-42E2-9EEA-000D3C604FE7}"/>
    <hyperlink ref="AZ1040" r:id="rId466" display="https://www.asahirefining.com/" xr:uid="{BE2D07CF-07B8-4E7B-B65E-7846D14153B5}"/>
    <hyperlink ref="AZ1070" r:id="rId467" display="https://minedocs.com/12/Shafter_PEA_07112018.pdf" xr:uid="{289156DF-9290-4201-849A-D58047F9558D}"/>
    <hyperlink ref="AZ1096" r:id="rId468" display="https://wp-andeanpm-2023.s3.ca-central-1.amazonaws.com/media/2024/02/28203450/Soledad-Mountain-Technical-Report-2023-31Jan24-FINAL.pdf" xr:uid="{B44073BD-9AFC-44A7-9E58-F4E60FA27F41}"/>
    <hyperlink ref="AZ1031" r:id="rId469" display="https://pubs.usgs.gov/myb/vol1/2019/myb1-2019-titanium.pdf" xr:uid="{F36162D9-7629-4342-8A01-91F9D4137CBA}"/>
    <hyperlink ref="AZ518" r:id="rId470" display="https://pubs.usgs.gov/myb/vol1/2019/myb1-2019-titanium.pdf" xr:uid="{9607C958-A989-48B9-867E-2AEF12CBEA24}"/>
    <hyperlink ref="AZ1041" r:id="rId471" display="https://pubs.usgs.gov/myb/vol1/2019/myb1-2019-titanium.pdf" xr:uid="{675A4A11-0426-4E4B-9917-40E8BF7D4CED}"/>
    <hyperlink ref="AZ517" r:id="rId472" display="https://pubs.usgs.gov/myb/vol1/2022/myb1-2022-titanium.pdf" xr:uid="{DF64938D-7896-451D-AB3F-FA819CF26766}"/>
    <hyperlink ref="AZ540" r:id="rId473" display="https://pubs.usgs.gov/myb/vol1/2022/myb1-2022-titanium.pdf" xr:uid="{75A03135-B6A8-4EAA-9F4D-894CBD169AF7}"/>
    <hyperlink ref="AZ1281" r:id="rId474" display="https://pubs.usgs.gov/myb/vol1/2022/myb1-2022-titanium.pdf" xr:uid="{B75A4CB3-DAB3-48CC-A346-9F306FECFE70}"/>
    <hyperlink ref="AZ208" r:id="rId475" display="https://pubs.usgs.gov/myb/vol1/2022/myb1-2022-titanium.pdf" xr:uid="{90EA3AD5-CD1B-40F1-8819-F0FC6BD307B1}"/>
    <hyperlink ref="AZ809" r:id="rId476" display="https://pubs.usgs.gov/myb/vol1/2022/myb1-2022-titanium.pdf" xr:uid="{06CB6741-6FB5-496C-9893-6E3EFAB4FAE3}"/>
    <hyperlink ref="AZ991" r:id="rId477" display="https://pubs.usgs.gov/myb/vol1/2022/myb1-2022-titanium.pdf" xr:uid="{C51E3B56-3FDA-45C9-ACC9-A119FDC00E93}"/>
    <hyperlink ref="AZ759" r:id="rId478" display="https://pubs.usgs.gov/myb/vol1/2022/myb1-2022-titanium.pdf" xr:uid="{BBC6E96A-3947-4F9C-88B5-0375565ADE15}"/>
    <hyperlink ref="AZ25" r:id="rId479" display="https://pubs.usgs.gov/myb/vol1/2022/myb1-2022-titanium.pdf" xr:uid="{A60CE983-0897-4CCF-A676-33C8CEDA89E1}"/>
    <hyperlink ref="AZ802" r:id="rId480" display="https://pubs.usgs.gov/myb/vol1/2022/myb1-2022-titanium.pdf" xr:uid="{1CAA1347-521E-4F7D-9C5B-B7A602263C6E}"/>
    <hyperlink ref="AZ67" r:id="rId481" display="https://pubs.usgs.gov/myb/vol1/2022/myb1-2022-titanium.pdf" xr:uid="{2C733B56-71DC-4160-90A5-EE1DA79E947F}"/>
    <hyperlink ref="AZ620" r:id="rId482" display="https://pubs.usgs.gov/myb/vol1/2022/myb1-2022-titanium.pdf" xr:uid="{A05F4D48-35FA-414D-AE96-26A36B63AAA5}"/>
    <hyperlink ref="AZ498" r:id="rId483" display="https://pubs.usgs.gov/myb/vol1/2022/myb1-2022-titanium.pdf" xr:uid="{3C02C853-7F2D-4224-B92D-7B7B01B39F18}"/>
    <hyperlink ref="AZ349" r:id="rId484" display="https://pubs.usgs.gov/myb/vol1/2021/myb1-2021-tungsten.pdf" xr:uid="{7A9B425B-675D-4F57-BB95-ADA2573CBD83}"/>
    <hyperlink ref="AZ271" r:id="rId485" display="https://pubs.usgs.gov/myb/vol1/2021/myb1-2021-tungsten.pdf" xr:uid="{EF6887C9-C894-46EB-9C62-1907C516AEE8}"/>
    <hyperlink ref="AZ641" r:id="rId486" display="https://pubs.usgs.gov/myb/vol1/2021/myb1-2021-tungsten.pdf" xr:uid="{04353F74-C9B4-400C-87F8-1A4CFF11CBC3}"/>
    <hyperlink ref="AZ1211" r:id="rId487" display="https://pubs.usgs.gov/myb/vol1/2021/myb1-2021-tungsten.pdf" xr:uid="{4EF61105-F488-4C7E-9245-1498D12B9202}"/>
    <hyperlink ref="AZ416" r:id="rId488" display="https://pubs.usgs.gov/myb/vol1/2021/myb1-2021-tungsten.pdf" xr:uid="{DEAC0015-E0E5-4425-AC6C-C75735432F37}"/>
    <hyperlink ref="AZ196" r:id="rId489" display="https://pubs.usgs.gov/myb/vol1/2023/myb1-2023-vanadium.pdf" xr:uid="{13325159-1654-4DCC-8EE3-BFAAFDDA8129}"/>
    <hyperlink ref="AZ1290" r:id="rId490" display="https://amg-v.com/news/article/amg-advanced-metallurgical-group-n-v-completes-feasibility-study-to-expand-spent-catalyst-processing-capacity/" xr:uid="{E2F96DA1-9EC4-4D32-BDB1-792339727ECC}"/>
    <hyperlink ref="AZ460" r:id="rId491" display="https://pubs.usgs.gov/myb/vol1/2023/myb1-2023-vanadium.pdf" xr:uid="{88FF5EC0-D2D5-4452-8667-8692C46A7B55}"/>
    <hyperlink ref="AZ106" r:id="rId492" display="https://riverchem.com/" xr:uid="{46ED606F-50A6-4BEE-A9C5-33990362497B}"/>
    <hyperlink ref="AZ998" r:id="rId493" location=":~:text=From%202008%20to%202018%2C%20production,of%20V205." display="https://usvanadium.com/us-vanadium-high-purity-vanadium/ - :~:text=From%202008%20to%202018%2C%20production,of%20V205." xr:uid="{BAE7A9AD-C9D4-4DBE-8235-1367A6281B0C}"/>
    <hyperlink ref="AZ385" r:id="rId494" display="https://pubs.usgs.gov/myb/vol1/2018/myb1-2018-zinc.pdf" xr:uid="{606AC36B-CD33-43BE-9F8F-C7BA5A1E5655}"/>
    <hyperlink ref="AZ724" r:id="rId495" display="https://pubs.usgs.gov/myb/vol1/2018/myb1-2018-zinc.pdf" xr:uid="{CFA83654-2566-4819-9DAE-401FDE2A2C9F}"/>
    <hyperlink ref="AZ969" r:id="rId496" location=":~:text=2024%20annual%20zinc%20in%20concentrate,2024%20Production%20Results" display="https://www.teck.com/news/news-releases/2025/teck-announces-2024-production-and-2025-guidance-update - :~:text=2024%20annual%20zinc%20in%20concentrate,2024%20Production%20Results" xr:uid="{AAEDAC88-E487-468E-AE54-C843C392DA90}"/>
    <hyperlink ref="AZ410" r:id="rId497" display="https://minedocs.com/29/Empire-State-TR-12032024.pdf" xr:uid="{C507A12F-4901-4FC9-BF97-6BA42D0B02C7}"/>
    <hyperlink ref="AZ182" r:id="rId498" display="https://doerun.com/history/" xr:uid="{94324735-EFCE-42F3-9810-8417ADE2B94C}"/>
    <hyperlink ref="AZ668" r:id="rId499" display="https://www.vertiv.com/4afc22/globalassets/documents/battcon-static-assets/2017/secondary-lead-smelting-as-an-integral-part-of-battery-manufacturing.pdf" xr:uid="{0E16D9A3-8D15-4ACA-8B87-879C93CA65DA}"/>
    <hyperlink ref="AZ669" r:id="rId500" display="https://www.vertiv.com/4afc22/globalassets/documents/battcon-static-assets/2017/secondary-lead-smelting-as-an-integral-part-of-battery-manufacturing.pdf" xr:uid="{A4775F28-1DA3-49F2-A67A-693F0F6AD99A}"/>
    <hyperlink ref="AZ249" r:id="rId501" location=":~:text=At%20its%20City%20of%20Industry,beyond%20its%20legacy%20lead%20business." display="https://batterycouncil.org/news/essential-energy-tour-ecobat/ - :~:text=At%20its%20City%20of%20Industry,beyond%20its%20legacy%20lead%20business." xr:uid="{80EBB792-A3E9-42C1-832C-00C4476B93B6}"/>
    <hyperlink ref="AZ366" r:id="rId502" display="https://www.gopherresource.com/newsroom/natural-resources-research-institute-partnership.html" xr:uid="{464546A1-2339-4982-A8CE-FAC623DA9DDA}"/>
    <hyperlink ref="AZ367" r:id="rId503" display="https://www.gopherresource.com/newsroom/natural-resources-research-institute-partnership.html" xr:uid="{B0C7BBD9-5574-4254-AE35-B275ABDA4E22}"/>
    <hyperlink ref="AZ765" r:id="rId504" location=":~:text=The%20Mooresboro%20facility%20produces%20120%2C000,and%20gypsum%20from%20waelz%20oxide." display="https://www.fastmarkets.com/insights/befesa-produces-shg-from-recycled-zinc/ - :~:text=The%20Mooresboro%20facility%20produces%20120%2C000,and%20gypsum%20from%20waelz%20oxide." xr:uid="{54367880-232E-43B3-BF0C-B4ECC12DDFEF}"/>
    <hyperlink ref="AZ868" r:id="rId505" display="https://d9-wret.s3.us-west-2.amazonaws.com/assets/palladium/production/mineral-pubs/lead/lead_myb03.pdf" xr:uid="{02401765-AC01-4046-A643-0D44211B2402}"/>
    <hyperlink ref="AZ693" r:id="rId506" location=":~:text=longview%20Aluminum%20l.l.C.%20permanently%20closed%20its%20204,000-,equipment%20at%20auction%20(Platts%20metals%20Week,%202004c)." display="https://d9-wret.s3.us-west-2.amazonaws.com/assets/palladium/production/mineral-pubs/aluminum/alumimyb04.pdf - :~:text=longview%20Aluminum%20l.l.C.%20permanently%20closed%20its%20204,000-,equipment%20at%20auction%20(Platts%20metals%20Week,%202004c)." xr:uid="{736068AE-B6B5-4980-8165-63BDFD7B60DA}"/>
    <hyperlink ref="AZ804" r:id="rId507" location=":~:text=longview%20Aluminum%20l.l.C.%20permanently%20closed%20its%20204,000-,equipment%20at%20auction%20(Platts%20metals%20Week,%202004c)." display="https://d9-wret.s3.us-west-2.amazonaws.com/assets/palladium/production/mineral-pubs/aluminum/alumimyb04.pdf - :~:text=longview%20Aluminum%20l.l.C.%20permanently%20closed%20its%20204,000-,equipment%20at%20auction%20(Platts%20metals%20Week,%202004c)." xr:uid="{510186D4-B071-47C3-9CD7-4BFE6D00419D}"/>
    <hyperlink ref="AZ492" r:id="rId508" display="https://pubs.usgs.gov/myb/vol1/2022/myb1-2022-barite.pdf" xr:uid="{5224F598-7D43-4642-A9A9-1F2F166F2032}"/>
    <hyperlink ref="AZ429" r:id="rId509" display="https://pubs.usgs.gov/myb/vol1/2022/myb1-2022-barite.pdf" xr:uid="{E14AF8FE-4B43-4AE9-ADE2-D6E2E0B65B05}"/>
    <hyperlink ref="AZ800" r:id="rId510" display="https://pubs.usgs.gov/myb/vol1/2022/myb1-2022-barite.pdf" xr:uid="{0655FFA9-C9BC-4AAC-9366-D24C1CBC2928}"/>
    <hyperlink ref="AZ771" r:id="rId511" display="https://pubs.usgs.gov/myb/vol1/2022/myb1-2022-barite.pdf" xr:uid="{20EB90BF-3353-4808-9821-C3A000A5F21E}"/>
    <hyperlink ref="AZ785" r:id="rId512" display="https://pubs.usgs.gov/myb/vol1/2022/myb1-2022-barite.pdf" xr:uid="{4C74DD76-60E5-4B99-820F-B2A3E77BEC4E}"/>
    <hyperlink ref="AZ229" r:id="rId513" display="https://pubs.usgs.gov/myb/vol1/2022/myb1-2022-barite.pdf" xr:uid="{E2AC7FED-6BA5-468E-9312-DD905AD824F6}"/>
    <hyperlink ref="AZ618" r:id="rId514" display="https://pubs.usgs.gov/myb/vol1/2022/myb1-2022-barite.pdf" xr:uid="{8C41D6BF-565C-4F2A-9EBD-9C648A7527E9}"/>
    <hyperlink ref="AZ630" r:id="rId515" display="https://pubs.usgs.gov/myb/vol1/2022/myb1-2022-barite.pdf" xr:uid="{F244294F-5DA5-4D24-8216-3ED41114AD60}"/>
    <hyperlink ref="AZ40" r:id="rId516" display="https://pubs.usgs.gov/myb/vol1/2022/myb1-2022-barite.pdf" xr:uid="{A138D493-F73A-44AA-8358-19ADB62C2DE7}"/>
    <hyperlink ref="AZ314" r:id="rId517" display="https://pubs.usgs.gov/myb/vol1/2022/myb1-2022-barite.pdf" xr:uid="{B2CF54CC-F8A3-43AE-BB5C-33D0A97E5ED1}"/>
    <hyperlink ref="AZ311" r:id="rId518" display="https://pubs.usgs.gov/myb/vol1/2022/myb1-2022-barite.pdf" xr:uid="{ED8D2DC3-E7F1-46AB-A608-44940480DD78}"/>
    <hyperlink ref="AZ365" r:id="rId519" display="https://pubs.usgs.gov/myb/vol1/2022/myb1-2022-barite.pdf" xr:uid="{9D1ECB23-4CEA-47C1-ABCB-65C1FADFBCAB}"/>
    <hyperlink ref="AZ681" r:id="rId520" display="https://pubs.usgs.gov/myb/vol1/2022/myb1-2022-barite.pdf" xr:uid="{591964A4-C9A5-424D-B323-10E54DE0544C}"/>
    <hyperlink ref="AZ1254" r:id="rId521" display="https://pubs.usgs.gov/myb/vol1/2022/myb1-2022-barite.pdf" xr:uid="{4FAA9E22-423F-4C02-A9F9-F18924CAA3AB}"/>
    <hyperlink ref="AZ363" r:id="rId522" display="https://pubs.usgs.gov/myb/vol1/2022/myb1-2022-barite.pdf" xr:uid="{964DFE2A-C993-464F-9737-EC278E51D98D}"/>
    <hyperlink ref="AZ535" r:id="rId523" display="https://pubs.usgs.gov/myb/vol1/2022/myb1-2022-barite.pdf" xr:uid="{79AF4DD6-46C3-4370-B6D1-D32202AB4FCD}"/>
    <hyperlink ref="AZ312" r:id="rId524" display="https://pubs.usgs.gov/myb/vol1/2022/myb1-2022-barite.pdf" xr:uid="{1D70A5AD-EA85-4F80-BDDF-41FE29B07BCF}"/>
    <hyperlink ref="AZ313" r:id="rId525" display="https://pubs.usgs.gov/myb/vol1/2022/myb1-2022-barite.pdf" xr:uid="{835CE820-C2F5-4A84-AC58-79F99598E0CA}"/>
    <hyperlink ref="AZ162" r:id="rId526" display="https://pubs.usgs.gov/myb/vol1/2022/myb1-2022-barite.pdf" xr:uid="{C6D4B614-9A0F-4D60-8940-E8E44DDC5D5B}"/>
    <hyperlink ref="AZ315" r:id="rId527" display="https://pubs.usgs.gov/myb/vol1/2022/myb1-2022-barite.pdf" xr:uid="{ABD81543-2467-4FA4-B8B9-5964359A2BB3}"/>
    <hyperlink ref="AZ102" r:id="rId528" display="https://pubs.usgs.gov/myb/vol1/2022/myb1-2022-barite.pdf" xr:uid="{AD79311C-ADAC-4E7F-9F91-45A3790F6293}"/>
    <hyperlink ref="AZ122" r:id="rId529" display="https://pubs.usgs.gov/myb/vol1/2022/myb1-2022-barite.pdf" xr:uid="{76F93F4B-9D28-4359-A08D-9512AE9F363F}"/>
    <hyperlink ref="AZ855" r:id="rId530" display="https://pubs.usgs.gov/myb/vol1/2022/myb1-2022-barite.pdf" xr:uid="{E28AB4C8-1DF5-43E3-9F21-AACDCB579A75}"/>
    <hyperlink ref="AZ321" r:id="rId531" display="https://pubs.usgs.gov/myb/vol1/2022/myb1-2022-barite.pdf" xr:uid="{4D253249-04E8-499A-A48A-D44413F194FF}"/>
    <hyperlink ref="AZ782" r:id="rId532" display="https://pubs.usgs.gov/myb/vol1/2022/myb1-2022-barite.pdf" xr:uid="{32019CEF-A970-429B-B9F2-0FF94D5BCBED}"/>
    <hyperlink ref="AZ1024" r:id="rId533" display="https://pubs.usgs.gov/myb/vol1/2022/myb1-2022-barite.pdf" xr:uid="{3DB1867F-33D8-412E-BCE9-764CD3432AEC}"/>
    <hyperlink ref="AZ1214" r:id="rId534" display="https://d9-wret.s3.us-west-2.amazonaws.com/assets/palladium/production/mineral-pubs/boron/myb1-2012-boron.pdf" xr:uid="{2D7A0F9E-0E67-4A9B-B73F-7C366052CABB}"/>
    <hyperlink ref="AZ1265" r:id="rId535" display="https://d9-wret.s3.us-west-2.amazonaws.com/assets/palladium/production/mineral-pubs/boron/myb1-2012-boron.pdf" xr:uid="{01C8B2A6-0777-4FE6-80CB-33EB070CE0BC}"/>
    <hyperlink ref="AZ1036" r:id="rId536" display="https://pubs.usgs.gov/myb/vol1/2021/myb1-2021-copper.pdf" xr:uid="{3C61B40E-A651-4AF9-A060-D158DFE1831A}"/>
    <hyperlink ref="AZ84" r:id="rId537" display="https://pubs.usgs.gov/myb/vol1/2021/myb1-2021-copper.pdf" xr:uid="{EB921092-4EA3-43A4-8D94-0C3116B1F006}"/>
    <hyperlink ref="AZ880" r:id="rId538" display="https://pubs.usgs.gov/myb/vol1/2021/myb1-2021-copper.pdf" xr:uid="{FAD707C2-EB5C-479A-AC1E-46336EC8D7BD}"/>
    <hyperlink ref="AZ241" r:id="rId539" display="https://pubs.usgs.gov/myb/vol1/2021/myb1-2021-copper.pdf" xr:uid="{07CD0926-20ED-4716-9536-7B40886FBA37}"/>
    <hyperlink ref="AZ1001" r:id="rId540" display="https://pubs.usgs.gov/myb/vol1/2021/myb1-2021-copper.pdf" xr:uid="{FA07EA29-71C8-41D0-8ED2-610F855BAEE7}"/>
    <hyperlink ref="AZ964" r:id="rId541" display="https://pubs.usgs.gov/myb/vol1/2021/myb1-2021-copper.pdf" xr:uid="{FAD1F123-CC51-44F3-A815-64AFA1950251}"/>
    <hyperlink ref="AZ1221" r:id="rId542" display="https://pubs.usgs.gov/myb/vol1/2021/myb1-2021-copper.pdf" xr:uid="{4536BFC0-E78B-441C-B4A0-CE4FCB9FB239}"/>
    <hyperlink ref="AZ1086" r:id="rId543" display="https://pubs.usgs.gov/myb/vol1/2021/myb1-2021-copper.pdf" xr:uid="{80CA0E35-DF66-498D-AE20-FFCB4B5864A2}"/>
    <hyperlink ref="AZ1087" r:id="rId544" display="https://pubs.usgs.gov/myb/vol1/2021/myb1-2021-copper.pdf" xr:uid="{8F7BF0F2-6A29-48C9-BA6A-420662EEE99A}"/>
    <hyperlink ref="AZ369" r:id="rId545" display="https://pubs.usgs.gov/myb/vol1/2021/myb1-2021-copper.pdf" xr:uid="{D5548F47-E206-4B4B-BBD7-8852AF0CF1CD}"/>
    <hyperlink ref="AZ716" r:id="rId546" display="https://pubs.usgs.gov/myb/vol1/2021/myb1-2021-copper.pdf" xr:uid="{D6641432-368C-4EA8-AC73-CA6A7D6BA6BD}"/>
    <hyperlink ref="AZ719" r:id="rId547" display="https://pubs.usgs.gov/myb/vol1/2021/myb1-2021-copper.pdf" xr:uid="{3D0D2D04-9A70-4F4E-AFE0-CE2AD6A1C133}"/>
    <hyperlink ref="AZ305" r:id="rId548" display="https://pubs.usgs.gov/myb/vol1/2021/myb1-2021-copper.pdf" xr:uid="{1295CDC7-D339-4610-A8D2-8FC49C0A28A4}"/>
    <hyperlink ref="AZ993" r:id="rId549" location=":~:text=Aurubis%20is%20operating%20the-first-of-its-kind,%20largest,%20and%20most,vital%20for%20AI,%20data%20centers,%20and%20defense." display="https://www.aurubis.com/dam/jcr:a1012ca0-be19-4f6c-aac1-068d385d6e14/20250922_Factsheet Richmond.pdf - :~:text=Aurubis%20is%20operating%20the-first-of-its-kind,%20largest,%20and%20most,vital%20for%20AI,%20data%20centers,%20and%20defense." xr:uid="{62F8F8AA-96A7-4C96-B73A-24A420E07A5D}"/>
    <hyperlink ref="AZ88" r:id="rId550" location=":~:text=Even%20after%20the%2060-year,at%20about%2080%25%20of%20capacity." display="https://www.canadianminingjournal.com/featured-article/good-news-from-bagdad-the-mine/ - :~:text=Even%20after%20the%2060-year,at%20about%2080%25%20of%20capacity." xr:uid="{924972AD-B4FD-48AE-985A-FD973A0A0AD1}"/>
    <hyperlink ref="AZ384" r:id="rId551" display="https://minedocs.com/17/FactSheetCLARKSVILLE2016.pdf" xr:uid="{B9CE1246-9AA7-4538-9D81-D1AA199DBC91}"/>
    <hyperlink ref="AZ417" r:id="rId552" display="https://doerun.com/what-we-do/mining-milling/" xr:uid="{048CF9D4-2E88-48EC-AF0D-507A1DAB0281}"/>
    <hyperlink ref="AZ595" r:id="rId553" location=":~:text=The%20smelter%20produces%20about%20300,000%20tons%20of,was%20a%20key%20component%20of%20the%20modernization." display="https://chptap.ornl.gov/profile/114/Kennecott_Utah_Copper_Smelter-Project_Profile.pdf - :~:text=The%20smelter%20produces%20about%20300,000%20tons%20of,was%20a%20key%20component%20of%20the%20modernization." xr:uid="{AB0619BA-789A-4785-9CB2-690AB6F023CC}"/>
    <hyperlink ref="AZ591" r:id="rId554" location=":~:text=In%20order%20to%20match%20the,provided%20by%20coal-powered%20grids." display="https://www.kennecott-groundbreakers.com/stories/the-story-of-refining-copper-ores-recovered-from-bingham-canyon-utah - :~:text=In%20order%20to%20match%20the,provided%20by%20coal-powered%20grids." xr:uid="{64311C7A-F550-47AC-AEDF-925FB1FF9523}"/>
    <hyperlink ref="AZ438" r:id="rId555" location=":~:text=%E2%80%9CFor%20us,%20this%20is%20a,tons%20per%20year,%20Deco%20said." display="https://resource-recycling.com/e-scrap/2022/05/25/the-strategy-behind-exurbans-us-smelter-project/ - :~:text=%E2%80%9CFor%20us,%20this%20is%20a,tons%20per%20year,%20Deco%20said." xr:uid="{FF5C1664-6E7C-4645-9C70-0C0CEF688851}"/>
    <hyperlink ref="AZ493" r:id="rId556" display="https://www.gunnisoncopper.com/news/news-2025/gunnison-copper-announces-first-copper-sales-from-johnson-ca2025-09-25-033502" xr:uid="{D8584907-2121-4B03-8781-3C39D96CBADE}"/>
    <hyperlink ref="AZ647" r:id="rId557" location=":~:text=Our%20focus%20now%20turns%20to,pounds%20of%20annual%20copper%20production.%E2%80%9D" display="https://www.juniorminingnetwork.com/junior-miner-news/press-releases/1873-tsx-venture/vlt/115689-allied-copper-signs-option-agreement-to-acquire-100-of-stateline-property-co-ut-usa.html - :~:text=Our%20focus%20now%20turns%20to,pounds%20of%20annual%20copper%20production.%E2%80%9D" xr:uid="{148A6BEF-D2A4-4E47-8354-27848B12BBFE}"/>
    <hyperlink ref="AZ717" r:id="rId558" location="miami_link" display="https://www.fcx.com/operations/north-america - miami_link" xr:uid="{64D2385F-63C8-4220-8D8F-3DE90B8715B5}"/>
    <hyperlink ref="AZ875" r:id="rId559" display="https://minerals.nv.gov/uploadedFiles/mineralsnvgov/content/Programs/Mining/2022 Metallic Production by mine.pdf" xr:uid="{7C1B52B9-D6D4-4F98-BC48-E05B772580CE}"/>
    <hyperlink ref="AZ967" r:id="rId560" location=":~:text=output%20from%20the%20ray%20Mine%20was%2037,400,of%20electrowon%20copper%20(18,600%20t%20in%202017)." display="https://pubs.usgs.gov/myb/vol1/2018/myb1-2018-copper.pdf - :~:text=output%20from%20the%20ray%20Mine%20was%2037,400,of%20electrowon%20copper%20(18,600%20t%20in%202017)." xr:uid="{477D1176-934F-4133-89FD-9AFE4D991B52}"/>
    <hyperlink ref="AZ980" r:id="rId561" display="https://resolutioncopper.com/project-overview/" xr:uid="{E0532F3C-7C58-4C71-B20E-63A86E62ED44}"/>
    <hyperlink ref="AZ1071" r:id="rId562" location=":~:text=Earlier%20this%20year,%20Ames%20Copper,be%20converted%20to%20copper%20blister." display="https://www.metalcenternews.com/editorial/current-issue/red-metal-report/44922 - :~:text=Earlier%20this%20year,%20Ames%20Copper,be%20converted%20to%20copper%20blister." xr:uid="{96D89DD5-2F99-4DFF-93F5-6B556A4AAD89}"/>
    <hyperlink ref="AZ1166" r:id="rId563" display="https://d9-wret.s3.us-west-2.amazonaws.com/assets/palladium/production/mineral-pubs/copper/240498.pdf" xr:uid="{13209EFD-D038-4C46-A0D0-9BEFEDF55754}"/>
    <hyperlink ref="AZ1206" r:id="rId564" display="https://d9-wret.s3.us-west-2.amazonaws.com/assets/palladium/production/mineral-pubs/copper/240496.pdf" xr:uid="{B659133A-793C-4BBC-83A9-2AD3D437AB0E}"/>
    <hyperlink ref="AZ272" r:id="rId565" display="https://pubs.usgs.gov/myb/vol1/2022/myb1-2022-gallium.pdf" xr:uid="{03787E6B-2405-4295-8126-499CBB7488AE}"/>
    <hyperlink ref="AZ134" r:id="rId566" display="https://pubs.usgs.gov/myb/vol1/2022/myb1-2022-gallium.pdf" xr:uid="{7D83A55A-7677-41FB-8C2A-00A58DB59555}"/>
    <hyperlink ref="AZ953" r:id="rId567" display="https://pubs.usgs.gov/myb/vol1/2022/myb1-2022-gallium.pdf" xr:uid="{EC5DEEEE-0407-4F20-8C78-CF2FD519ACCB}"/>
    <hyperlink ref="AZ968" r:id="rId568" display="https://pubs.usgs.gov/myb/vol1/2023/myb1-2023-germanium.pdf" xr:uid="{88ADA84E-5D8C-428D-BB0C-688109DFCEEE}"/>
    <hyperlink ref="AZ726" r:id="rId569" display="https://pubs.usgs.gov/myb/vol1/2023/myb1-2023-germanium.pdf" xr:uid="{52D8BE2D-C886-42B2-BC6A-BDD83AB362DD}"/>
    <hyperlink ref="AZ954" r:id="rId570" display="https://pubs.usgs.gov/myb/vol1/2023/myb1-2023-germanium.pdf" xr:uid="{2F9FCE71-EC8D-4B7D-A63A-5997301114CB}"/>
    <hyperlink ref="AZ1115" r:id="rId571" display="https://pubs.usgs.gov/myb/vol1/2023/myb1-2023-germanium.pdf" xr:uid="{937A50B1-FC2E-4ECD-97D1-5DE8EE2B175F}"/>
    <hyperlink ref="AZ320" r:id="rId572" display="https://www.barrick.com/English/operations/nevada-gold-mines/default.aspx" xr:uid="{DDE92952-4CAB-4AC2-8CF4-F42E1304AADF}"/>
    <hyperlink ref="AZ114" r:id="rId573" display="https://pubs.usgs.gov/myb/vol1/2022/myb1-2022-gold.pdf" xr:uid="{93D64D3D-BC52-43C7-8194-E56246BC1978}"/>
    <hyperlink ref="AZ935" r:id="rId574" location=":~:text=The%20Pogo%20mine%20has%20the%20following%20characteristics:,numerous%20massive%20auriferous%20quartz%20+/-%20sulphide%20veins." display="https://www.nsrltd.com/our-assets/pogo-operations/ - :~:text=The%20Pogo%20mine%20has%20the%20following%20characteristics:,numerous%20massive%20auriferous%20quartz%20+/-%20sulphide%20veins." xr:uid="{66C52CAD-1A5E-4C54-86D7-B726AC7FAC4A}"/>
    <hyperlink ref="AZ936" r:id="rId575" location=":~:text=The%20Pogo%20mine%20has%20the%20following%20characteristics:,numerous%20massive%20auriferous%20quartz%20+/-%20sulphide%20veins." display="https://www.nsrltd.com/our-assets/pogo-operations/ - :~:text=The%20Pogo%20mine%20has%20the%20following%20characteristics:,numerous%20massive%20auriferous%20quartz%20+/-%20sulphide%20veins." xr:uid="{8EFD4F1E-3F3E-4005-AE33-CF6E3F39C55B}"/>
    <hyperlink ref="AZ89" r:id="rId576" location="americas-baldmountainusa" xr:uid="{26EC57BC-1DD6-4CBD-AB1B-B95B35730BFF}"/>
    <hyperlink ref="AZ91" r:id="rId577" location="americas-baldmountainusa" xr:uid="{65C411D2-58F4-48D9-ABA4-B77F05D11C38}"/>
    <hyperlink ref="AZ687" r:id="rId578" display="https://s22.q4cdn.com/546540291/files/doc_financials/2023/q4/slr-ssr-marigold-trs-feb-11-2024.pdf?v=032304" xr:uid="{09677543-AC2A-4F40-88AB-804B48EF037D}"/>
    <hyperlink ref="AZ690" r:id="rId579" display="https://s22.q4cdn.com/546540291/files/doc_financials/2023/q4/slr-ssr-marigold-trs-feb-11-2024.pdf?v=032304" xr:uid="{002EDED9-6E3A-44F5-985C-77BF26C09204}"/>
    <hyperlink ref="AZ869" r:id="rId580" display="https://minerals.nv.gov/uploadedFiles/mineralsnvgov/content/Programs/Mining/2022 Metallic Production by mine.pdf" xr:uid="{B151D3E4-2E60-4FBB-AAA2-843D5B406751}"/>
    <hyperlink ref="AZ494" r:id="rId581" display="https://minedocs.com/26/Haile-TR-12312023.pdf" xr:uid="{0B44A88B-7B1F-4C09-B381-3C5E3223EB48}"/>
    <hyperlink ref="AZ123" r:id="rId582" display="https://nhmu.utah.edu/sites/default/files/fact-sheets/NHMU fact sheet - LF.pdf" xr:uid="{A406F631-0A70-429E-8EF4-928DF8F900F7}"/>
    <hyperlink ref="AZ1270" r:id="rId583" display="https://s28.q4cdn.com/583965976/files/doc_multimedia/portfolios/wharf-2017.pdf" xr:uid="{7D96E21C-34F4-4BD5-97C9-3E9D4EBE9B8C}"/>
    <hyperlink ref="AZ1268" r:id="rId584" display="https://s28.q4cdn.com/583965976/files/doc_multimedia/portfolios/wharf-2017.pdf" xr:uid="{B8B54FA1-E270-4DD3-9971-E54722ADFD24}"/>
    <hyperlink ref="AZ861" r:id="rId585" display="https://minedocs.com/24/Pan-TR-12312022.pdf" xr:uid="{9A0CAC04-1CFC-4446-A48E-D5713474A7CD}"/>
    <hyperlink ref="AZ864" r:id="rId586" display="https://minedocs.com/24/Pan-TR-12312022.pdf" xr:uid="{9FC7E2F0-D34D-4086-B1C1-0BBB19582DCC}"/>
    <hyperlink ref="AZ1003" r:id="rId587" display="https://www.minerals.nv.gov/siteassets/content/programs/mining/2022_Metallic_Production_by_mine.pdf" xr:uid="{179DACF6-7211-49D4-92C5-4898BB39E44F}"/>
    <hyperlink ref="AZ575" r:id="rId588" display="https://www.fortitudegold.com/news/news-releases/fortitude-gold-reports-2022-net-income-of-147-million-725-all-in-sustaining-cost-and-increased-cash-balance-to-45-million" xr:uid="{CA5FCC9C-9A9A-453C-98FC-526EBEBC6053}"/>
    <hyperlink ref="AZ1009" r:id="rId589" display="https://minedocs.com/21/CoeurMiningInc_Rochester_TechnicalReport_Dec16_2020.pdf" xr:uid="{F8BF4BEF-2BB7-4190-B999-21DCD22B55B3}"/>
    <hyperlink ref="AZ1011" r:id="rId590" display="https://minedocs.com/21/CoeurMiningInc_Rochester_TechnicalReport_Dec16_2020.pdf" xr:uid="{D2F2FCF1-47B7-428A-BB4B-5933453A9647}"/>
    <hyperlink ref="AZ1012" r:id="rId591" display="https://minedocs.com/21/CoeurMiningInc_Rochester_TechnicalReport_Dec16_2020.pdf" xr:uid="{790BE69A-9B7B-475E-B1AF-9B45A3F64675}"/>
    <hyperlink ref="AZ1010" r:id="rId592" display="https://minedocs.com/21/CoeurMiningInc_Rochester_TechnicalReport_Dec16_2020.pdf" xr:uid="{BA34DCEF-AE52-42B6-9427-E6B427DEB76D}"/>
    <hyperlink ref="AZ464" r:id="rId593" display="https://s21.q4cdn.com/390685383/files/technical_reports/gold_bar/2021_Gold_Bar_Feasibility_Study.pdf" xr:uid="{89CD4D1E-CC7A-41EB-95FB-ABBEB9B0BA3D}"/>
    <hyperlink ref="AZ462" r:id="rId594" display="https://s21.q4cdn.com/390685383/files/technical_reports/gold_bar/2021_Gold_Bar_Feasibility_Study.pdf" xr:uid="{C39552BE-BA57-4CE1-A152-6101F37C629B}"/>
    <hyperlink ref="AZ463" r:id="rId595" display="https://s21.q4cdn.com/390685383/files/technical_reports/gold_bar/2021_Gold_Bar_Feasibility_Study.pdf" xr:uid="{FB18DFC9-EA0B-4463-80CC-7B6ECEB55B3F}"/>
    <hyperlink ref="AZ461" r:id="rId596" display="https://s21.q4cdn.com/390685383/files/technical_reports/gold_bar/2021_Gold_Bar_Feasibility_Study.pdf" xr:uid="{F21F8338-C5BE-4B50-BBD9-7FDCE0DFEF0B}"/>
    <hyperlink ref="AZ224" r:id="rId597" display="https://minedocs.com/21/CastleMountain_FS_02262021.pdf" xr:uid="{16FF1EC3-CD99-4DDE-BBB1-EB2CC5C36EBE}"/>
    <hyperlink ref="AZ222" r:id="rId598" display="https://minedocs.com/21/CastleMountain_FS_02262021.pdf" xr:uid="{EDF9A0B2-0EC6-4A7D-B7E2-5677D9E9D333}"/>
    <hyperlink ref="AZ548" r:id="rId599" display="https://minedocs.com/20/Hycroft-Summary-Technical-Report-07312019.pdf" xr:uid="{6E04BC1B-0EF6-4947-B318-BD0D39520F00}"/>
    <hyperlink ref="AZ549" r:id="rId600" display="https://minedocs.com/20/Hycroft-Summary-Technical-Report-07312019.pdf" xr:uid="{4D3FC86A-4A2B-4944-B2AE-A27368BACA7C}"/>
    <hyperlink ref="AZ345" r:id="rId601" location=":~:text=Table_title:%20Commodity%20Production%20Table_content:%20header:%20%7C%20Commodity,Equivalent%20%7C%20Units:%20oz%20%7C%202018:%20%7C" display="https://miningdataonline.com/property/639/Rawhide-Mine.aspx - :~:text=Table_title:%20Commodity%20Production%20Table_content:%20header:%20%7C%20Commodity,Equivalent%20%7C%20Units:%20oz%20%7C%202018:%20%7C" xr:uid="{3616CA02-D0C7-420F-BC86-EE31A7EBB3FC}"/>
    <hyperlink ref="AZ1032" r:id="rId602" display="https://www.i80gold.com/wp-content/uploads/2025/03/i-80-Gold-Corp.-Ruby-Hill-43-101-PEA-Technical-Report-Final-03_31_25.pdf" xr:uid="{9A081F0A-2726-43E8-A5E5-D31B27EA2E3C}"/>
    <hyperlink ref="AZ1033" r:id="rId603" display="https://www.i80gold.com/wp-content/uploads/2025/03/i-80-Gold-Corp.-Ruby-Hill-43-101-PEA-Technical-Report-Final-03_31_25.pdf" xr:uid="{1656E1DC-DCCA-46A7-99C6-4372400E6AEA}"/>
    <hyperlink ref="AZ147" r:id="rId604" display="https://borealismining.com/wp-content/uploads/2024/10/Borealis_NI43101_Report.pdf" xr:uid="{864D1125-22AA-4CBF-9DC0-5D922C18D608}"/>
    <hyperlink ref="AZ149" r:id="rId605" display="https://borealismining.com/wp-content/uploads/2024/10/Borealis_NI43101_Report.pdf" xr:uid="{833D6337-88A6-4083-AECB-8DE8BEEBE19E}"/>
    <hyperlink ref="AZ148" r:id="rId606" display="https://borealismining.com/wp-content/uploads/2024/10/Borealis_NI43101_Report.pdf" xr:uid="{4A3611AA-5669-48A9-9F0D-107F571D9707}"/>
    <hyperlink ref="AZ150" r:id="rId607" display="https://borealismining.com/wp-content/uploads/2024/10/Borealis_NI43101_Report.pdf" xr:uid="{1708CB14-F2DB-4627-BA9D-680768793A69}"/>
    <hyperlink ref="AZ651" r:id="rId608" display="https://discoveryalert.com.au/advanced-pressure-oxidation-systems-nevada-mineral-recovery-2026/" xr:uid="{1D4A6DEC-BB6C-47CE-B790-CE2C161D19AE}"/>
    <hyperlink ref="AZ477" r:id="rId609" display="https://www.i80gold.com/wp-content/uploads/2025/03/Granite-Creek-PEA-Technical-Report-Final-03_31_25.pdf" xr:uid="{DA3D3B64-7EBE-45CF-A949-BF3EB72CA886}"/>
    <hyperlink ref="AZ976" r:id="rId610" display="http://content.stockpr.com/pershinggold/files/pages/relief-canyon/technical-reports/Relief+Canyon_2015_Technical_Report_v8.pdf" xr:uid="{B29C7222-5E51-4E56-91D6-E15D31FF1CFA}"/>
    <hyperlink ref="AZ977" r:id="rId611" display="http://content.stockpr.com/pershinggold/files/pages/relief-canyon/technical-reports/Relief+Canyon_2015_Technical_Report_v8.pdf" xr:uid="{0F2674A3-7A20-461F-B507-876380CF6E89}"/>
    <hyperlink ref="AZ85" r:id="rId612" display="https://www.canadianminingjournal.com/featured-article/good-news-from-bagdad-the-mine/" xr:uid="{C884564B-F593-49BB-97A1-5C5EE298A5F6}"/>
    <hyperlink ref="AZ86" r:id="rId613" display="https://www.canadianminingjournal.com/featured-article/good-news-from-bagdad-the-mine/" xr:uid="{5E4AD2C1-FD22-4900-8995-6785C8AE8342}"/>
    <hyperlink ref="AZ246" r:id="rId614" display="https://www.sec.gov/Archives/edgar/data/831259/000083125922000009/fcx-20211231.htm" xr:uid="{A7A3607D-58B5-42BA-A2D0-CE805DF7D9F8}"/>
    <hyperlink ref="AZ242" r:id="rId615" display="https://www.sec.gov/Archives/edgar/data/831259/000083125922000009/fcx-20211231.htm" xr:uid="{3C81BC7E-1EE4-40A7-BD7A-76ED778AC024}"/>
    <hyperlink ref="AZ243" r:id="rId616" display="https://www.sec.gov/Archives/edgar/data/831259/000083125922000009/fcx-20211231.htm" xr:uid="{733E4F66-5361-4D59-861A-4D06F3B65871}"/>
    <hyperlink ref="AZ371" r:id="rId617" display="https://minedocs.com/23/Eagle-TR-12312022.pdf" xr:uid="{DAFC69FC-28C1-4C21-A27E-4ACE543E8241}"/>
    <hyperlink ref="AZ373" r:id="rId618" display="https://minedocs.com/23/Eagle-TR-12312022.pdf" xr:uid="{DBE5EEEB-849A-44FC-8716-77E59991F292}"/>
    <hyperlink ref="AZ372" r:id="rId619" display="https://minedocs.com/23/Eagle-TR-12312022.pdf" xr:uid="{B8A3EC1A-AFFB-478F-81F2-02C2E28420E8}"/>
    <hyperlink ref="AZ370" r:id="rId620" display="https://minedocs.com/23/Eagle-TR-12312022.pdf" xr:uid="{AC2CF5FE-D0A1-488E-B4B1-69FD51AAE90B}"/>
    <hyperlink ref="AZ767" r:id="rId621" display="https://www.fcx.com/sites/fcx/files/documents/operations/TRS-morenci.pdf" xr:uid="{EFAF21F9-C629-4543-96F2-9768735DD1BB}"/>
    <hyperlink ref="AZ770" r:id="rId622" display="https://www.fcx.com/sites/fcx/files/documents/operations/TRS-morenci.pdf" xr:uid="{44E91480-BD44-4602-BFB0-303870A3400B}"/>
    <hyperlink ref="AZ1095" r:id="rId623" display="https://wp-andeanpm-2023.s3.ca-central-1.amazonaws.com/media/2024/02/28203450/Soledad-Mountain-Technical-Report-2023-31Jan24-FINAL.pdf" xr:uid="{62D6EB2A-8AD2-4BFA-AD16-80B022CA5F4A}"/>
    <hyperlink ref="AZ1097" r:id="rId624" display="https://wp-andeanpm-2023.s3.ca-central-1.amazonaws.com/media/2024/02/28203450/Soledad-Mountain-Technical-Report-2023-31Jan24-FINAL.pdf" xr:uid="{A904A4AF-3985-40B7-A298-E6590DEA89D6}"/>
    <hyperlink ref="AZ1094" r:id="rId625" display="https://wp-andeanpm-2023.s3.ca-central-1.amazonaws.com/media/2024/02/28203450/Soledad-Mountain-Technical-Report-2023-31Jan24-FINAL.pdf" xr:uid="{E5165F93-33B7-4646-AF82-70CC6AEA029B}"/>
    <hyperlink ref="AZ1158" r:id="rId626" display="https://minedocs.com/19/Sunshine-PEA-01172020.pdf" xr:uid="{CDE4CCC7-AEDF-44D0-8A44-50ADFA94CB94}"/>
    <hyperlink ref="AZ1157" r:id="rId627" display="https://minedocs.com/19/Sunshine-PEA-01172020.pdf" xr:uid="{18D0457C-348E-47E0-88BB-A9C6A9080686}"/>
    <hyperlink ref="AZ1152" r:id="rId628" display="https://minedocs.com/19/Sunshine-PEA-01172020.pdf" xr:uid="{75BFCCB7-AC06-4C01-8CAD-81E5ACC8290C}"/>
    <hyperlink ref="AZ1154" r:id="rId629" display="https://minedocs.com/19/Sunshine-PEA-01172020.pdf" xr:uid="{FA87DA66-E029-4449-B6B5-209F6221E0B9}"/>
    <hyperlink ref="AZ1156" r:id="rId630" display="https://minedocs.com/19/Sunshine-PEA-01172020.pdf" xr:uid="{003AE9A6-6A16-46DB-ACBA-67C4BF9DA6EB}"/>
    <hyperlink ref="AZ1155" r:id="rId631" display="https://minedocs.com/19/Sunshine-PEA-01172020.pdf" xr:uid="{FEE5D663-7CFB-4116-AA67-F3C886F26C74}"/>
    <hyperlink ref="AZ1153" r:id="rId632" display="https://minedocs.com/19/Sunshine-PEA-01172020.pdf" xr:uid="{C39A63ED-E958-415E-9E19-C7A758D19D4B}"/>
    <hyperlink ref="AZ1134" r:id="rId633" display="https://www.sec.gov/Archives/edgar/data/1526243/000110465922069319/tm2217499d1_ex96-1.htm" xr:uid="{AD3EAA01-4D34-4FAE-8A02-489C179F696E}"/>
    <hyperlink ref="AZ1133" r:id="rId634" display="https://www.sec.gov/Archives/edgar/data/1526243/000110465922069319/tm2217499d1_ex96-1.htm" xr:uid="{1046BF0B-EB35-42F4-B23E-DD624708D4F6}"/>
    <hyperlink ref="AZ1132" r:id="rId635" display="https://www.sec.gov/Archives/edgar/data/1526243/000110465922069319/tm2217499d1_ex96-1.htm" xr:uid="{D5F032F3-DD55-4EE2-B1E7-60257E4FA82E}"/>
    <hyperlink ref="AZ1136" r:id="rId636" display="https://www.sec.gov/Archives/edgar/data/1526243/000110465922069319/tm2217499d1_ex96-1.htm" xr:uid="{0FC93AA9-0F54-4A8D-A32F-50F61B94EB78}"/>
    <hyperlink ref="AZ1135" r:id="rId637" display="https://www.sec.gov/Archives/edgar/data/1526243/000110465922069319/tm2217499d1_ex96-1.htm" xr:uid="{DB59AB11-4539-4320-A463-E53C293A06C3}"/>
    <hyperlink ref="AZ1105" r:id="rId638" display="https://s203.q4cdn.com/782025361/files/doc_financials/2022/ar/2022-Annual-Report.pdf" xr:uid="{CEE1A67B-EB87-4A0C-9957-333205DB8E11}"/>
    <hyperlink ref="AZ405" r:id="rId639" display="https://pubs.usgs.gov/myb/vol1/2022/myb1-2022-beryllium.pdf" xr:uid="{363861FE-DA5E-45E6-BDD9-069B7B6BB129}"/>
    <hyperlink ref="AZ987" r:id="rId640" display="https://wcsecure.weblink.com.au/pdf/INR/02952628.pdf" xr:uid="{FF7F70C0-BA05-4EC5-8B05-1930DDD7AC8A}"/>
    <hyperlink ref="AZ988" r:id="rId641" display="https://wcsecure.weblink.com.au/pdf/INR/02952628.pdf" xr:uid="{DD498A14-24A5-4FC3-A756-2C141E97722A}"/>
    <hyperlink ref="AZ674" r:id="rId642" location="i345bb8d1774249fe8603f9dfff2b4fe2" display="https://www.sec.gov/Archives/edgar/data/915913/000091591324000016/exhibit9661231202310-k.htm - i345bb8d1774249fe8603f9dfff2b4fe2" xr:uid="{562D5FE9-502A-4E69-BAA3-64EF81694E72}"/>
    <hyperlink ref="AZ675" r:id="rId643" location="i345bb8d1774249fe8603f9dfff2b4fe2" display="https://www.sec.gov/Archives/edgar/data/915913/000091591324000016/exhibit9661231202310-k.htm - i345bb8d1774249fe8603f9dfff2b4fe2" xr:uid="{AE6444AF-7864-4206-88EF-B5D25B6DE3DE}"/>
    <hyperlink ref="AZ1104" r:id="rId644" display="https://d9-wret.s3-us-west-2.amazonaws.com/assets/palladium/production/mineral-pubs/bromine/myb1-2016-bromi.pdf" xr:uid="{429EC299-0EDA-4327-B7CB-1A6CE1DE1610}"/>
    <hyperlink ref="AZ1263" r:id="rId645" display="https://d9-wret.s3-us-west-2.amazonaws.com/assets/palladium/production/mineral-pubs/bromine/myb1-2016-bromi.pdf" xr:uid="{AFFC5B08-C0B6-4A59-B89E-972B9288CDF4}"/>
    <hyperlink ref="AZ225" r:id="rId646" display="https://d9-wret.s3-us-west-2.amazonaws.com/assets/palladium/production/mineral-pubs/bromine/myb1-2016-bromi.pdf" xr:uid="{A6FBF627-A44F-4F33-8B95-092E6AF4A789}"/>
    <hyperlink ref="AZ673" r:id="rId647" display="https://d9-wret.s3-us-west-2.amazonaws.com/assets/palladium/production/mineral-pubs/bromine/myb1-2016-bromi.pdf" xr:uid="{FF377274-4923-4F10-AF57-E14C565EC074}"/>
    <hyperlink ref="AZ383" r:id="rId648" display="https://pubs.usgs.gov/myb/vol1/2019/myb1-2019-cadmium.pdf" xr:uid="{4B5D69D0-27DF-4CCA-8BCA-A085F3827786}"/>
    <hyperlink ref="AZ725" r:id="rId649" display="https://pubs.usgs.gov/myb/vol1/2019/myb1-2019-cadmium.pdf" xr:uid="{7C7FE48F-665C-426E-A6B9-4C766A7EAFD3}"/>
    <hyperlink ref="AZ257" r:id="rId650" display="https://pubs.usgs.gov/myb/vol1/2019/myb1-2019-cadmium.pdf" xr:uid="{BEB9E750-917D-4666-B07E-506757ED721E}"/>
    <hyperlink ref="AZ626" r:id="rId651" display="https://pubs.usgs.gov/myb/vol1/2019/myb1-2019-cadmium.pdf" xr:uid="{715254DD-4BCF-4FAC-B614-A624C78F7D23}"/>
    <hyperlink ref="AZ261" r:id="rId652" location=":~:text=%E2%80%9CIn%20particular,%20demand%20for%20gallium,highlighted,%E2%80%9D%20the%20spokesperson%20said." display="https://www.fastmarkets.com/insights/korea-zincs-jpmorgan-backed-crucible-plant-to-focus-on-us-material/ - :~:text=%E2%80%9CIn%20particular,%20demand%20for%20gallium,highlighted,%E2%80%9D%20the%20spokesperson%20said." xr:uid="{AC027F88-B6CB-49B7-9CE8-A2E5ACF7EA9D}"/>
    <hyperlink ref="AZ256" r:id="rId653" location=":~:text=%E2%80%9CIn%20particular,%20demand%20for%20gallium,highlighted,%E2%80%9D%20the%20spokesperson%20said." display="https://www.fastmarkets.com/insights/korea-zincs-jpmorgan-backed-crucible-plant-to-focus-on-us-material/ - :~:text=%E2%80%9CIn%20particular,%20demand%20for%20gallium,highlighted,%E2%80%9D%20the%20spokesperson%20said." xr:uid="{D227862E-4FD8-4144-B122-FD5D56ADD8E2}"/>
    <hyperlink ref="AZ258" r:id="rId654" location=":~:text=%E2%80%9CIn%20particular,%20demand%20for%20gallium,highlighted,%E2%80%9D%20the%20spokesperson%20said." display="https://www.fastmarkets.com/insights/korea-zincs-jpmorgan-backed-crucible-plant-to-focus-on-us-material/ - :~:text=%E2%80%9CIn%20particular,%20demand%20for%20gallium,highlighted,%E2%80%9D%20the%20spokesperson%20said." xr:uid="{F0113700-EA14-48C0-963F-AFEB7D0A0204}"/>
    <hyperlink ref="AZ260" r:id="rId655" location=":~:text=%E2%80%9CIn%20particular,%20demand%20for%20gallium,highlighted,%E2%80%9D%20the%20spokesperson%20said." display="https://www.fastmarkets.com/insights/korea-zincs-jpmorgan-backed-crucible-plant-to-focus-on-us-material/ - :~:text=%E2%80%9CIn%20particular,%20demand%20for%20gallium,highlighted,%E2%80%9D%20the%20spokesperson%20said." xr:uid="{7544D602-54A8-42C6-918D-C4C761E88058}"/>
    <hyperlink ref="AZ255" r:id="rId656" location=":~:text=%E2%80%9CIn%20particular,%20demand%20for%20gallium,highlighted,%E2%80%9D%20the%20spokesperson%20said." display="https://www.fastmarkets.com/insights/korea-zincs-jpmorgan-backed-crucible-plant-to-focus-on-us-material/ - :~:text=%E2%80%9CIn%20particular,%20demand%20for%20gallium,highlighted,%E2%80%9D%20the%20spokesperson%20said." xr:uid="{60D0AF0F-DFE1-4959-84F2-5936C74DF604}"/>
    <hyperlink ref="AZ265" r:id="rId657" location=":~:text=%E2%80%9CIn%20particular,%20demand%20for%20gallium,highlighted,%E2%80%9D%20the%20spokesperson%20said." display="https://www.fastmarkets.com/insights/korea-zincs-jpmorgan-backed-crucible-plant-to-focus-on-us-material/ - :~:text=%E2%80%9CIn%20particular,%20demand%20for%20gallium,highlighted,%E2%80%9D%20the%20spokesperson%20said." xr:uid="{9DD40AD1-4A9F-45C3-8989-8A408E0C6FD2}"/>
    <hyperlink ref="AZ259" r:id="rId658" location=":~:text=%E2%80%9CIn%20particular,%20demand%20for%20gallium,highlighted,%E2%80%9D%20the%20spokesperson%20said." display="https://www.fastmarkets.com/insights/korea-zincs-jpmorgan-backed-crucible-plant-to-focus-on-us-material/ - :~:text=%E2%80%9CIn%20particular,%20demand%20for%20gallium,highlighted,%E2%80%9D%20the%20spokesperson%20said." xr:uid="{3D79587B-6868-4BCB-9705-C33566EFF7B0}"/>
    <hyperlink ref="AZ252" r:id="rId659" location=":~:text=%E2%80%9CIn%20particular,%20demand%20for%20gallium,highlighted,%E2%80%9D%20the%20spokesperson%20said." display="https://www.fastmarkets.com/insights/korea-zincs-jpmorgan-backed-crucible-plant-to-focus-on-us-material/ - :~:text=%E2%80%9CIn%20particular,%20demand%20for%20gallium,highlighted,%E2%80%9D%20the%20spokesperson%20said." xr:uid="{9F364E4C-A815-40E5-8DB9-55FFF4C9E983}"/>
    <hyperlink ref="AZ254" r:id="rId660" location=":~:text=%E2%80%9CIn%20particular,%20demand%20for%20gallium,highlighted,%E2%80%9D%20the%20spokesperson%20said." display="https://www.fastmarkets.com/insights/korea-zincs-jpmorgan-backed-crucible-plant-to-focus-on-us-material/ - :~:text=%E2%80%9CIn%20particular,%20demand%20for%20gallium,highlighted,%E2%80%9D%20the%20spokesperson%20said." xr:uid="{EE9E871A-90B0-4C24-BAEC-8D6238F08868}"/>
    <hyperlink ref="AZ253" r:id="rId661" location=":~:text=%E2%80%9CIn%20particular,%20demand%20for%20gallium,highlighted,%E2%80%9D%20the%20spokesperson%20said." display="https://www.fastmarkets.com/insights/korea-zincs-jpmorgan-backed-crucible-plant-to-focus-on-us-material/ - :~:text=%E2%80%9CIn%20particular,%20demand%20for%20gallium,highlighted,%E2%80%9D%20the%20spokesperson%20said." xr:uid="{D78633A2-36CB-4D35-B971-F2D8380ECCC4}"/>
    <hyperlink ref="AZ264" r:id="rId662" location=":~:text=%E2%80%9CIn%20particular,%20demand%20for%20gallium,highlighted,%E2%80%9D%20the%20spokesperson%20said." display="https://www.fastmarkets.com/insights/korea-zincs-jpmorgan-backed-crucible-plant-to-focus-on-us-material/ - :~:text=%E2%80%9CIn%20particular,%20demand%20for%20gallium,highlighted,%E2%80%9D%20the%20spokesperson%20said." xr:uid="{76E3B676-65CC-49EA-8A24-3144840DF3FD}"/>
    <hyperlink ref="AZ830" r:id="rId663" display="https://minedocs.com/23/NorthMet-FS-12302022.pdf" xr:uid="{C196AC6C-641B-4DF7-AB70-78C71A1CE0EF}"/>
    <hyperlink ref="AZ671" r:id="rId664" display="https://pubs.usgs.gov/myb/vol1/2023/myb1-2023-cobalt.pdf" xr:uid="{3A456309-DA25-4873-BC69-3945CA696AD4}"/>
    <hyperlink ref="AZ672" r:id="rId665" display="https://pubs.usgs.gov/myb/vol1/2023/myb1-2023-cobalt.pdf" xr:uid="{C84066D9-3412-4C21-8239-92F572E9BE48}"/>
    <hyperlink ref="AZ670" r:id="rId666" display="https://pubs.usgs.gov/myb/vol1/2023/myb1-2023-cobalt.pdf" xr:uid="{92147B0D-6690-49D3-9BD6-D5ADD3B4578F}"/>
    <hyperlink ref="AZ1119" r:id="rId667" location=":~:text=First%20mover%20advantage%20is%20a,full%20ramp-up%20in%202026." display="https://www.usstrategicmetals.com/us-strategic-metals-solving-the-critical-battery-materials-supply-chain-puzzle/ - :~:text=First%20mover%20advantage%20is%20a,full%20ramp-up%20in%202026." xr:uid="{A3CDA9D4-EE60-4BB3-AA37-3AEAF2B9F360}"/>
    <hyperlink ref="AZ1120" r:id="rId668" location=":~:text=First%20mover%20advantage%20is%20a,full%20ramp-up%20in%202026." display="https://www.usstrategicmetals.com/us-strategic-metals-solving-the-critical-battery-materials-supply-chain-puzzle/ - :~:text=First%20mover%20advantage%20is%20a,full%20ramp-up%20in%202026." xr:uid="{0D11261B-551F-469A-9359-559ABE944E09}"/>
    <hyperlink ref="AZ1122" r:id="rId669" location=":~:text=First%20mover%20advantage%20is%20a,full%20ramp-up%20in%202026." display="https://www.usstrategicmetals.com/us-strategic-metals-solving-the-critical-battery-materials-supply-chain-puzzle/ - :~:text=First%20mover%20advantage%20is%20a,full%20ramp-up%20in%202026." xr:uid="{E007FDA3-8F04-4819-A86F-193BB58E3960}"/>
    <hyperlink ref="AZ1121" r:id="rId670" location=":~:text=First%20mover%20advantage%20is%20a,full%20ramp-up%20in%202026." display="https://www.usstrategicmetals.com/us-strategic-metals-solving-the-critical-battery-materials-supply-chain-puzzle/ - :~:text=First%20mover%20advantage%20is%20a,full%20ramp-up%20in%202026." xr:uid="{1319E12D-F261-4DC9-8EB7-853BBD0C24A2}"/>
    <hyperlink ref="AZ171" r:id="rId671" display="https://d9-wret.s3.us-west-2.amazonaws.com/assets/palladium/production/mineral-pubs/copper/myb1-2012-coppe.pdf" xr:uid="{B3BD6900-51F6-4C04-B956-ACD5871F624E}"/>
    <hyperlink ref="AZ129" r:id="rId672" display="https://minedocs.com/31/Sandfire-Resources-PR(PFS)-12162025.pdf" xr:uid="{06301957-7E0F-4C33-AFC7-D13082140049}"/>
    <hyperlink ref="AZ211" r:id="rId673" xr:uid="{5C191E7A-E487-429C-9410-D721F83EA20F}"/>
    <hyperlink ref="AZ212" r:id="rId674" xr:uid="{0D13FDC9-BA16-4E3E-A21B-B784B465F5A1}"/>
    <hyperlink ref="AZ646" r:id="rId675" location=":~:text=Our%20focus%20now%20turns%20to,pounds%20of%20annual%20copper%20production.%E2%80%9D" display="https://www.juniorminingnetwork.com/junior-miner-news/press-releases/1873-tsx-venture/vlt/115689-allied-copper-signs-option-agreement-to-acquire-100-of-stateline-property-co-ut-usa.html - :~:text=Our%20focus%20now%20turns%20to,pounds%20of%20annual%20copper%20production.%E2%80%9D" xr:uid="{BF56D8AD-4FDA-40ED-B7EA-9D027491B0BD}"/>
    <hyperlink ref="AZ799" r:id="rId676" display="https://www.argusmedia.com/zh/news-and-insights/latest-market-news/2022200-sdi-la-farga-to-add-second-furnace" xr:uid="{DDE5124D-60AE-4C39-9810-03828F7AEDB1}"/>
    <hyperlink ref="AZ812" r:id="rId677" display="https://www.miningnewsnorth.com/story/2011/03/27/news/fire-river-resumes-mining-at-nixon-fork/2387.html" xr:uid="{F19CA0FA-50AC-4230-A588-C75434F94129}"/>
    <hyperlink ref="AZ813" r:id="rId678" display="https://www.miningnewsnorth.com/story/2011/03/27/news/fire-river-resumes-mining-at-nixon-fork/2387.html" xr:uid="{A5D67BEE-518E-4DE3-9B39-7C5F3AA58730}"/>
    <hyperlink ref="AZ950" r:id="rId679" display="https://geostatsystems.com/documents/NI43-101_TR_Integrated-Feasibility-Study_Pumpkin-Hollow-Project_July092015.pdf" xr:uid="{92196A9C-9A1B-436E-A7F2-454E536ADD36}"/>
    <hyperlink ref="AZ951" r:id="rId680" display="https://geostatsystems.com/documents/NI43-101_TR_Integrated-Feasibility-Study_Pumpkin-Hollow-Project_July092015.pdf" xr:uid="{5FCD818B-D88D-4D1C-8DF2-FE9936BA2178}"/>
    <hyperlink ref="AZ949" r:id="rId681" display="https://geostatsystems.com/documents/NI43-101_TR_Integrated-Feasibility-Study_Pumpkin-Hollow-Project_July092015.pdf" xr:uid="{7676196B-EF5C-44DD-960E-D79BF541C968}"/>
    <hyperlink ref="AZ965" r:id="rId682" display="https://tucson.com/news/local/mine-tales-ray-mining-district-has-history-of-more-than-a-century/article_5560fe20-f4c4-559f-8298-1c8be0b75c77.html" xr:uid="{CA982C3C-044B-4B96-9F35-4E3DA3325E63}"/>
    <hyperlink ref="AZ966" r:id="rId683" display="https://tucson.com/news/local/mine-tales-ray-mining-district-has-history-of-more-than-a-century/article_5560fe20-f4c4-559f-8298-1c8be0b75c77.html" xr:uid="{9175585B-0795-457E-B8A6-702801E47E01}"/>
    <hyperlink ref="AZ963" r:id="rId684" display="https://tucson.com/news/local/mine-tales-ray-mining-district-has-history-of-more-than-a-century/article_5560fe20-f4c4-559f-8298-1c8be0b75c77.html" xr:uid="{682EADC1-9F05-4B1F-B787-F0715AE0C48A}"/>
    <hyperlink ref="AZ1035" r:id="rId685" display="https://pubs.usgs.gov/myb/vol1/2021/myb1-2021-copper.pdf" xr:uid="{FAE000D7-6DBF-45C5-AB54-3A84DC69DB19}"/>
    <hyperlink ref="AZ1078" r:id="rId686" display="https://www.sec.gov/Archives/edgar/data/831259/000083125922000009/fcx-20211231.htm" xr:uid="{A55C8770-50E0-41AA-AD8D-4C83F08BF181}"/>
    <hyperlink ref="AZ1085" r:id="rId687" display="https://www.sec.gov/Archives/edgar/data/831259/000083125922000009/fcx-20211231.htm" xr:uid="{16B6DD37-00B9-4F44-B0E5-415D77079C17}"/>
    <hyperlink ref="AZ1080" r:id="rId688" display="https://www.sec.gov/Archives/edgar/data/831259/000083125922000009/fcx-20211231.htm" xr:uid="{48D824BA-6F9F-4A3D-A2ED-5143632B1733}"/>
    <hyperlink ref="AZ1205" r:id="rId689" display="https://d9-wret.s3.us-west-2.amazonaws.com/assets/palladium/production/mineral-pubs/copper/240496.pdf" xr:uid="{F68E63D6-2D8D-4926-8233-52A03B75DC7C}"/>
    <hyperlink ref="AZ176" r:id="rId690" display="https://minedocs.com/21/Doe_Run-History_of_Mining-2008.pdf" xr:uid="{E49177C9-D4E4-435D-A139-24CDAE8898C3}"/>
    <hyperlink ref="AZ13" r:id="rId691" display="https://fintel.io/doc/sec-freeport-mcmoran-inc-831259-10k-2023-february-15-19403-5016" xr:uid="{D4E08535-446C-4675-87A9-4375AFC35F50}"/>
    <hyperlink ref="AZ14" r:id="rId692" display="https://fintel.io/doc/sec-freeport-mcmoran-inc-831259-10k-2023-february-15-19403-5016" xr:uid="{3E0AAEF5-B93E-4DF2-8242-9CC38896FFC7}"/>
    <hyperlink ref="AZ685" r:id="rId693" display="https://pubs.usgs.gov/myb/vol1/2023/myb1-2023-manganese.pdf" xr:uid="{5CE67E09-789E-448A-9DBF-048BC10DFF77}"/>
    <hyperlink ref="AZ684" r:id="rId694" display="https://pubs.usgs.gov/myb/vol1/2023/myb1-2023-manganese.pdf" xr:uid="{D30E3381-9B9F-4FDF-B5DA-E43F2C8112CC}"/>
    <hyperlink ref="AZ995" r:id="rId695" display="https://pubs.usgs.gov/myb/vol1/2022/myb1-2022-graphite.pdf" xr:uid="{F51CF142-0967-4E0C-9111-25691D74F17B}"/>
    <hyperlink ref="AZ1042" r:id="rId696" display="https://pubs.usgs.gov/myb/vol1/2022/myb1-2022-graphite.pdf" xr:uid="{E169507B-D9B4-4389-B6D5-3D804F5D5CEB}"/>
    <hyperlink ref="AZ532" r:id="rId697" display="https://superiorgraphite.com/wp-content/uploads/2025/04/Superior-Graphite-Press-Release_06-2023.pdf" xr:uid="{23DCB287-44AA-405C-B338-4BA71F96F497}"/>
    <hyperlink ref="AZ250" r:id="rId698" location=":~:text=Anovion%27s%20products%20are%20used%20in%20a%20variety,*%20**Manufacturing%20practices**%20Follows%20environmentally%20responsible%20practices" display="https://www.pyrotek.com/blog/anovion-launches-as-a-leader-in-the-north-american-battery-materials-supply-chain-bringing-proven-anode-technologies-and-over-140-years-of-history-in-synthetic-graphite-production/ - :~:text=Anovion%27s%20products%20are%20used%20in%20a%20variety,*%20**Manufacturing%20practices**%20Follows%20environmentally%20responsible%20practices" xr:uid="{3AAF4286-FB9C-452C-8FF7-C70A89F90A0D}"/>
    <hyperlink ref="AZ276" r:id="rId699" display="https://www.mersen.com/en/news-and-events/mersen-inaugurates-graphite-manufacturing-capacities-usa" xr:uid="{19FC8BE0-FCC6-4870-95FC-99B226D77EED}"/>
    <hyperlink ref="AZ308" r:id="rId700" display="https://www.sec.gov/Archives/edgar/data/839470/000110465924107335/tm2425743d1_ex96-1.htm" xr:uid="{100C6A63-AFA4-40AF-85CF-FAAACBD0A8B8}"/>
    <hyperlink ref="AZ588" r:id="rId701" display="https://westwaterresources.com/operations/kellyton-processing-plant/default.aspx" xr:uid="{23488325-8B52-4C1D-8D1C-1E99872F3ABA}"/>
    <hyperlink ref="AZ526" r:id="rId702" location=":~:text=23/68,acquired%20TOKAI%20CARBON%20GE%20LLC." display="https://www.tokaicarbon.co.jp/en/ir/ebook/an201901/pageindices/index23.html - :~:text=23/68,acquired%20TOKAI%20CARBON%20GE%20LLC." xr:uid="{446B86EA-5FCE-4CA9-A21B-60BA1C79268F}"/>
    <hyperlink ref="AZ856" r:id="rId703" location=":~:text=23/68,acquired%20TOKAI%20CARBON%20GE%20LLC." display="https://www.tokaicarbon.co.jp/en/ir/ebook/an201901/pageindices/index23.html - :~:text=23/68,acquired%20TOKAI%20CARBON%20GE%20LLC." xr:uid="{D76E2282-AB04-4AD5-B0C7-04D8FABA2998}"/>
    <hyperlink ref="AZ772" r:id="rId704" location=":~:text=Carbon%20City,%20also%20known%20as%20the%20SGL,a%20branch%20of%20the%20National%20Carbon%20Company." display="https://www.thepaper.media/business/sgl-carbon-supplying-graphite-to-customers-around-the-globe/article_381b0b12-7123-11ef-a65b-c7cc2c8d21ec.html - :~:text=Carbon%20City,%20also%20known%20as%20the%20SGL,a%20branch%20of%20the%20National%20Carbon%20Company." xr:uid="{5F093C46-3E6B-4758-BF20-F61C493F29B9}"/>
    <hyperlink ref="AZ1111" r:id="rId705" display="https://www.sglcarbon.com/news/user-upload/SGL_Carbon_AR_2024_EN_s.pdf" xr:uid="{EA92F181-20F4-4D61-B885-5BE0E29281BD}"/>
    <hyperlink ref="AZ1034" r:id="rId706" display="https://www.entegris.com/en/home/about-us/news/entegris-increases-manufacturing-capacity-for-high-performance-materials.html" xr:uid="{BFCADDBF-31CE-40D7-A5EB-3C7E42166658}"/>
    <hyperlink ref="AZ342" r:id="rId707" display="https://pubs.usgs.gov/myb/vol1/2022/myb1-2022-titanium.pdf" xr:uid="{21115E9D-B1F3-48D1-9671-A5CB94D140EB}"/>
    <hyperlink ref="AZ396" r:id="rId708" display="https://www.niocorp.com/wp-content/uploads/NioCorp_June-2022_NI_43-101_Technical_Report.pdf" xr:uid="{F30DBADE-75C5-4426-86C2-47B1252AC5A4}"/>
    <hyperlink ref="AZ1212" r:id="rId709" display="https://pubs.usgs.gov/myb/vol1/2022/myb1-2022-titanium.pdf" xr:uid="{D6F12887-554E-4482-8F3F-D6870BA35BD8}"/>
    <hyperlink ref="AZ1213" r:id="rId710" display="https://pubs.usgs.gov/myb/vol1/2022/myb1-2022-titanium.pdf" xr:uid="{9CB3760A-67E0-466B-B926-AB3828DEDE96}"/>
    <hyperlink ref="AZ456" r:id="rId711" display="https://www.chemours.com/en/about-chemours/global-reach/southern-ionics-minerals" xr:uid="{20D75F72-195A-4CC6-9615-3B3D43CEFE94}"/>
    <hyperlink ref="AZ455" r:id="rId712" display="https://www.chemours.com/en/about-chemours/global-reach/southern-ionics-minerals" xr:uid="{CA1B74C6-75BD-4FCC-B6D7-E315136CEB6C}"/>
    <hyperlink ref="AZ569" r:id="rId713" display="https://usminecorp.com/ione-hmc-project/" xr:uid="{5AA02CE4-56AF-4E5E-AE64-29ADBABC9414}"/>
    <hyperlink ref="AZ568" r:id="rId714" display="https://usminecorp.com/ione-hmc-project/" xr:uid="{6E1470C7-95CB-4731-B1D2-C84C6D7D5A17}"/>
    <hyperlink ref="AZ26" r:id="rId715" display="https://pubs.usgs.gov/myb/vol1/2021/myb1-2021-zirconium-hafnium.pdf" xr:uid="{70885A6F-A954-4028-A407-FB6095040342}"/>
    <hyperlink ref="AZ27" r:id="rId716" display="https://pubs.usgs.gov/myb/vol1/2021/myb1-2021-zirconium-hafnium.pdf" xr:uid="{B10A854F-FE03-407C-AFAB-9ABDACFCDEF8}"/>
    <hyperlink ref="AZ846" r:id="rId717" display="https://pubs.usgs.gov/myb/vol1/2021/myb1-2021-zirconium-hafnium.pdf" xr:uid="{6F09B778-5AAF-498D-893C-91DABCAC77DF}"/>
    <hyperlink ref="AZ358" r:id="rId718" display="https://pubs.usgs.gov/myb/vol1/2023/myb1-2023-helium.pdf" xr:uid="{3C287D8E-16D7-4C12-A15F-B8A8AAA1C8C7}"/>
    <hyperlink ref="AZ642" r:id="rId719" display="https://pubs.usgs.gov/myb/vol1/2023/myb1-2023-helium.pdf" xr:uid="{FCD52043-060B-44E1-AB3D-F76F4637A9F6}"/>
    <hyperlink ref="AZ973" r:id="rId720" display="https://pubs.usgs.gov/myb/vol1/2023/myb1-2023-helium.pdf" xr:uid="{80954CFA-1540-42D2-ADDD-7C1946FEB27B}"/>
    <hyperlink ref="AZ790" r:id="rId721" display="https://pubs.usgs.gov/myb/vol1/2023/myb1-2023-helium.pdf" xr:uid="{0BB85370-FF73-4BC2-BB57-5E1BE33DB975}"/>
    <hyperlink ref="AZ1072" r:id="rId722" display="https://pubs.usgs.gov/myb/vol1/2023/myb1-2023-helium.pdf" xr:uid="{2FC63485-8081-489D-8035-E239493FBE42}"/>
    <hyperlink ref="AZ1151" r:id="rId723" display="https://pubs.usgs.gov/myb/vol1/2023/myb1-2023-helium.pdf" xr:uid="{23F9F159-3E37-4100-8DBB-222B276D690A}"/>
    <hyperlink ref="AZ616" r:id="rId724" display="https://pubs.usgs.gov/myb/vol1/2023/myb1-2023-helium.pdf" xr:uid="{257AE4A1-9644-4922-A22A-2A157DEEC4B0}"/>
    <hyperlink ref="AZ357" r:id="rId725" display="https://pubs.usgs.gov/myb/vol1/2023/myb1-2023-helium.pdf" xr:uid="{5807207D-503E-444C-AE82-1DACA9C7F3AE}"/>
    <hyperlink ref="AZ499" r:id="rId726" display="https://pubs.usgs.gov/myb/vol1/2023/myb1-2023-helium.pdf" xr:uid="{0084A848-51E7-44F0-A786-EDB428E8FF22}"/>
    <hyperlink ref="AZ529" r:id="rId727" display="https://pubs.usgs.gov/myb/vol1/2023/myb1-2023-helium.pdf" xr:uid="{0BE5DC09-F857-45D2-AC9A-BDB1FF5CB125}"/>
    <hyperlink ref="AZ552" r:id="rId728" display="https://pubs.usgs.gov/myb/vol1/2023/myb1-2023-helium.pdf" xr:uid="{39224FE2-9FD6-496A-AA28-BCEC56D0BED1}"/>
    <hyperlink ref="AZ857" r:id="rId729" display="https://pubs.usgs.gov/myb/vol1/2023/myb1-2023-helium.pdf" xr:uid="{DA21C6CA-8E67-4377-9638-08A5ABFDF2FD}"/>
    <hyperlink ref="AZ1013" r:id="rId730" display="https://pubs.usgs.gov/myb/vol1/2023/myb1-2023-helium.pdf" xr:uid="{ABA485A2-F850-480F-8E6C-CE8DCB3A22F0}"/>
    <hyperlink ref="AZ1025" r:id="rId731" display="https://pubs.usgs.gov/myb/vol1/2023/myb1-2023-helium.pdf" xr:uid="{A0276251-1EF8-4DDC-AADA-C6AAC7446211}"/>
    <hyperlink ref="AZ1224" r:id="rId732" display="https://pubs.usgs.gov/myb/vol1/2023/myb1-2023-helium.pdf" xr:uid="{318AE53F-1FD6-41D8-8437-3DD39C134E9A}"/>
    <hyperlink ref="AZ709" r:id="rId733" display="https://pubs.usgs.gov/myb/vol1/2023/myb1-2023-helium.pdf" xr:uid="{2D5F4B7D-A27E-430E-A076-2CF1510E6110}"/>
    <hyperlink ref="AZ601" r:id="rId734" display="https://pubs.usgs.gov/myb/vol1/2023/myb1-2023-helium.pdf" xr:uid="{970D8C61-3F63-4784-8EB9-E271AAF979AA}"/>
    <hyperlink ref="AZ1204" r:id="rId735" display="https://pubs.usgs.gov/myb/vol1/2023/myb1-2023-helium.pdf" xr:uid="{DFCA7F6F-59CF-4E21-A8D7-CBF4D1BEE78E}"/>
    <hyperlink ref="AZ645" r:id="rId736" display="https://pubs.usgs.gov/myb/vol1/2023/myb1-2023-helium.pdf" xr:uid="{FC87E0DA-3A28-430D-B94C-737EEE69BC89}"/>
    <hyperlink ref="AZ1117" r:id="rId737" display="https://pubs.usgs.gov/myb/vol1/2023/myb1-2023-helium.pdf" xr:uid="{8A6F0036-46D5-4212-9228-632BCE72A791}"/>
    <hyperlink ref="AZ580" r:id="rId738" display="https://pubs.usgs.gov/myb/vol1/2023/myb1-2023-helium.pdf" xr:uid="{3B33E038-530D-43BC-B9E1-543037F1E54A}"/>
    <hyperlink ref="AZ617" r:id="rId739" display="https://pubs.usgs.gov/myb/vol1/2023/myb1-2023-helium.pdf" xr:uid="{6084C693-8582-4857-B782-D8A861D3A019}"/>
    <hyperlink ref="AZ87" r:id="rId740" xr:uid="{9B9DC5E5-10D3-44D5-9C3F-62F11FAE3DD1}"/>
    <hyperlink ref="AZ776" r:id="rId741" xr:uid="{5E2F5FEE-7EC5-4597-B7B5-C2BE16644A72}"/>
    <hyperlink ref="AZ325" r:id="rId742" xr:uid="{16A3FA6A-1327-43D5-BF61-B7F7B6BDBF24}"/>
    <hyperlink ref="AZ322" r:id="rId743" xr:uid="{76618126-5AF1-495E-91AD-849CA4D23C4C}"/>
    <hyperlink ref="AZ1244" r:id="rId744" xr:uid="{E7B96A6C-AE68-4AFD-9AF3-4CC5C8BE264E}"/>
    <hyperlink ref="AZ418" r:id="rId745" xr:uid="{8E5C209B-5C64-4086-A13A-4B34600572F3}"/>
    <hyperlink ref="AZ1240" r:id="rId746" xr:uid="{C9945C91-3426-4D3D-8222-6A3FA7690912}"/>
    <hyperlink ref="AZ1163" r:id="rId747" xr:uid="{01BCF0D3-F77D-4DC2-BC59-E0CC65308139}"/>
    <hyperlink ref="AZ175" r:id="rId748" xr:uid="{7D7D68EA-0CB0-47F8-A327-901297848BE4}"/>
    <hyperlink ref="AZ169" r:id="rId749" xr:uid="{3DA7804D-6012-4F29-AD39-36DE8FAF7552}"/>
    <hyperlink ref="AZ862" r:id="rId750" xr:uid="{59C729A0-2EC4-4B36-8C11-FF653004F7D8}"/>
    <hyperlink ref="AZ469" r:id="rId751" xr:uid="{5A04359C-D7D7-4924-B0C4-C37F9EA82CBD}"/>
    <hyperlink ref="AZ590" r:id="rId752" xr:uid="{4A6E3A29-5D32-4F70-9C1D-3C4626BBA53A}"/>
    <hyperlink ref="AZ90" r:id="rId753" location="americas-baldmountainusa" xr:uid="{84477FC0-6BE5-43A1-96F9-A5430B7AAB38}"/>
    <hyperlink ref="AZ1028" r:id="rId754" location="americas-baldmountainusa" xr:uid="{2B089192-A846-4366-9DAE-C3F25FF1DEF5}"/>
    <hyperlink ref="AZ426" r:id="rId755" xr:uid="{9C7AC9AB-312D-43E8-89F4-EE254C041415}"/>
    <hyperlink ref="AZ688" r:id="rId756" display="https://minerals.nv.gov/uploadedFiles/mineralsnvgov/content/Programs/Mining/2022 Metallic Production by mine.pdf" xr:uid="{DF696262-019F-4AFF-A34D-D4FF0024814B}"/>
    <hyperlink ref="AZ689" r:id="rId757" xr:uid="{261C76A7-BFAB-4D5D-85BD-F2BF895DECEF}"/>
    <hyperlink ref="AZ1222" r:id="rId758" xr:uid="{3485887F-3781-4BD9-9ADB-65B4A1688377}"/>
    <hyperlink ref="AZ705" r:id="rId759" xr:uid="{64E8514D-74E1-491F-B524-47941FE0EDA5}"/>
    <hyperlink ref="AZ574" r:id="rId760" display="https://www.mesabimetallics.com/product/" xr:uid="{7AE61261-D555-408D-8697-D62453322599}"/>
    <hyperlink ref="AZ573" r:id="rId761" display="https://www.mesabimetallics.com/product/" xr:uid="{E7B937CA-E12B-4AC6-AB4A-99E2378CA01F}"/>
    <hyperlink ref="AZ179" r:id="rId762" display="https://pubs.usgs.gov/myb/vol1/2019/myb1-2019-lead.pdf" xr:uid="{C193F54A-0819-442E-AF1F-95FAF008704A}"/>
    <hyperlink ref="AZ430" r:id="rId763" display="https://nepis.epa.gov/Exe/ZyNET.exe/2000NSWQ.txt?ZyActionD=ZyDocument&amp;Client=EPA&amp;Index=1991%20Thru%201994&amp;Docs=&amp;Query=&amp;Time=&amp;EndTime=&amp;SearchMethod=1&amp;TocRestrict=n&amp;Toc=&amp;TocEntry=&amp;QField=&amp;QFieldYear=&amp;QFieldMonth=&amp;QFieldDay=&amp;UseQField=&amp;IntQFieldOp=0&amp;ExtQFieldOp=0&amp;XmlQuery=&amp;File=D%3A%5CZYFILES%5CINDEX%20DATA%5C91THRU94%5CTXT%5C00000016%5C2000NSWQ.txt&amp;User=ANONYMOUS&amp;Password=anonymous&amp;SortMethod=h%7C-&amp;MaximumDocuments=1&amp;FuzzyDegree=0&amp;ImageQuality=r75g8/r75g8/x150y150g16/i425&amp;Display=hpfr&amp;DefSeekPage=&amp;SearchBack=ZyActionL&amp;Back=ZyActionS&amp;BackDesc=Results%20page&amp;MaximumPages=1&amp;ZyEntry=2" xr:uid="{E00EEF82-57EA-431B-B861-D8134F5EF14A}"/>
    <hyperlink ref="AZ275" r:id="rId764" display="https://d9-wret.s3.us-west-2.amazonaws.com/assets/palladium/production/mineral-pubs/lead/380498.pdf" xr:uid="{52AAFED8-FD6E-4DC5-88FA-C0C67F0F0A7E}"/>
    <hyperlink ref="AZ168" r:id="rId765" display="https://pubs.usgs.gov/myb/vol1/2019/myb1-2019-lead.pdf" xr:uid="{8D6D4670-BEB2-471F-9C0E-A122CA031B75}"/>
    <hyperlink ref="AZ566" r:id="rId766" display="https://ecobat.com/location/ecobat-resources-indiana-indianapolis/" xr:uid="{C55E54E1-13A2-489E-AEC8-620E266F1598}"/>
    <hyperlink ref="AZ567" r:id="rId767" display="https://ecobat.com/location/ecobat-resources-indiana-indianapolis/" xr:uid="{3931A794-C7E7-4860-B3DD-9767B02607BC}"/>
    <hyperlink ref="AZ699" r:id="rId768" display="https://ir.aquametals.com/press-releases/detail/51/aqua-metals-provides-corporate-update" xr:uid="{CF70B8B5-BBF2-404C-8631-5BD212C5C964}"/>
    <hyperlink ref="AZ698" r:id="rId769" display="https://ir.aquametals.com/press-releases/detail/51/aqua-metals-provides-corporate-update" xr:uid="{828B1802-1E65-4EAF-ADF0-483E0A831D85}"/>
    <hyperlink ref="AZ728" r:id="rId770" display="https://ecobat.com/location/ecobat-resources-new-york-middletown/" xr:uid="{3C676795-CF5D-4C6E-A249-1D5F0008FDA7}"/>
    <hyperlink ref="AZ729" r:id="rId771" display="https://ecobat.com/location/ecobat-resources-new-york-middletown/" xr:uid="{D8E5A9B8-C4D9-4F63-98AD-DB2BC85899F7}"/>
    <hyperlink ref="AZ1165" r:id="rId772" location=":~:text=1.,Greens%20Creek%20Mine" display="https://www.mining-technology.com/marketdata/five-largest-lead-mines-the-us/ - :~:text=1.,Greens%20Creek%20Mine" xr:uid="{2074FD5A-29E1-4E38-8A15-9216527F8A14}"/>
    <hyperlink ref="AZ1176" r:id="rId773" location=":~:text=Looking%20to%20venture%20into%20a,trades%20and%20the%20construction%20effort." display="https://harriscompany.com/projects/gopher-resource-smelter-battery-recycling-plant - :~:text=Looking%20to%20venture%20into%20a,trades%20and%20the%20construction%20effort." xr:uid="{BAD61D1B-543C-4FAF-8A15-07785E19C31C}"/>
    <hyperlink ref="AZ1177" r:id="rId774" location=":~:text=Looking%20to%20venture%20into%20a,trades%20and%20the%20construction%20effort." display="https://harriscompany.com/projects/gopher-resource-smelter-battery-recycling-plant - :~:text=Looking%20to%20venture%20into%20a,trades%20and%20the%20construction%20effort." xr:uid="{AC828497-2A3B-408A-A6E1-F3E5A499DFDA}"/>
    <hyperlink ref="AZ1239" r:id="rId775" display="https://d9-wret.s3.us-west-2.amazonaws.com/assets/palladium/production/mineral-pubs/lead/myb1-2010-lead.pdf" xr:uid="{23AFAA69-5C72-4D4D-A87A-17124DFEBF76}"/>
    <hyperlink ref="AZ1238" r:id="rId776" display="https://d9-wret.s3.us-west-2.amazonaws.com/assets/palladium/production/mineral-pubs/lead/myb1-2010-lead.pdf" xr:uid="{072CEEA8-2444-48E1-B019-8F77D86D91D3}"/>
    <hyperlink ref="AZ1237" r:id="rId777" display="https://d9-wret.s3.us-west-2.amazonaws.com/assets/palladium/production/mineral-pubs/lead/myb1-2010-lead.pdf" xr:uid="{95642394-CF84-404A-BD69-C83B16888620}"/>
    <hyperlink ref="AZ1243" r:id="rId778" location=":~:text=The%20Doe%20Run%20Resources%20Corporation,Trend%20Mining%20District%20for%20processing." display="https://response.epa.gov/site/site_profile.aspx?site_id=14697 - :~:text=The%20Doe%20Run%20Resources%20Corporation,Trend%20Mining%20District%20for%20processing." xr:uid="{ADCA7CE3-8C2A-4D8F-B560-581BF0EBD6F0}"/>
    <hyperlink ref="AZ1242" r:id="rId779" location=":~:text=The%20Doe%20Run%20Resources%20Corporation,Trend%20Mining%20District%20for%20processing." display="https://response.epa.gov/site/site_profile.aspx?site_id=14697 - :~:text=The%20Doe%20Run%20Resources%20Corporation,Trend%20Mining%20District%20for%20processing." xr:uid="{85C8BE1B-6EB6-49D3-B3FE-79EBAE89C042}"/>
    <hyperlink ref="AZ1241" r:id="rId780" location=":~:text=The%20Doe%20Run%20Resources%20Corporation,Trend%20Mining%20District%20for%20processing." display="https://response.epa.gov/site/site_profile.aspx?site_id=14697 - :~:text=The%20Doe%20Run%20Resources%20Corporation,Trend%20Mining%20District%20for%20processing." xr:uid="{98371A2E-A746-491F-B958-3636C7F7384E}"/>
    <hyperlink ref="AZ181" r:id="rId781" display="https://minedocs.com/21/Doe_Run-History_of_Mining-2008.pdf" xr:uid="{CFD0B69F-4E0C-443E-8DEA-F6006AF5C4A5}"/>
    <hyperlink ref="AZ424" r:id="rId782" display="https://d9-wret.s3.us-west-2.amazonaws.com/assets/palladium/production/mineral-pubs/lead/mcs-2013-lead.pdf" xr:uid="{D321FCEE-FEBC-4500-AD82-893AC5CA818C}"/>
    <hyperlink ref="AZ220" r:id="rId783" location=":~:text=Meet%20Ecobat%20Resources%20Arizona,group%20on%20an%20incredible%20achievement!" display="https://ecobat.com/2023/06/ecobat-resources-arizona-earns-third-consecutive-vpp-star-certification/ - :~:text=Meet%20Ecobat%20Resources%20Arizona,group%20on%20an%20incredible%20achievement!" xr:uid="{37D66D77-CB57-4F2C-AC89-A86973BCF6D4}"/>
    <hyperlink ref="AZ1061" r:id="rId784" display="https://nfmetals.com/" xr:uid="{02597306-6142-4E68-A29C-5204D056D417}"/>
    <hyperlink ref="AZ1050" r:id="rId785" display="https://www.thomasnet.com/company/powerlab-inc-79395/profile?heading=43630201&amp;coverage_area=NA&amp;companyId=powerlab-inc-79395&amp;card_position=4&amp;page_number=1&amp;suppliers_in_page=25" xr:uid="{F210EADF-DBCF-4219-8589-DCDF8A7B4A7C}"/>
    <hyperlink ref="AZ1288" r:id="rId786" display="https://www.thomasnet.com/company/powerlab-inc-79395/profile?heading=43630201&amp;coverage_area=NA&amp;companyId=powerlab-inc-79395&amp;card_position=4&amp;page_number=1&amp;suppliers_in_page=25" xr:uid="{8CD5D1A5-7537-4FAB-BAA2-114E9ECF32F6}"/>
    <hyperlink ref="AZ1180" r:id="rId787" display="https://www.thomasnet.com/company/powerlab-inc-79395/profile?heading=43630201&amp;coverage_area=NA&amp;companyId=powerlab-inc-79395&amp;card_position=4&amp;page_number=1&amp;suppliers_in_page=25" xr:uid="{73F4EEA8-3010-4A3B-9750-7308652CEF39}"/>
    <hyperlink ref="AZ112" r:id="rId788" display="https://www.riotinto.com/en/operations/us/bessemer-city" xr:uid="{E39110AA-50A7-45FF-8DE0-7D927CC70CFB}"/>
    <hyperlink ref="AZ1185" r:id="rId789" display="https://s203.q4cdn.com/835901927/files/doc_financials/2023/ar/NewLAC-ThackerPassFeasibilityStudyNI43-101-October2023.pdf" xr:uid="{A81AA277-37EE-4F4C-AE15-3F7DAD0A0F8C}"/>
    <hyperlink ref="AZ730" r:id="rId790" display="https://investors.selectwater.com/news-events/press-releases/detail/139/select-water-solutions-and-libertystream-infrastructure-partners-announce-definitive-agreement-to-build-out-commercial-lithium-carbonate-production-units-in-texas-first-1000-tonne-facility-slated-for-commissioning-by-december-2026" xr:uid="{01169A26-5F38-4F3C-8744-1EF623BFA94F}"/>
    <hyperlink ref="AZ1170" r:id="rId791" display="https://americanbatterytechnology.com/projects/recycling-plant/" xr:uid="{7F5053E0-AF64-4E73-AADB-AF2CE571FE1A}"/>
    <hyperlink ref="AZ1172" r:id="rId792" display="https://americanbatterytechnology.com/projects/recycling-plant/" xr:uid="{32E2977A-5125-4EC1-924B-CF650A810E0C}"/>
    <hyperlink ref="AZ1169" r:id="rId793" display="https://americanbatterytechnology.com/projects/recycling-plant/" xr:uid="{01620F81-F885-424F-A5A5-DF4C85FBB3A2}"/>
    <hyperlink ref="AZ1171" r:id="rId794" display="https://americanbatterytechnology.com/projects/recycling-plant/" xr:uid="{98EF6CB0-DAE8-4850-99D5-D55176D8E9C5}"/>
    <hyperlink ref="AZ1207" r:id="rId795" display="https://americanbatterytechnology.com/press-release/american-battery-technology-company-publishes-milestone-pre-feasibility-study-accelerating-commercialization-of-its-tonopah-flats-lithium-project-one-of-the-largest-lithium-resources-in-the-united-st/" xr:uid="{D12415B2-6B79-4B88-B543-B2B9C2177979}"/>
    <hyperlink ref="AZ1208" r:id="rId796" display="https://americanbatterytechnology.com/press-release/american-battery-technology-company-publishes-milestone-pre-feasibility-study-accelerating-commercialization-of-its-tonopah-flats-lithium-project-one-of-the-largest-lithium-resources-in-the-united-st/" xr:uid="{FA5440E5-8F30-4389-88AC-BCE607799360}"/>
    <hyperlink ref="AZ46" r:id="rId797" location=":~:text=Initiated%20Sodium%20Sulfate%20Regeneration%20Trials,per%20year%20of%20black%20mass." display="https://ir.aquametals.com/press-releases/detail/322/aqua-metals-advances-commercialization-of-aquarefining - :~:text=Initiated%20Sodium%20Sulfate%20Regeneration%20Trials,per%20year%20of%20black%20mass." xr:uid="{BE28A422-D401-4135-920C-C27F5FEE1353}"/>
    <hyperlink ref="AZ47" r:id="rId798" location=":~:text=Initiated%20Sodium%20Sulfate%20Regeneration%20Trials,per%20year%20of%20black%20mass." display="https://ir.aquametals.com/press-releases/detail/322/aqua-metals-advances-commercialization-of-aquarefining - :~:text=Initiated%20Sodium%20Sulfate%20Regeneration%20Trials,per%20year%20of%20black%20mass." xr:uid="{C042E444-6594-4E47-A6C6-956224C26C5C}"/>
    <hyperlink ref="AZ48" r:id="rId799" location=":~:text=Initiated%20Sodium%20Sulfate%20Regeneration%20Trials,per%20year%20of%20black%20mass." display="https://ir.aquametals.com/press-releases/detail/322/aqua-metals-advances-commercialization-of-aquarefining - :~:text=Initiated%20Sodium%20Sulfate%20Regeneration%20Trials,per%20year%20of%20black%20mass." xr:uid="{CD54324B-E366-4109-9A62-5DC3024DEFCD}"/>
    <hyperlink ref="AZ49" r:id="rId800" location=":~:text=Initiated%20Sodium%20Sulfate%20Regeneration%20Trials,per%20year%20of%20black%20mass." display="https://ir.aquametals.com/press-releases/detail/322/aqua-metals-advances-commercialization-of-aquarefining - :~:text=Initiated%20Sodium%20Sulfate%20Regeneration%20Trials,per%20year%20of%20black%20mass." xr:uid="{E0572FEA-DFE3-4277-8E13-99E7C3D7B45A}"/>
    <hyperlink ref="AZ65" r:id="rId801" location=":~:text=The%20Ascend%20Elements%20facility%20in,70,000%20EV%20battery%20packs%20annually." display="https://ascendelements.com/covington-lithium-carbonate/ - :~:text=The%20Ascend%20Elements%20facility%20in,70,000%20EV%20battery%20packs%20annually." xr:uid="{37A4FB96-0C25-4CEA-8FD7-EDDE52BE32D8}"/>
    <hyperlink ref="AZ62" r:id="rId802" location=":~:text=The%20Ascend%20Elements%20facility%20in,70,000%20EV%20battery%20packs%20annually." display="https://ascendelements.com/covington-lithium-carbonate/ - :~:text=The%20Ascend%20Elements%20facility%20in,70,000%20EV%20battery%20packs%20annually." xr:uid="{9C121DF4-4FF7-4E51-8017-F59949C03C7B}"/>
    <hyperlink ref="AZ63" r:id="rId803" location=":~:text=The%20Ascend%20Elements%20facility%20in,70,000%20EV%20battery%20packs%20annually." display="https://ascendelements.com/covington-lithium-carbonate/ - :~:text=The%20Ascend%20Elements%20facility%20in,70,000%20EV%20battery%20packs%20annually." xr:uid="{0B034BE9-C7B5-42FD-AC47-7BA107E211F3}"/>
    <hyperlink ref="AZ64" r:id="rId804" location=":~:text=The%20Ascend%20Elements%20facility%20in,70,000%20EV%20battery%20packs%20annually." display="https://ascendelements.com/covington-lithium-carbonate/ - :~:text=The%20Ascend%20Elements%20facility%20in,70,000%20EV%20battery%20packs%20annually." xr:uid="{6C2AD1D9-0406-4AF0-B1F9-95AEC5CA79B2}"/>
    <hyperlink ref="AZ61" r:id="rId805" display="https://atlaspolicy.com/wp-content/uploads/2025/05/Ascend-Elements-in-Hopkinsville-Case-Study.pdf" xr:uid="{526E9DA3-9803-47A0-BD12-5ACDDB274216}"/>
    <hyperlink ref="AZ60" r:id="rId806" display="https://atlaspolicy.com/wp-content/uploads/2025/05/Ascend-Elements-in-Hopkinsville-Case-Study.pdf" xr:uid="{A910C1A2-36F1-4220-8067-D41F35A9B522}"/>
    <hyperlink ref="AZ59" r:id="rId807" display="https://atlaspolicy.com/wp-content/uploads/2025/05/Ascend-Elements-in-Hopkinsville-Case-Study.pdf" xr:uid="{D6209754-80B2-4797-BCB6-5D73349C9493}"/>
    <hyperlink ref="AZ201" r:id="rId808" location=":~:text=The%20successful%20recovery%20of%20lithium,11%20million%20EV%20batteries%20annually." display="https://www.bherenewables.com/geothermal-energy-projects - :~:text=The%20successful%20recovery%20of%20lithium,11%20million%20EV%20batteries%20annually." xr:uid="{7CCAB2E4-5CCC-4FC6-8E75-9FC3F8931965}"/>
    <hyperlink ref="AZ623" r:id="rId809" display="https://www.cirbasolutions.com/cirba-solutions-expands-ohio-lithium-ion-processing-facility/?srsltid=AfmBOopefissdZd2B6QqfC62EnSVGAA05EsaU_B2WcsWZsF7d5_N0G5x" xr:uid="{465DAAE7-3D73-412C-83B5-AF4142DE5A7D}"/>
    <hyperlink ref="AZ625" r:id="rId810" display="https://www.cirbasolutions.com/cirba-solutions-expands-ohio-lithium-ion-processing-facility/?srsltid=AfmBOopefissdZd2B6QqfC62EnSVGAA05EsaU_B2WcsWZsF7d5_N0G5x" xr:uid="{8BA2D844-8DE0-4502-AC9F-149A78B677BD}"/>
    <hyperlink ref="AZ624" r:id="rId811" display="https://www.cirbasolutions.com/cirba-solutions-expands-ohio-lithium-ion-processing-facility/?srsltid=AfmBOopefissdZd2B6QqfC62EnSVGAA05EsaU_B2WcsWZsF7d5_N0G5x" xr:uid="{D6DB9BE3-66B5-45A9-924B-C6E8DC680B5B}"/>
    <hyperlink ref="AZ622" r:id="rId812" display="https://www.cirbasolutions.com/cirba-solutions-expands-ohio-lithium-ion-processing-facility/?srsltid=AfmBOopefissdZd2B6QqfC62EnSVGAA05EsaU_B2WcsWZsF7d5_N0G5x" xr:uid="{CC79C5D3-E262-4216-A939-D0DF944EFDA6}"/>
    <hyperlink ref="AZ511" r:id="rId813" location=":~:text=I%20look%20forward%20to%20working,good-paying%20American%20jobs.%E2%80%9D" display="https://www.thinkgeoenergy.com/ctr-geothermal-lithium-project-recognized-by-us-federal-permitting-program/ - :~:text=I%20look%20forward%20to%20working,good-paying%20American%20jobs.%E2%80%9D" xr:uid="{B3897AF2-A951-4291-832C-292A67533755}"/>
    <hyperlink ref="AZ280" r:id="rId814" display="https://www.cirbasolutions.com/cirba-solutions-selected-for-200-million-award-negotiations-for-critical-materials-refining/" xr:uid="{39068917-4E66-4746-9162-16EF4872957A}"/>
    <hyperlink ref="AZ279" r:id="rId815" display="https://www.cirbasolutions.com/cirba-solutions-selected-for-200-million-award-negotiations-for-critical-materials-refining/" xr:uid="{6BD38AD2-1155-44BB-B57D-3BC78AB8ECD0}"/>
    <hyperlink ref="AZ277" r:id="rId816" display="https://www.cirbasolutions.com/cirba-solutions-selected-for-200-million-award-negotiations-for-critical-materials-refining/" xr:uid="{848A3E67-3E8F-4C4D-BD55-34B8F8D96526}"/>
    <hyperlink ref="AZ278" r:id="rId817" display="https://www.cirbasolutions.com/cirba-solutions-selected-for-200-million-award-negotiations-for-critical-materials-refining/" xr:uid="{CA17E408-C2CE-4C14-A177-80471AEE0358}"/>
    <hyperlink ref="AZ942" r:id="rId818" display="https://www.energy.gov/edf/articles/lpo-announces-conditional-commitment-project-atlis-lithium-hydroxide-production" xr:uid="{D12449E9-21B8-41D8-A376-8D35E87E75A4}"/>
    <hyperlink ref="AZ53" r:id="rId819" location=":~:text=Lithium-ion%20battery%20recycler%20Li,20,000%20metric%20tons%20per%20year." display="https://www.recycledmaterials.org/li-cycle-grows-hub-spoke-battery-recycling-network/ - :~:text=Lithium-ion%20battery%20recycler%20Li,20,000%20metric%20tons%20per%20year." xr:uid="{708C6AF0-FD6F-4B65-B970-D01A4AD68E9A}"/>
    <hyperlink ref="AZ52" r:id="rId820" location=":~:text=Lithium-ion%20battery%20recycler%20Li,20,000%20metric%20tons%20per%20year." display="https://www.recycledmaterials.org/li-cycle-grows-hub-spoke-battery-recycling-network/ - :~:text=Lithium-ion%20battery%20recycler%20Li,20,000%20metric%20tons%20per%20year." xr:uid="{ACF01E40-9C73-4733-8EB3-4EE4FA279C77}"/>
    <hyperlink ref="AZ50" r:id="rId821" location=":~:text=Lithium-ion%20battery%20recycler%20Li,20,000%20metric%20tons%20per%20year." display="https://www.recycledmaterials.org/li-cycle-grows-hub-spoke-battery-recycling-network/ - :~:text=Lithium-ion%20battery%20recycler%20Li,20,000%20metric%20tons%20per%20year." xr:uid="{23066B87-E87F-4B22-A831-D2C9AE5C5254}"/>
    <hyperlink ref="AZ51" r:id="rId822" location=":~:text=Lithium-ion%20battery%20recycler%20Li,20,000%20metric%20tons%20per%20year." display="https://www.recycledmaterials.org/li-cycle-grows-hub-spoke-battery-recycling-network/ - :~:text=Lithium-ion%20battery%20recycler%20Li,20,000%20metric%20tons%20per%20year." xr:uid="{C003E00B-0EA2-4BC1-9F1F-6F49A0E05E4C}"/>
    <hyperlink ref="AZ24" r:id="rId823" location=":~:text=Li-Cycle%27s%20Alabama%20Spoke%20is,EVs),%20the%20company%20says." display="https://www.recyclingtoday.com/news/li-cycle-opens-alabama-spoke-lithium-ion-battery-recycling/ - :~:text=Li-Cycle%27s%20Alabama%20Spoke%20is,EVs),%20the%20company%20says." xr:uid="{C3D3E28A-96F2-4158-A142-8BC11B51A803}"/>
    <hyperlink ref="AZ23" r:id="rId824" location=":~:text=Li-Cycle%27s%20Alabama%20Spoke%20is,EVs),%20the%20company%20says." display="https://www.recyclingtoday.com/news/li-cycle-opens-alabama-spoke-lithium-ion-battery-recycling/ - :~:text=Li-Cycle%27s%20Alabama%20Spoke%20is,EVs),%20the%20company%20says." xr:uid="{49A161E5-F16F-431D-83E7-F1544F439458}"/>
    <hyperlink ref="AZ21" r:id="rId825" location=":~:text=Li-Cycle%27s%20Alabama%20Spoke%20is,EVs),%20the%20company%20says." display="https://www.recyclingtoday.com/news/li-cycle-opens-alabama-spoke-lithium-ion-battery-recycling/ - :~:text=Li-Cycle%27s%20Alabama%20Spoke%20is,EVs),%20the%20company%20says." xr:uid="{849DD6B9-2294-4ADB-A7F0-FD5FE28AFC4F}"/>
    <hyperlink ref="AZ22" r:id="rId826" location=":~:text=Li-Cycle%27s%20Alabama%20Spoke%20is,EVs),%20the%20company%20says." display="https://www.recyclingtoday.com/news/li-cycle-opens-alabama-spoke-lithium-ion-battery-recycling/ - :~:text=Li-Cycle%27s%20Alabama%20Spoke%20is,EVs),%20the%20company%20says." xr:uid="{4E95B37B-4066-42CC-8D0E-E915035DFBC5}"/>
    <hyperlink ref="AZ1008" r:id="rId827" location=":~:text=Li-Cycle%20expects%20to%20produce,for%20our%20customers%20and%20stakeholders.%E2%80%9D" display="https://www.recyclingtoday.com/news/li-cycle-secures-100-percent-offtake-agreement-with-glencore-for-mhp/ - :~:text=Li-Cycle%20expects%20to%20produce,for%20our%20customers%20and%20stakeholders.%E2%80%9D" xr:uid="{BA44C9C0-13A6-4FF8-9E73-E1D05F7C608E}"/>
    <hyperlink ref="AZ1099" r:id="rId828" display="https://www.redwoodmaterials.com/news/sustainable-battery-materials-process/" xr:uid="{AE90BD65-6AB6-4BA2-95E6-902C9050AA9E}"/>
    <hyperlink ref="AZ1101" r:id="rId829" display="https://www.redwoodmaterials.com/news/sustainable-battery-materials-process/" xr:uid="{2CD3C22F-671C-4F37-B3EB-426623117BF4}"/>
    <hyperlink ref="AZ1098" r:id="rId830" display="https://www.redwoodmaterials.com/news/sustainable-battery-materials-process/" xr:uid="{BB569A73-CFFA-4EF7-9C59-C8E6313E903B}"/>
    <hyperlink ref="AZ1100" r:id="rId831" display="https://www.redwoodmaterials.com/news/sustainable-battery-materials-process/" xr:uid="{98059F68-003D-4FC1-AD06-D8B4DF7D053E}"/>
    <hyperlink ref="AZ388" r:id="rId832" display="https://www.standardlithium.com/news/standard-lithium-files-definitive-feasibility-study-for-its-first-commercial-lithium-extraction-plant--phase-1a" xr:uid="{184B863D-46C5-4BAD-8C14-F96BE90AA4E0}"/>
    <hyperlink ref="AZ1161" r:id="rId833" display="https://www.standardlithium.com/projects/smackover/south-west-arkansas/" xr:uid="{6D0C446E-81E9-47C7-9135-895CF2AFDCDF}"/>
    <hyperlink ref="AZ1160" r:id="rId834" display="https://www.standardlithium.com/projects/smackover/south-west-arkansas/" xr:uid="{C4BFEB94-8316-4651-9236-4B3CE7E46EDD}"/>
    <hyperlink ref="AZ851" r:id="rId835" display="https://minedocs.com/24/Compass_Minerals-F10-K-2022.pdf" xr:uid="{22461152-733C-4EC5-9FF3-B9EB99B48B42}"/>
    <hyperlink ref="AZ482" r:id="rId836" location=":~:text=The%20facility%20has%20the%20capacity%20to%20produce:,liquefaction%20plant%20*%20Hydrochloric%20acid%20synthesis%20plant" display="https://usmagnesium.com/about-us-mag/ - :~:text=The%20facility%20has%20the%20capacity%20to%20produce:,liquefaction%20plant%20*%20Hydrochloric%20acid%20synthesis%20plant" xr:uid="{271AA18F-FDE9-4B53-BCA4-D610E72695A1}"/>
    <hyperlink ref="AZ382" r:id="rId837" xr:uid="{CB0C0F43-4710-4AF0-8D08-43B03434E477}"/>
    <hyperlink ref="AZ42" r:id="rId838" location=":~:text=Advanced%20Magnesium%20Alloys%20Corporation%20(AMACOR,plant%20is%20approximately%2050,000%20MT." display="https://amacor.us/ - :~:text=Advanced%20Magnesium%20Alloys%20Corporation%20(AMACOR,plant%20is%20approximately%2050,000%20MT." xr:uid="{7556FBB3-D392-4CFA-86CD-D93D6DC04095}"/>
    <hyperlink ref="AZ205" r:id="rId839" display="https://pubs.usgs.gov/myb/vol1/2022/myb1-2022-magnesium-metal.pdf" xr:uid="{E80412D8-FBD0-4D74-AF13-27A305F98705}"/>
    <hyperlink ref="AZ110" r:id="rId840" display="https://pubs.usgs.gov/myb/vol1/2022/myb1-2022-magnesium-metal.pdf" xr:uid="{917BC0B7-4E15-49BE-B589-F70094D09EA1}"/>
    <hyperlink ref="AZ199" r:id="rId841" display="https://pubs.usgs.gov/myb/vol1/2022/myb1-2022-magnesium-metal.pdf" xr:uid="{00382F50-EB83-48A6-B00E-828CEA4DE799}"/>
    <hyperlink ref="AZ516" r:id="rId842" display="https://bormansm.com/elemental-boron/" xr:uid="{D6A057E6-3037-4E1D-9F66-844EC1964C52}"/>
    <hyperlink ref="AZ683" r:id="rId843" display="https://pubs.usgs.gov/myb/vol1/2023/myb1-2023-manganese.pdf" xr:uid="{1B28C8FC-FF02-4C99-AC0C-B62C117EB571}"/>
    <hyperlink ref="AZ682" r:id="rId844" display="https://pubs.usgs.gov/myb/vol1/2023/myb1-2023-manganese.pdf" xr:uid="{2BD11230-5196-4F31-B991-C0CE19FC89E3}"/>
    <hyperlink ref="AZ637" r:id="rId845" display="https://www.fpiwv.com/" xr:uid="{885F5FA4-FD2D-4FBE-8DCA-C25D290875E0}"/>
    <hyperlink ref="AZ94" r:id="rId846" display="https://pubs.usgs.gov/myb/vol1/2023/myb1-2023-manganese.pdf" xr:uid="{2E7FE1A1-5952-4871-8EA5-A1B58E3C72E5}"/>
    <hyperlink ref="AZ803" r:id="rId847" display="https://pubs.usgs.gov/myb/vol1/2023/myb1-2023-manganese.pdf" xr:uid="{608DBEF6-2284-4854-BD70-3613AF80D9A6}"/>
    <hyperlink ref="AZ628" r:id="rId848" display="https://pubs.usgs.gov/myb/vol1/2019/myb1-2019-rhenium.pdf" xr:uid="{C8E71368-1B8E-459C-A746-81794EA85833}"/>
    <hyperlink ref="AZ37" r:id="rId849" display="https://pubs.usgs.gov/myb/vol1/2021/myb1-2021-selenium-tellurium.pdf" xr:uid="{4373E845-D5B0-4FAB-A8CD-A9C012F45316}"/>
    <hyperlink ref="AZ38" r:id="rId850" display="https://pubs.usgs.gov/myb/vol1/2021/myb1-2021-selenium-tellurium.pdf" xr:uid="{B577CA74-4D5D-4305-92E3-C4D13AC44A67}"/>
    <hyperlink ref="AZ289" r:id="rId851" display="https://minedocs.com/18/Stillwater-Operation-TRS-12312024.pdf" xr:uid="{4A970B33-06C0-4466-A4D5-2242F57C7AB7}"/>
    <hyperlink ref="AZ288" r:id="rId852" display="https://minedocs.com/18/Stillwater-Operation-TRS-12312024.pdf" xr:uid="{336815DE-AD96-4000-9703-505B738B0694}"/>
    <hyperlink ref="AZ376" r:id="rId853" display="https://minedocs.com/18/Stillwater-Operation-TRS-12312024.pdf" xr:uid="{2228B8B6-70F1-478A-BF9E-675B81481CDF}"/>
    <hyperlink ref="AZ1138" r:id="rId854" display="https://minedocs.com/18/Stillwater-Operation-TRS-12312024.pdf" xr:uid="{92EE6BBE-345E-4F68-93DD-C7B68C6D2EEB}"/>
    <hyperlink ref="AZ203" r:id="rId855" display="https://pubs.usgs.gov/myb/vol1/2021/myb1-2021-nickel.pdf" xr:uid="{929B9213-D0AA-4A8C-926E-5AD4A53014B8}"/>
    <hyperlink ref="AZ403" r:id="rId856" display="https://19january2017snapshot.epa.gov/hwcorrectiveactionsites/hazardous-waste-cleanup-international-metals-reclamation-company-formerly_.html" xr:uid="{598F6639-8007-4AF1-9CD4-FA3740E8B161}"/>
    <hyperlink ref="AZ404" r:id="rId857" display="https://19january2017snapshot.epa.gov/hwcorrectiveactionsites/hazardous-waste-cleanup-international-metals-reclamation-company-formerly_.html" xr:uid="{72747EEB-C345-49F3-A991-37413021FB31}"/>
    <hyperlink ref="AZ442" r:id="rId858" display="https://elevenflo.com/blog/aleon-metals-chapter-11-bankruptcy" xr:uid="{4C4F1560-6393-4D4B-A3C1-787C383B766B}"/>
    <hyperlink ref="AZ1175" r:id="rId859" location=":~:text=ABOUT%20TALON,the%20media%20contacts%20listed%20below." display="https://talonmetals.com/talon-metals-secures-51-ownership-of-tamarack-nickel-project-six-months-ahead-of-schedule/ - :~:text=ABOUT%20TALON,the%20media%20contacts%20listed%20below." xr:uid="{31B0058B-DED5-435D-8CE4-3918F8F09B7A}"/>
    <hyperlink ref="AZ1174" r:id="rId860" location=":~:text=ABOUT%20TALON,the%20media%20contacts%20listed%20below." display="https://talonmetals.com/talon-metals-secures-51-ownership-of-tamarack-nickel-project-six-months-ahead-of-schedule/ - :~:text=ABOUT%20TALON,the%20media%20contacts%20listed%20below." xr:uid="{54E574C1-CFC5-4360-BA5B-478221FF0F1C}"/>
    <hyperlink ref="AZ1173" r:id="rId861" location=":~:text=ABOUT%20TALON,the%20media%20contacts%20listed%20below." display="https://talonmetals.com/talon-metals-secures-51-ownership-of-tamarack-nickel-project-six-months-ahead-of-schedule/ - :~:text=ABOUT%20TALON,the%20media%20contacts%20listed%20below." xr:uid="{FFCD54C0-821C-4F96-A0FD-545A78A740BE}"/>
    <hyperlink ref="AZ414" r:id="rId862" location=":~:text=The%20Oyster%20system%20can:%20*%20Co-locate%20with,its%20Advanced%20Energy%20Project%20Tax%20Credit%20program." display="https://nthcycle.com/news/nth-cycle-begins-operations-of-first-domestic-commercial-scale-nickel-and-cobalt-scrap-refining-system-in-fairfield-ohio/ - :~:text=The%20Oyster%20system%20can:%20*%20Co-locate%20with,its%20Advanced%20Energy%20Project%20Tax%20Credit%20program." xr:uid="{37BA9F1C-C626-4C2B-B111-E3AD414E15A5}"/>
    <hyperlink ref="AZ413" r:id="rId863" location=":~:text=The%20Oyster%20system%20can:%20*%20Co-locate%20with,its%20Advanced%20Energy%20Project%20Tax%20Credit%20program." display="https://nthcycle.com/news/nth-cycle-begins-operations-of-first-domestic-commercial-scale-nickel-and-cobalt-scrap-refining-system-in-fairfield-ohio/ - :~:text=The%20Oyster%20system%20can:%20*%20Co-locate%20with,its%20Advanced%20Energy%20Project%20Tax%20Credit%20program." xr:uid="{60A7C518-AC0B-4436-9BF4-081639820DE5}"/>
    <hyperlink ref="AZ663" r:id="rId864" location=":~:text=%E2%80%8B,the%20production%20of%20reusable%20materials." display="https://www.csrsinc.com/projects/element-25-(hpmsm) - :~:text=%E2%80%8B,the%20production%20of%20reusable%20materials." xr:uid="{23A694AF-0894-48A6-BB29-32278E3A33D1}"/>
    <hyperlink ref="AZ519" r:id="rId865" location=":~:text=The%20size%20of%20the%20Clark,based%20on%20Inferred%20Mineral%20Resources." display="https://www.south32.net/docs/default-source/exchange-releases/hermosa-project-update-0x6e16b082af2a4715.pdf?sfvrsn=9a4bb0cc_0 - :~:text=The%20size%20of%20the%20Clark,based%20on%20Inferred%20Mineral%20Resources." xr:uid="{542F6C3C-2F43-4F83-9BE1-2A357C7FCD6A}"/>
    <hyperlink ref="AZ824" r:id="rId866" location=":~:text=The%20development%20plan%20includes%20a,$2,500%20per%20tonne%20product%20price." display="https://www.mining.com/electric-metals-stock-nearly-triples-on-north-star-manganese-pea/ - :~:text=The%20development%20plan%20includes%20a,$2,500%20per%20tonne%20product%20price." xr:uid="{F3CFF3F1-BBEB-42F4-9A64-6BD7F16BDA9F}"/>
    <hyperlink ref="AZ825" r:id="rId867" location=":~:text=The%20development%20plan%20includes%20a,$2,500%20per%20tonne%20product%20price." display="https://www.mining.com/electric-metals-stock-nearly-triples-on-north-star-manganese-pea/ - :~:text=The%20development%20plan%20includes%20a,$2,500%20per%20tonne%20product%20price." xr:uid="{9BCD9DAA-B85B-47EA-9603-D8E4733D377A}"/>
    <hyperlink ref="AZ117" r:id="rId868" display="https://talonmetals.com/talon-metals-and-westmoreland-mining-sign-land-agreement-to-progress-north-dakota-minerals-processing-facility/" xr:uid="{C44E9E16-D54B-41AC-AAF5-8BF686CFF3E7}"/>
    <hyperlink ref="AZ116" r:id="rId869" display="https://talonmetals.com/talon-metals-and-westmoreland-mining-sign-land-agreement-to-progress-north-dakota-minerals-processing-facility/" xr:uid="{BB33F49B-C15E-4940-92EA-54C6C3A879A3}"/>
    <hyperlink ref="AZ118" r:id="rId870" display="https://talonmetals.com/talon-metals-and-westmoreland-mining-sign-land-agreement-to-progress-north-dakota-minerals-processing-facility/" xr:uid="{27710DF4-1C05-4EAD-8796-EE92C8572F9F}"/>
    <hyperlink ref="AZ393" r:id="rId871" display="https://www.niocorp.com/wp-content/uploads/NioCorp_June-2022_NI_43-101_Technical_Report.pdf" xr:uid="{B0B60756-4456-4654-855D-E89254887286}"/>
    <hyperlink ref="AZ157" r:id="rId872" display="https://www.war.gov/News/Releases/Release/Article/3912485/department-of-defense-awards-264-million-for-low-cost-domestic-production-of-hi/" xr:uid="{BD8943C4-F742-49B1-92C1-978EC1925E6F}"/>
    <hyperlink ref="AZ290" r:id="rId873" display="https://minedocs.com/18/Stillwater-Operation-TRS-12312024.pdf" xr:uid="{46B63BD6-1F47-472D-88F7-291B914611BA}"/>
    <hyperlink ref="AZ291" r:id="rId874" display="https://minedocs.com/18/Stillwater-Operation-TRS-12312024.pdf" xr:uid="{89F52F34-1B6A-4696-AB74-B383041D9830}"/>
    <hyperlink ref="AZ377" r:id="rId875" display="https://minedocs.com/18/Stillwater-Operation-TRS-12312024.pdf" xr:uid="{534A45F0-2654-4478-B01E-0485B5A0E450}"/>
    <hyperlink ref="AZ378" r:id="rId876" display="https://minedocs.com/18/Stillwater-Operation-TRS-12312024.pdf" xr:uid="{205007B9-40D4-4622-96D9-92981C4D56F9}"/>
    <hyperlink ref="AZ293" r:id="rId877" display="https://minedocs.com/18/Stillwater-Operation-TRS-12312024.pdf" xr:uid="{EBD4C654-F350-45D6-B8F9-33B51888F9E7}"/>
    <hyperlink ref="AZ282" r:id="rId878" display="https://minedocs.com/18/Stillwater-Operation-TRS-12312024.pdf" xr:uid="{C5839C55-A95C-4DA8-AFC9-12D5E832F5B4}"/>
    <hyperlink ref="AZ285" r:id="rId879" display="https://minedocs.com/18/Stillwater-Operation-TRS-12312024.pdf" xr:uid="{6CFB81F5-1FD8-4914-AE77-2E447EC26FF1}"/>
    <hyperlink ref="AZ284" r:id="rId880" display="https://minedocs.com/18/Stillwater-Operation-TRS-12312024.pdf" xr:uid="{257153FB-6740-4F51-A64B-BF4341103027}"/>
    <hyperlink ref="AZ294" r:id="rId881" display="https://minedocs.com/18/Stillwater-Operation-TRS-12312024.pdf" xr:uid="{6CA42E9B-8109-4673-9084-A2A29D441386}"/>
    <hyperlink ref="AZ287" r:id="rId882" display="https://minedocs.com/18/Stillwater-Operation-TRS-12312024.pdf" xr:uid="{D2026DA6-3CF2-4961-91C8-91EFBFEF31AE}"/>
    <hyperlink ref="AZ286" r:id="rId883" display="https://minedocs.com/18/Stillwater-Operation-TRS-12312024.pdf" xr:uid="{7381E0D8-D0E6-4E87-B2E6-5905ECD99617}"/>
    <hyperlink ref="AZ380" r:id="rId884" display="https://minedocs.com/18/Stillwater-Operation-TRS-12312024.pdf" xr:uid="{EEC0539E-7BE4-4CA8-A9C9-FD0781764954}"/>
    <hyperlink ref="AZ381" r:id="rId885" display="https://minedocs.com/18/Stillwater-Operation-TRS-12312024.pdf" xr:uid="{2F1F0B3F-1499-405C-A89F-3CE5CB50F4E9}"/>
    <hyperlink ref="AZ375" r:id="rId886" display="https://minedocs.com/18/Stillwater-Operation-TRS-12312024.pdf" xr:uid="{10FFE5AE-318B-4750-A9F0-D37017D816F2}"/>
    <hyperlink ref="AZ379" r:id="rId887" display="https://minedocs.com/18/Stillwater-Operation-TRS-12312024.pdf" xr:uid="{A317514E-9ECD-42E4-8403-5105B73DB2B6}"/>
    <hyperlink ref="AZ1140" r:id="rId888" display="https://minedocs.com/18/Stillwater-Operation-TRS-12312024.pdf" xr:uid="{87C1EB71-DFC6-4037-8C24-B7A44128652F}"/>
    <hyperlink ref="AZ1139" r:id="rId889" display="https://minedocs.com/18/Stillwater-Operation-TRS-12312024.pdf" xr:uid="{B16C070F-CAA8-4871-A3FE-957E983E6555}"/>
    <hyperlink ref="AZ1141" r:id="rId890" display="https://minedocs.com/18/Stillwater-Operation-TRS-12312024.pdf" xr:uid="{F06A2B8A-ECF5-4467-90E3-F62F6A105801}"/>
    <hyperlink ref="AZ1137" r:id="rId891" display="https://minedocs.com/18/Stillwater-Operation-TRS-12312024.pdf" xr:uid="{24E18507-5F18-4FCF-96DD-41E1FBA07099}"/>
    <hyperlink ref="AZ1142" r:id="rId892" display="https://minedocs.com/18/Stillwater-Operation-TRS-12312024.pdf" xr:uid="{3FAB7F40-FD7F-4A69-84DC-3571133B5277}"/>
    <hyperlink ref="AZ1143" r:id="rId893" display="https://minedocs.com/18/Stillwater-Operation-TRS-12312024.pdf" xr:uid="{326ABD0E-8281-4F89-A331-775C237652A5}"/>
    <hyperlink ref="AZ283" r:id="rId894" display="https://minedocs.com/18/Stillwater-Operation-TRS-12312024.pdf" xr:uid="{D8DE9377-1888-4C85-B479-1AA611CCEA9E}"/>
    <hyperlink ref="AZ292" r:id="rId895" display="https://minedocs.com/18/Stillwater-Operation-TRS-12312024.pdf" xr:uid="{C3E22004-185B-4AF0-A55A-E00A091F9B1F}"/>
    <hyperlink ref="AZ281" r:id="rId896" display="https://minedocs.com/18/Stillwater-Operation-TRS-12312024.pdf" xr:uid="{E16D5778-648D-4DB6-9F44-880434C326F7}"/>
    <hyperlink ref="AZ1129" r:id="rId897" display="https://mowreygold.com/" xr:uid="{11CA86DD-FD99-45CE-B68D-9A05F2054768}"/>
    <hyperlink ref="AZ1130" r:id="rId898" display="https://mowreygold.com/" xr:uid="{5C717739-2BBC-4184-95D8-AC6CE7AAFDA9}"/>
    <hyperlink ref="AZ1127" r:id="rId899" display="https://mowreygold.com/" xr:uid="{7053F42E-0C4A-4162-9301-2C0590B758C1}"/>
    <hyperlink ref="AZ1128" r:id="rId900" display="https://mowreygold.com/" xr:uid="{59304233-DF1B-4728-9C25-4E053FA4E0DF}"/>
    <hyperlink ref="AZ816" r:id="rId901" display="https://metalor.com/wp-content/uploads/2020/06/Metalor-USA_LBMA-Gold_Audit-report_2020_without-annex.pdf" xr:uid="{4A88C3BD-74F0-4F04-8618-6226A378AE7A}"/>
    <hyperlink ref="AZ815" r:id="rId902" display="https://metalor.com/wp-content/uploads/2020/06/Metalor-USA_LBMA-Gold_Audit-report_2020_without-annex.pdf" xr:uid="{4F6A0863-CF5D-434B-BF7A-A6C98F99BA72}"/>
    <hyperlink ref="AZ12" r:id="rId903" display="https://www.advchem.com/" xr:uid="{D6FECB2D-2FE1-4318-98AD-98E61698822B}"/>
    <hyperlink ref="AZ11" r:id="rId904" display="https://www.advchem.com/" xr:uid="{6B73C3EB-E564-4439-9DE0-5A8D5DA5D79D}"/>
    <hyperlink ref="AZ9" r:id="rId905" display="https://www.advchem.com/" xr:uid="{4E9678FA-01B1-45FA-ADD0-8935D7099994}"/>
    <hyperlink ref="AZ245" r:id="rId906" display="https://metalfinishing.org/wp-content/uploads/2023-MFASC-EXHIBITOR-HANDBOOK.pdf" xr:uid="{B58ADA66-EFB7-42F8-9BA9-F621DA37D0F5}"/>
    <hyperlink ref="AZ244" r:id="rId907" display="https://metalfinishing.org/wp-content/uploads/2023-MFASC-EXHIBITOR-HANDBOOK.pdf" xr:uid="{AF280108-509D-42D5-AEC8-C7A44A1119A8}"/>
    <hyperlink ref="AZ1125" r:id="rId908" display="https://pubs.usgs.gov/myb/vol1/2021/myb1-2021-platinum-group.pdf" xr:uid="{AE3A77FB-FB35-442A-A3E6-80DE07857962}"/>
    <hyperlink ref="AZ1124" r:id="rId909" display="https://pubs.usgs.gov/myb/vol1/2021/myb1-2021-platinum-group.pdf" xr:uid="{1555CEA6-571A-45EF-8B64-400DC6D8662D}"/>
    <hyperlink ref="AZ1123" r:id="rId910" display="https://pubs.usgs.gov/myb/vol1/2021/myb1-2021-platinum-group.pdf" xr:uid="{7450F5E0-B3E5-46BD-929A-A5FDBCA186D8}"/>
    <hyperlink ref="AZ1126" r:id="rId911" display="https://pubs.usgs.gov/myb/vol1/2021/myb1-2021-platinum-group.pdf" xr:uid="{AFD4FCC1-5F40-4734-B692-1E8AA358E325}"/>
    <hyperlink ref="AZ820" r:id="rId912" location=":~:text=Hoover%20&amp;%20Strong%20has%20been%20refining,drain%20or%20out%20the%20door." display="https://www.hooverandstrong.com/landing/Refining - :~:text=Hoover%20&amp;%20Strong%20has%20been%20refining,drain%20or%20out%20the%20door." xr:uid="{C19F05A3-F07A-4B37-8157-0C13D667996D}"/>
    <hyperlink ref="AZ821" r:id="rId913" location=":~:text=Hoover%20&amp;%20Strong%20has%20been%20refining,drain%20or%20out%20the%20door." display="https://www.hooverandstrong.com/landing/Refining - :~:text=Hoover%20&amp;%20Strong%20has%20been%20refining,drain%20or%20out%20the%20door." xr:uid="{5988346A-8E1A-40F8-BF82-F02C439E4F74}"/>
    <hyperlink ref="AZ819" r:id="rId914" location=":~:text=Hoover%20&amp;%20Strong%20has%20been%20refining,drain%20or%20out%20the%20door." display="https://www.hooverandstrong.com/landing/Refining - :~:text=Hoover%20&amp;%20Strong%20has%20been%20refining,drain%20or%20out%20the%20door." xr:uid="{D2CF85A9-ADAE-4DE0-9A75-6CE73CA60538}"/>
    <hyperlink ref="AZ822" r:id="rId915" location=":~:text=Hoover%20&amp;%20Strong%20has%20been%20refining,drain%20or%20out%20the%20door." display="https://www.hooverandstrong.com/landing/Refining - :~:text=Hoover%20&amp;%20Strong%20has%20been%20refining,drain%20or%20out%20the%20door." xr:uid="{2AB420ED-6E21-4730-9396-47778ACE1949}"/>
    <hyperlink ref="AZ1047" r:id="rId916" display="https://p2infohouse.org/ref/30/29778.pdf" xr:uid="{4E873508-1672-4BFB-B7DE-70C5239A7E53}"/>
    <hyperlink ref="AZ1046" r:id="rId917" display="https://p2infohouse.org/ref/30/29778.pdf" xr:uid="{D2853DFD-E503-4884-B025-6E2BE4D1363D}"/>
    <hyperlink ref="AZ1048" r:id="rId918" display="C:\Users\tmobrien\AppData\Local\Temp\1\MicrosoftEdgeDownloads\f271cbde-f726-43b9-bcb0-a886dde2fb58\PGMPaperDraft_11_27_2025.pdf" xr:uid="{CA7D6871-4F06-4EF6-95CA-8650F539C1C9}"/>
    <hyperlink ref="AZ1049" r:id="rId919" display="C:\Users\tmobrien\AppData\Local\Temp\1\MicrosoftEdgeDownloads\f271cbde-f726-43b9-bcb0-a886dde2fb58\PGMPaperDraft_11_27_2025.pdf" xr:uid="{5CD002A9-47CA-4C7F-85A3-749DA023D2A0}"/>
    <hyperlink ref="AZ1252" r:id="rId920" display="https://www.heraeus-precious-metals.com/en/company/press-and-news/heraeus-precious-metals-adds-a-smelter-to-its-recycling-capabilities/" xr:uid="{AAE613A3-0384-492D-827A-EAC388B31B52}"/>
    <hyperlink ref="AZ1251" r:id="rId921" display="https://www.heraeus-precious-metals.com/en/company/press-and-news/heraeus-precious-metals-adds-a-smelter-to-its-recycling-capabilities/" xr:uid="{90FED71D-380A-4CE9-8E75-59DB858D5957}"/>
    <hyperlink ref="AZ15" r:id="rId922" display="https://aurisnoble.com/" xr:uid="{6D3F0417-CA71-47E3-90F8-51005899B79B}"/>
    <hyperlink ref="AZ1260" r:id="rId923" display="https://matthey.com/documents/d/guest/jm-inc-rppg-compliance-report-fy2024-25-2-pdf" xr:uid="{0B8F3656-63AF-4010-9C99-7F519BE9073B}"/>
    <hyperlink ref="AZ1259" r:id="rId924" display="https://matthey.com/documents/d/guest/jm-inc-rppg-compliance-report-fy2024-25-2-pdf" xr:uid="{ED67BB74-2F0C-48F2-A94A-B8BB2EB5EB81}"/>
    <hyperlink ref="AZ1261" r:id="rId925" display="https://matthey.com/documents/d/guest/jm-inc-rppg-compliance-report-fy2024-25-2-pdf" xr:uid="{78A86680-293F-4E3A-80B9-775ED6213ABC}"/>
    <hyperlink ref="AZ1057" r:id="rId926" display="https://www.sabinmetal.com/locations/main-plant-sales-office" xr:uid="{708537C8-C291-47D6-AC0F-DCFC26CB5D02}"/>
    <hyperlink ref="AZ1055" r:id="rId927" display="https://www.sabinmetal.com/locations/main-plant-sales-office" xr:uid="{AD951A45-7DBD-465F-8A9C-211E14CDBD9E}"/>
    <hyperlink ref="AZ1054" r:id="rId928" display="https://www.sabinmetal.com/locations/main-plant-sales-office" xr:uid="{BFC786C2-BED8-40E2-BA4C-729ECA44F236}"/>
    <hyperlink ref="AZ1053" r:id="rId929" display="https://www.sabinmetal.com/locations/main-plant-sales-office" xr:uid="{69C26DC5-8E5D-4001-B61F-A438FA2B66DA}"/>
    <hyperlink ref="AZ1056" r:id="rId930" display="https://www.sabinmetal.com/locations/main-plant-sales-office" xr:uid="{90CA3CAD-462B-46F6-8AC8-217278C24113}"/>
    <hyperlink ref="AZ1052" r:id="rId931" display="https://www.sabinmetal.com/locations/main-plant-sales-office" xr:uid="{938B750E-4248-43D7-8875-D88551F5DB5C}"/>
    <hyperlink ref="AZ1284" r:id="rId932" display="https://www.sabinmetal.com/locations/sabin-metal-west-corporation" xr:uid="{4E5A4240-A965-42E5-94C6-516D8AF0D82F}"/>
    <hyperlink ref="AZ362:AZ367" r:id="rId933" display="https://www.sabinmetal.com/locations/sabin-metal-west-corporation" xr:uid="{2D865F0B-0DFF-4DBD-A2E2-BDFC0926D7FD}"/>
    <hyperlink ref="AZ300" r:id="rId934" display="https://itafos.com/site/assets/files/2139/itafos-2022-aif-03-22-2023-ac-vfinal.pdf" xr:uid="{BD645BB1-1776-45F1-943A-F36C5B249C88}"/>
    <hyperlink ref="AZ962" r:id="rId935" location=":~:text=Dry%20Ridge%20Mine-,Husky%201/North%20Dry%20Ridge%20Mine,tons%20of%20HFSA%20each%20year." display="https://condagrowingidaho.com/about - :~:text=Dry%20Ridge%20Mine-,Husky%201/North%20Dry%20Ridge%20Mine,tons%20of%20HFSA%20each%20year." xr:uid="{3E2FE0BB-AB9A-474D-A1C7-2F43F56BEBB1}"/>
    <hyperlink ref="AZ133" r:id="rId936" display="https://www.federalregister.gov/documents/2009/08/14/E9-19416/notice-of-availability-of-draft-environmental-impact-statement-for-the-proposed-blackfoot-bridge" xr:uid="{FE5D0C02-9C6C-4C97-AB4E-5ECB5FCE1B96}"/>
    <hyperlink ref="AZ1093" r:id="rId937" display="https://clui.org/ludb/site/smoky-canyon-mine" xr:uid="{53FB7515-77BF-4A37-9E89-1BF7E057DAAF}"/>
    <hyperlink ref="AZ360" r:id="rId938" display="https://fluoridealert.org/wp-content/uploads/phosphate.simplot-idaho.pdf" xr:uid="{2D8A5C73-7BE6-4823-B58D-C16E748EF02B}"/>
    <hyperlink ref="AZ1236" r:id="rId939" display="https://geology.utah.gov/map-pub/survey-notes/todays-and-tomorrows-phosphate/" xr:uid="{3A7FAB38-30D0-4E4A-996C-53AFCF1B47FC}"/>
    <hyperlink ref="AZ1014" r:id="rId940" display="https://minedocs.com/23/Simplot-Factsheet.pdf" xr:uid="{46AB8120-5ADA-49AE-9B2A-6E07AFDA9B30}"/>
    <hyperlink ref="AZ344" r:id="rId941" display="https://www.londonstockexchange.com/news-article/KRS/commencement-of-commercial-production-at-delta/16596696" xr:uid="{6F0CBE08-CAAB-4F39-90F7-287194A5B2B2}"/>
    <hyperlink ref="AZ453" r:id="rId942" display="http://www.sulphuric-acid.com/sulphuric-acid-on-the-web/acid plants/Innophos - Geismar.htm" xr:uid="{DE29260C-E8B6-4F26-B517-DF7E5910E4EF}"/>
    <hyperlink ref="AZ634" r:id="rId943" display="https://chemweek.mydigitalpublication.com/articles/trecora-acquires-chemtrade-s-lubricant-additives-business" xr:uid="{8735ADB6-4C04-4EB4-BA41-4A4084ABAC50}"/>
    <hyperlink ref="AZ553" r:id="rId944" display="https://s205.q4cdn.com/697440571/files/doc_financials/2025/ar/Full-20F-final-accessibility.pdf" xr:uid="{EB9AE28D-ED38-4874-A539-B8EADF74FF0A}"/>
    <hyperlink ref="AZ217" r:id="rId945" display="https://s205.q4cdn.com/697440571/files/doc_financials/2025/ar/Full-20F-final-accessibility.pdf" xr:uid="{AD85DC71-37FE-4466-B328-C98C518F584D}"/>
    <hyperlink ref="AZ93" r:id="rId946" xr:uid="{5716DD8A-E8C9-435D-8BCB-3861A34A8965}"/>
    <hyperlink ref="AZ7" r:id="rId947" xr:uid="{21EAC17D-6323-40B2-B62D-4A4A84597117}"/>
    <hyperlink ref="AZ8" r:id="rId948" xr:uid="{8C69E69E-217A-4D1A-988D-D09BEB48BB2F}"/>
    <hyperlink ref="AZ43" r:id="rId949" xr:uid="{3CB4BEE6-4D31-4B53-850B-F893175D90F4}"/>
    <hyperlink ref="AZ44" r:id="rId950" xr:uid="{38C646FA-7529-40E1-AA30-69DCF2EEDFA2}"/>
    <hyperlink ref="AZ45" r:id="rId951" xr:uid="{2C686071-743C-4426-AFBB-0A1E69CF98FF}"/>
    <hyperlink ref="AZ99" r:id="rId952" xr:uid="{B839B166-AB01-4A6D-8007-E94B6CBFA998}"/>
    <hyperlink ref="AZ888" r:id="rId953" xr:uid="{CDA05427-91C9-4176-A3EF-7000F3C77BE5}"/>
    <hyperlink ref="AZ889" r:id="rId954" xr:uid="{146DAF63-B1F9-4E0D-BD91-4EFB89357E2D}"/>
    <hyperlink ref="AZ131" r:id="rId955" xr:uid="{B0F77058-B87F-47B2-93E7-CA79246630D1}"/>
    <hyperlink ref="AZ132" r:id="rId956" xr:uid="{81D94C76-C32F-43FE-AB4A-ABB607B73318}"/>
    <hyperlink ref="AZ140" r:id="rId957" location="location" xr:uid="{4E1FC067-A612-44E6-BCB7-F259EF22C06C}"/>
    <hyperlink ref="AZ145" r:id="rId958" xr:uid="{8497B405-915B-4B83-A4A4-CD970F253176}"/>
    <hyperlink ref="AZ163" r:id="rId959" xr:uid="{7E854E8B-BCCA-42F4-AACD-821789FE0618}"/>
    <hyperlink ref="AZ890" r:id="rId960" xr:uid="{4C56DFF6-A416-4A87-85B3-C6E3D615FDB8}"/>
    <hyperlink ref="AZ891" r:id="rId961" xr:uid="{724E7F6F-519A-4DBF-8CFE-A0375C087160}"/>
    <hyperlink ref="AZ892" r:id="rId962" xr:uid="{48C5C2A9-013C-4892-B31D-302C744F5F55}"/>
    <hyperlink ref="AZ923" r:id="rId963" xr:uid="{1B3D61F5-BDFC-44BB-B4B6-1D906EA59656}"/>
    <hyperlink ref="AZ226" r:id="rId964" xr:uid="{8E2E337D-DDE8-463F-93EA-FA624D7CDC5F}"/>
    <hyperlink ref="AZ232" r:id="rId965" xr:uid="{93B9CC5D-B4D7-4180-B0C5-50DDAE935085}"/>
    <hyperlink ref="AZ274" r:id="rId966" xr:uid="{ACBC77D6-2D46-4AE3-B0A3-33C311330556}"/>
    <hyperlink ref="AZ323" r:id="rId967" xr:uid="{32DDD96C-3D8B-4BD5-8DBA-4225895C74D1}"/>
    <hyperlink ref="AZ563" r:id="rId968" xr:uid="{684CA8AE-8345-41C9-9EE4-01B84E7B9691}"/>
    <hyperlink ref="AZ898" r:id="rId969" xr:uid="{934333DA-275A-421C-A511-F458BD98E931}"/>
    <hyperlink ref="AZ905" r:id="rId970" xr:uid="{1AE28160-1AE7-4C54-9720-57886764B164}"/>
    <hyperlink ref="AZ910" r:id="rId971" xr:uid="{F85F52B4-66A6-4E08-BF64-7910AFD3A641}"/>
    <hyperlink ref="AZ913" r:id="rId972" xr:uid="{1F870DDB-7144-4AE9-A5E8-4BC0D17FB9FC}"/>
    <hyperlink ref="AZ896" r:id="rId973" xr:uid="{308A12B4-ADB3-45C3-92C1-A99B71F2C655}"/>
    <hyperlink ref="AZ901" r:id="rId974" xr:uid="{4A94CEB9-8F23-4F30-BF1E-3C8DE9E66582}"/>
    <hyperlink ref="AZ900" r:id="rId975" xr:uid="{AF6C32AA-477A-4EFF-B939-D867B9867F33}"/>
    <hyperlink ref="AZ903" r:id="rId976" xr:uid="{FAA1E689-30CD-4741-8F4E-FF1F98433849}"/>
    <hyperlink ref="AZ866" r:id="rId977" xr:uid="{58183730-DFE6-4536-912F-339F923A1452}"/>
    <hyperlink ref="AZ749" r:id="rId978" xr:uid="{95A2EA28-6296-466A-B456-BD13EEC12C4C}"/>
    <hyperlink ref="AZ904" r:id="rId979" xr:uid="{AC514D41-09A4-4F6E-917C-4104A38E5A28}"/>
    <hyperlink ref="AZ911" r:id="rId980" xr:uid="{A8386B61-0A00-46FD-86ED-AABFD464B2B1}"/>
    <hyperlink ref="AZ918" r:id="rId981" xr:uid="{D72850C1-860B-4AD2-A7B5-7DA1017698DC}"/>
    <hyperlink ref="AZ573:AZ574" r:id="rId982" display="https://www.crystalsugar.com/about-our-cooperative/locations/" xr:uid="{9138D06C-6E9C-4852-AC38-B39F4760C389}"/>
    <hyperlink ref="AZ922" r:id="rId983" xr:uid="{DB821384-6681-4623-B05D-7832F88DB7D6}"/>
    <hyperlink ref="AZ627" r:id="rId984" xr:uid="{71664651-6C38-4FCB-A60C-B0EAE09F7C20}"/>
    <hyperlink ref="AZ387" r:id="rId985" location="map=42.408542%2C-71.124358%2C4z" xr:uid="{CBAE4280-3854-48F5-8C87-F72951DE106B}"/>
    <hyperlink ref="AZ454" r:id="rId986" location="map=42.408542%2C-71.124358%2C4z" xr:uid="{9BCDE25A-526E-416B-848F-AD15A41B5DB8}"/>
    <hyperlink ref="AZ485" r:id="rId987" location="map=42.408542%2C-71.124358%2C4z" xr:uid="{B96631B9-0E2E-4CE6-9046-5DD3F610714B}"/>
    <hyperlink ref="AZ934" r:id="rId988" location="map=42.408542%2C-71.124358%2C4z" xr:uid="{BFE14E8C-4B1C-4A6A-B1B1-A35EE49C8499}"/>
    <hyperlink ref="AZ938" r:id="rId989" location="map=42.408542%2C-71.124358%2C4z" xr:uid="{3F5D0FC2-56E0-4289-BFB9-C36969C5D641}"/>
    <hyperlink ref="AZ1159" r:id="rId990" location="map=42.408542%2C-71.124358%2C4z" xr:uid="{23FB2569-DD0A-4759-8479-A62450715650}"/>
    <hyperlink ref="AZ876" r:id="rId991" location="location_id=3161&amp;map=40.768000%2C-114.116000%2C8z" xr:uid="{A06A269B-E7D9-429E-A83D-C8A52E680D39}"/>
    <hyperlink ref="AZ924" r:id="rId992" location="location_id=7212&amp;map=45.623359%2C-122.782892%2C8z" xr:uid="{E6AB34E7-DBEF-4D96-A8F7-3F10472E02B3}"/>
    <hyperlink ref="AZ929" r:id="rId993" location="location_id=3137&amp;map=47.269347%2C-122.392029%2C8z" xr:uid="{F6AEB373-3978-4792-AAC8-13A8A89EEA48}"/>
    <hyperlink ref="AZ925" r:id="rId994" xr:uid="{07DDD541-7CEE-49C6-8C02-6C0F0D4CEBBD}"/>
    <hyperlink ref="AZ921" r:id="rId995" xr:uid="{2F8403DA-748A-4760-A416-B113762F34A1}"/>
    <hyperlink ref="AZ791" r:id="rId996" xr:uid="{03BCA2EA-EC26-46FD-9DA3-8744ED0AC7B0}"/>
    <hyperlink ref="AZ797" r:id="rId997" xr:uid="{2288A4F9-376F-44EB-B97E-4D2717743004}"/>
    <hyperlink ref="AZ909" r:id="rId998" xr:uid="{F576CA58-4169-42C7-A8C1-9F8CDD0E82AE}"/>
    <hyperlink ref="AZ608" r:id="rId999" xr:uid="{72B5CB96-B191-40CA-B5AE-8BA19526DFB8}"/>
    <hyperlink ref="AZ917" r:id="rId1000" xr:uid="{C2EF3D10-360B-4D7E-B70D-F91FDFF46182}"/>
    <hyperlink ref="AZ931" r:id="rId1001" xr:uid="{46564AFE-71DE-478A-A8F7-526BAB8A1FD9}"/>
    <hyperlink ref="AZ914" r:id="rId1002" xr:uid="{581B45A2-EA76-45DF-A4B7-F984594B2F61}"/>
    <hyperlink ref="AZ895" r:id="rId1003" xr:uid="{125FCDFE-02FF-40CB-9D28-D6B22A365B48}"/>
    <hyperlink ref="AZ1062" r:id="rId1004" xr:uid="{74E52199-F987-4F30-965A-899F32888ED3}"/>
    <hyperlink ref="AZ930" r:id="rId1005" xr:uid="{2491ADD1-74DD-435E-A631-A6070B4DDD49}"/>
    <hyperlink ref="AZ509" r:id="rId1006" display="https://d18rn0p25nwr6d.cloudfront.net/CIK-0001421461/f3f2915d-667b-46d0-961b-b9042c082c2b.pdf" xr:uid="{C408FD0B-124B-4C3C-B4EB-8D4EE0C48149}"/>
    <hyperlink ref="AZ823" r:id="rId1007" display="https://d18rn0p25nwr6d.cloudfront.net/CIK-0001421461/f3f2915d-667b-46d0-961b-b9042c082c2b.pdf" xr:uid="{CC378E60-7E36-4D4B-A871-056CA077BC32}"/>
    <hyperlink ref="AZ214" r:id="rId1008" display="https://s28.q4cdn.com/607153883/files/doc_financials/2023/ar/22a5383e-3bd9-44c0-a3a0-46ea1482496a.pdf" xr:uid="{7D90B39E-F048-400B-8BC3-CB2E52DBA8FA}"/>
    <hyperlink ref="AZ850" r:id="rId1009" display="https://minedocs.com/24/Compass_Minerals-F10-K-2022.pdf" xr:uid="{76A299D8-EA97-48BA-8B0B-50C50ABDD4AD}"/>
    <hyperlink ref="AZ720" r:id="rId1010" display="https://michiganpotash.com/projects/" xr:uid="{AFBE8CB4-2173-43DB-BFB4-BDCA0AB1D096}"/>
    <hyperlink ref="AZ1068" r:id="rId1011" display="https://peakminerals.com/wp-content/uploads/2025/06/2025.6.20-Peak-Minerals-Teaser.pdf" xr:uid="{B1094212-21FC-4A96-8190-2A6AB82D5A3D}"/>
    <hyperlink ref="AZ1067" r:id="rId1012" display="https://peakminerals.com/wp-content/uploads/2025/06/2025.6.20-Peak-Minerals-Teaser.pdf" xr:uid="{066E0634-177A-42DE-B68C-5C4CCEA1EB11}"/>
    <hyperlink ref="AZ843" r:id="rId1013" display="https://www.goldseiten.de/artikel/308083--IC-Potash-Announces-the-Results-of-a-Preliminary-Economic-Assessment-of-Its-Ochoa-Polyhalite-Project-with-a-Capex-of-368-Million-28Prozent-IRR-and-an-NPV~.html" xr:uid="{E9995676-3854-45D8-B0BB-C73A613AFA62}"/>
    <hyperlink ref="AZ844" r:id="rId1014" display="https://www.goldseiten.de/artikel/308083--IC-Potash-Announces-the-Results-of-a-Preliminary-Economic-Assessment-of-Its-Ochoa-Polyhalite-Project-with-a-Capex-of-368-Million-28Prozent-IRR-and-an-NPV~.html" xr:uid="{D9B94B06-15F6-47E8-A982-D5A5A047AEA7}"/>
    <hyperlink ref="AZ593" r:id="rId1015" display="https://pubs.usgs.gov/myb/vol1/2019/myb1-2019-rhenium.pdf" xr:uid="{46D26BB9-BA2F-4073-9B74-56B3A4F27FF6}"/>
    <hyperlink ref="AZ166" r:id="rId1016" display="https://www.aaamolybdenum.com/about/" xr:uid="{46CEF166-5979-4F7C-ABB7-7639E6FE2B26}"/>
    <hyperlink ref="AZ401" r:id="rId1017" display="https://colonialmetals.com/products/" xr:uid="{252067B0-3852-4985-84CC-0D6283237489}"/>
    <hyperlink ref="AZ1045" r:id="rId1018" display="https://pubs.usgs.gov/myb/vol1/2019/myb1-2019-rhenium.pdf" xr:uid="{97BE96D5-C2D1-4D19-A3A4-1C6B80A93D93}"/>
    <hyperlink ref="AZ1044" r:id="rId1019" display="https://www.bloomberg.com/profile/company/7654695Z:US" xr:uid="{66D0BE31-70B3-48BA-A7B9-F281CC2A436C}"/>
    <hyperlink ref="AZ1043" r:id="rId1020" display="https://www.bloomberg.com/profile/company/7654695Z:US" xr:uid="{F66EECB3-8E0C-411B-A6AA-4047D42F2E37}"/>
    <hyperlink ref="AZ402" r:id="rId1021" display="https://colonialmetals.com/services/refining-services/" xr:uid="{8907243C-5BAB-4C27-B5FE-04E0A2D35D08}"/>
    <hyperlink ref="AZ68" r:id="rId1022" display="https://www.pyromet999.com/" xr:uid="{5A6487C8-39C8-4B36-AE1B-94B40BB7D06D}"/>
    <hyperlink ref="AZ940" r:id="rId1023" display="https://titanintl.com/projects/rhenium/" xr:uid="{7308A16D-094F-4C4B-BF51-27D81177FFBA}"/>
    <hyperlink ref="AZ269" r:id="rId1024" display="https://link.springer.com/article/10.1007/s13563-023-00392-0" xr:uid="{609C9FD9-4564-4636-89BA-0B5AEF9BD9FD}"/>
    <hyperlink ref="AZ513" r:id="rId1025" display="https://link.springer.com/article/10.1007/s13563-023-00392-0" xr:uid="{27F98195-708A-40D1-A15F-821928BC86F4}"/>
    <hyperlink ref="AZ592" r:id="rId1026" display="https://pubs.usgs.gov/myb/vol1/2022/myb1-2022-selenium-tellurium.pdf" xr:uid="{300D97CA-40B0-48F2-9B72-474F556D55F0}"/>
    <hyperlink ref="AZ970" r:id="rId1027" xr:uid="{5BE43A39-F799-4D08-BB50-DCBC2DD096AD}"/>
    <hyperlink ref="AZ340" r:id="rId1028" xr:uid="{3E0FEE46-6807-4F7D-8231-8923E058C447}"/>
    <hyperlink ref="AZ341" r:id="rId1029" xr:uid="{24985A8D-B88F-4924-BB96-FFBCC2F3623A}"/>
    <hyperlink ref="AZ594" r:id="rId1030" display="https://pubs.usgs.gov/myb/vol1/2022/myb1-2022-selenium-tellurium.pdf" xr:uid="{6D45B27F-7D1D-4C97-8785-63CF55910820}"/>
    <hyperlink ref="AZ125" r:id="rId1031" display="https://pubs.usgs.gov/myb/vol1/2022/myb1-2022-selenium-tellurium.pdf" xr:uid="{D46CD11E-AC80-40D9-9B19-5611CE617CC2}"/>
    <hyperlink ref="AZ389" r:id="rId1032" display="https://pubs.usgs.gov/myb/vol1/2022/myb1-2022-selenium-tellurium.pdf" xr:uid="{7154686F-F4ED-496F-A16F-C172A7CB8368}"/>
    <hyperlink ref="AZ784" r:id="rId1033" xr:uid="{8FD6C831-7D62-40D5-A3DC-224CF861C4EE}"/>
    <hyperlink ref="AZ1200" r:id="rId1034" display="https://www.fastmarkets.com/insights/ira-energy-transition-to-spur-western-silicon-metal-production/" xr:uid="{CCE8DB02-849E-4640-A434-709E46FDAECD}"/>
    <hyperlink ref="AZ120" r:id="rId1035" display="https://www.ferroglobe.com/about-ferroglobe/industrial-footprint/beverly" xr:uid="{FA3F1E56-B88A-445B-96C2-E311755E9B6B}"/>
    <hyperlink ref="AZ193" r:id="rId1036" display="https://munistrategies.com/project_portfolio/mississippi-silicon/" xr:uid="{473ADCCE-02BC-4299-8A65-01EE5BD7453E}"/>
    <hyperlink ref="AZ32" r:id="rId1037" display="https://dep.wv.gov/daq/permitting/titlevpermits/Documents/December 2016/WVA Alloy renew app.pdf" xr:uid="{B2BCC1FD-FCFE-423C-9028-EA0E839B8874}"/>
    <hyperlink ref="AZ1064" r:id="rId1038" display="https://www.ferroglobe.com/news-releases/news-release-details/ferroglobe-announces-restart-second-silicon-metal-furnace-selma" xr:uid="{F8BB1D3C-0830-4099-9D5F-8958D9E38A67}"/>
    <hyperlink ref="AZ1246" r:id="rId1039" display="https://comstock.inc/press-release/comstock-metals-awarded-tax-abatement-from-the-nevada-governors-office-of-economic-development/" xr:uid="{5CCB27A1-1451-4173-90BD-01E380FA10BF}"/>
    <hyperlink ref="AZ1189" r:id="rId1040" display="https://www.hpsacorp.com/products/" xr:uid="{BF69ACE6-D350-4A33-92AF-4981AB780174}"/>
    <hyperlink ref="AZ198" r:id="rId1041" display="https://storage.mfn.se/937e65eb-ca32-4b69-a3d8-fcd5b72ea43b/rec-silicon-annual-report-2024.pdf" xr:uid="{B30C1730-8484-4779-B481-C93842825B8D}"/>
    <hyperlink ref="AZ774" r:id="rId1042" display="https://recsilicon.com/about-us/" xr:uid="{3F565BBD-6FB0-4505-94D0-2DEC686BCCDA}"/>
    <hyperlink ref="AZ268" r:id="rId1043" xr:uid="{B9458FAF-7E24-42B3-9BFF-3E5CFCF6F0D6}"/>
    <hyperlink ref="AZ267" r:id="rId1044" xr:uid="{42C1A008-3B58-47A8-815B-FD6C5AC42B3D}"/>
    <hyperlink ref="AZ512" r:id="rId1045" display="https://www.mlive.com/public-interest/2021/03/hidden-in-the-cornfields-michigan-has-its-own-little-silicon-valley.html" xr:uid="{D525498C-B7B4-4282-91EE-41957CD2D77C}"/>
    <hyperlink ref="AZ228" r:id="rId1046" display="https://www.bernreuter.com/newsroom/press-releases/bernreuter-research-wacker-is-new-polysilicon-market-leader/" xr:uid="{6D352661-150F-4AD5-B367-5AED0AC773DB}"/>
    <hyperlink ref="AZ1289" r:id="rId1047" display="https://amg-v.com/news/article/amg-advanced-metallurgical-group-n-v-completes-feasibility-study-to-expand-spent-catalyst-processing-capacity/" xr:uid="{8A319846-9AD4-4CEE-A6B2-B4AD58D36E29}"/>
    <hyperlink ref="AZ508" r:id="rId1048" display="https://19january2017snapshot.epa.gov/enforcement/reference-news-release-us-epa-requires-asarco-cut-toxic-emissions-103-year-old-arizona_.html" xr:uid="{5A1F555A-80B2-41FE-B36A-2E5453DF00AF}"/>
    <hyperlink ref="AZ597" r:id="rId1049" display="http://www.sulphuric-acid.com/sulphuric-acid-on-the-web/acid plants/Kennecott Utah Copper - Salt Lake City.htm" xr:uid="{DE4A7128-3BFA-43C2-8090-27294FC1D53B}"/>
    <hyperlink ref="AZ718" r:id="rId1050" display="http://www.sulphuric-acid.com/sulphuric-acid-on-the-web/acid plants/Freeport - Miami Smelter.htm" xr:uid="{7BCA10E0-D084-4241-8852-DD81AA4A1F00}"/>
    <hyperlink ref="AZ1216" r:id="rId1051" display="http://www.sulphuric-acid.com/sulphuric-acid-on-the-web/acid plants/Chemtrade - Tulsa.htm" xr:uid="{7A0E1319-ECC3-415E-8ED4-5ABE8220B64B}"/>
    <hyperlink ref="AZ200" r:id="rId1052" display="http://www.sulphuric-acid.com/Sulphuric-Acid-on-the-Web/Acid Plants/Chemtrade - Cairo.htm" xr:uid="{017305FB-E423-4A33-A155-38960753A5F4}"/>
    <hyperlink ref="AZ992" r:id="rId1053" display="http://www.sulphuric-acid.com/sulphuric-acid-on-the-web/acid plants/General Chemical - Richmond.htm" xr:uid="{6930296D-DF1B-44B9-A20E-6E0D1FA9701E}"/>
    <hyperlink ref="AZ98" r:id="rId1054" display="http://www.sulphuric-acid.com/Sulphuric-Acid-on-the-Web/Acid Plants/Mosaic - Bartow.htm" xr:uid="{9B213C3D-FE7B-44C9-A0A3-93A5CBFA4171}"/>
    <hyperlink ref="AZ174" r:id="rId1055" display="http://www.sulphuric-acid.com/sulphuric-acid-on-the-web/acid plants/pvs chemical - buffalo.htm" xr:uid="{EFD214A0-8EC2-44FA-A20F-3E46F12520D7}"/>
    <hyperlink ref="AZ71" r:id="rId1056" display="http://www.sulphuric-acid.com/Sulphuric-Acid-on-the-Web/Acid Plants/PCS Phosphates - Aurora.htm" xr:uid="{75E773FB-0206-45BF-BA7F-CFE3320FC280}"/>
    <hyperlink ref="AZ937" r:id="rId1057" display="https://www.ineos.com/sites/port-neches/" xr:uid="{9C2D6A81-A922-4E94-85D0-E252FACE02B0}"/>
    <hyperlink ref="AZ237" r:id="rId1058" display="http://www.sulphuric-acid.com/Sulphuric-Acid-on-the-Web/Acid Plants/PVS Chemical - Chicago.htm" xr:uid="{B26C521E-A69E-459A-8A95-204C8DAAD891}"/>
    <hyperlink ref="AZ235" r:id="rId1059" display="http://www.sulphuric-acid.com/Sulphuric-Acid-on-the-Web/Acid Plants/PVS Chemical - Chicago.htm" xr:uid="{83F8512B-38E8-48FB-990B-F77A8D3F2806}"/>
    <hyperlink ref="AZ236" r:id="rId1060" display="http://www.sulphuric-acid.com/Sulphuric-Acid-on-the-Web/Acid Plants/PVS Chemical - Chicago.htm" xr:uid="{574CD42F-ABCA-415C-9E62-1F917451849D}"/>
    <hyperlink ref="AZ234" r:id="rId1061" display="http://www.sulphuric-acid.com/Sulphuric-Acid-on-the-Web/Acid Plants/PVS Chemical - Chicago.htm" xr:uid="{0ABA26A8-2C66-4647-8367-413EB0665541}"/>
    <hyperlink ref="AZ860" r:id="rId1062" display="http://www.sulphuric-acid.com/Sulphuric-Acid-on-the-Web/Acid Plants/BASF - Hannibal.htm" xr:uid="{7AA2E007-9913-41F7-87BC-19C8473B398B}"/>
    <hyperlink ref="AZ108" r:id="rId1063" display="http://www.sulphuric-acid.com/Sulphuric-Acid-on-the-Web/Acid Plants/Chemtrade - Beaumont.htm" xr:uid="{5A02047C-EE95-43A6-8D70-EA5992B787E8}"/>
    <hyperlink ref="AZ407" r:id="rId1064" xr:uid="{B65E5633-78BA-4750-A246-8517FC6D4CEB}"/>
    <hyperlink ref="AZ996" r:id="rId1065" display="http://www.sulphuric-acid.com/Sulphuric-Acid-on-the-Web/Acid Plants/Chemtrade - Riverton.htm" xr:uid="{318AE2BB-7274-4F70-983F-05BCD79D47E2}"/>
    <hyperlink ref="AZ1077" r:id="rId1066" display="http://www.sulphuric-acid.com/Sulphuric-Acid-on-the-Web/Acid Plants/Chemtrade - Shreveport.htm" xr:uid="{C5417EB8-6832-4F0F-95A6-ED57B1769F9B}"/>
    <hyperlink ref="AZ506" r:id="rId1067" display="http://www.sulphuric-acid.com/Sulphuric-Acid-on-the-Web/Acid Plants/Chevron - Hawaii.htm" xr:uid="{52880D2C-98DA-4018-B0F8-971C87EADA17}"/>
    <hyperlink ref="AZ621" r:id="rId1068" display="http://www.sulphuric-acid.com/Sulphuric-Acid-on-the-Web/Acid Plants/ConocoPhillips - Westlake.htm" xr:uid="{149EA1E0-963B-4DC1-871B-4BBBDCDCB9D5}"/>
    <hyperlink ref="AZ658" r:id="rId1069" display="http://www.sulphuric-acid.com/Sulphuric-Acid-on-the-Web/Acid Plants/ConocoPhillips - Wilmington.htm" xr:uid="{FC37197B-AE5C-4F6C-8E26-8A57EB8E4B71}"/>
    <hyperlink ref="AZ439" r:id="rId1070" display="http://www.sulphuric-acid.com/Sulphuric-Acid-on-the-Web/Acid Plants/CornerstoneChemical-Fortier.htm" xr:uid="{2ACEB637-6C32-4ECB-8E8E-680632CE9364}"/>
    <hyperlink ref="AZ643" r:id="rId1071" display="http://www.sulphuric-acid.com/Sulphuric-Acid-on-the-Web/Acid Plants/Du Pont - Bayway.htm" xr:uid="{33159D1D-1247-44F0-91E1-EE69A479D5D4}"/>
    <hyperlink ref="AZ191" r:id="rId1072" display="http://www.sulphuric-acid.com/Sulphuric-Acid-on-the-Web/Acid Plants/Du Pont - Burnside.htm" xr:uid="{62D06FE7-63B8-4EBD-80A7-EBB1E535E200}"/>
    <hyperlink ref="AZ146" r:id="rId1073" display="http://www.sulphuric-acid.com/Sulphuric-Acid-on-the-Web/Acid Plants/Du Pont - El Paso.htm" xr:uid="{0F1DC3AA-18B5-499A-8F1F-2E268F01C7A5}"/>
    <hyperlink ref="AZ972" r:id="rId1074" display="http://www.sulphuric-acid.com/sulphuric-acid-on-the-web/acid plants/Du Pont - Red Lion.htm" xr:uid="{90BCFEC9-7F3D-4E9C-97E8-24C960CB81FB}"/>
    <hyperlink ref="AZ1019" r:id="rId1075" display="http://www.sulphuric-acid.com/Sulphuric-Acid-on-the-Web/Acid Plants/Flint Hills Resources - Rosemount.htm" xr:uid="{D4D7B710-1031-47DB-BDFC-E59A0DB9529D}"/>
    <hyperlink ref="AZ41" r:id="rId1076" display="http://www.sulphuric-acid.com/Sulphuric-Acid-on-the-Web/Acid Plants/General Chemical - Anacortes.htm" xr:uid="{0B5D49D0-17E1-416E-8A9F-A56C92A91D17}"/>
    <hyperlink ref="AZ704" r:id="rId1077" display="https://www.dispatch.com/story/business/2018/02/13/columbus-plaskolite-to-purchase-memphis/14803972007/?gnt-cfr=1&amp;gca-cat=p&amp;gca-uir=false&amp;gca-epti=z1167xxe1167xxv000048&amp;gca-ft=110&amp;gca-ds=sophi" xr:uid="{066ED9A1-CF6E-4531-8082-D679DEE5BDDA}"/>
    <hyperlink ref="AZ109" r:id="rId1078" display="http://www.sulphuric-acid.com/sulphuric-acid-on-the-web/acid plants/Lucite - Nederland.htm" xr:uid="{03168093-5F41-465E-BE6D-797B90CEAE4E}"/>
    <hyperlink ref="AZ854" r:id="rId1079" display="http://www.sulphuric-acid.com/Sulphuric-Acid-on-the-Web/Acid Plants/Marsulex - Oregon.htm" xr:uid="{C2604715-7028-4227-B958-1E8C6DE05C0E}"/>
    <hyperlink ref="AZ101" r:id="rId1080" display="http://www.sulphuric-acid.com/Sulphuric-Acid-on-the-Web/Acid Plants/Rhodia - Baton Rouge.htm" xr:uid="{FE5D8364-FABE-49C7-A6EB-383219010C9D}"/>
    <hyperlink ref="AZ359" r:id="rId1081" display="http://www.sulphuric-acid.com/Sulphuric-Acid-on-the-Web/Acid Plants/Rhodia - Dominguez.htm" xr:uid="{F4CC5B36-8637-4469-B904-098D1970267A}"/>
    <hyperlink ref="AZ103" r:id="rId1082" display="http://www.sulphuric-acid.com/Sulphuric-Acid-on-the-Web/Acid Plants/Rhodia - Baytown.htm" xr:uid="{E8D49BA1-EC27-485E-A1E9-2EF3B6BF7DB0}"/>
    <hyperlink ref="AZ665" r:id="rId1083" xr:uid="{515A2AD6-A031-4F92-8E95-3DF55F2E1D8E}"/>
    <hyperlink ref="AZ667" r:id="rId1084" xr:uid="{81C0F6C6-749E-47BF-94C0-D2A5BB314803}"/>
    <hyperlink ref="AZ666" r:id="rId1085" xr:uid="{939CADB0-5B72-4AAD-A375-CC0035598A00}"/>
    <hyperlink ref="AZ104" r:id="rId1086" display="http://www.sulphuric-acid.com/Sulphuric-Acid-on-the-Web/Acid Plants/Rhodia - Baytown.htm" xr:uid="{C71BB6B1-CCBD-431B-A6C0-472B6115EC37}"/>
    <hyperlink ref="AZ538" r:id="rId1087" display="http://www.sulphuric-acid.com/Sulphuric-Acid-on-the-Web/Acid Plants/Rhodia - Houston.htm" xr:uid="{54AE2FBA-BD2D-40DB-AD29-8DA591559104}"/>
    <hyperlink ref="AZ692" r:id="rId1088" display="http://www.sulphuric-acid.com/Sulphuric-Acid-on-the-Web/Acid Plants/Rhodia - Martinez.htm" xr:uid="{8D4004D2-7048-49FF-9E34-6D485810E629}"/>
    <hyperlink ref="AZ339" r:id="rId1089" display="https://www.icis.com/explore/resources/news/2008/09/15/9156429/plant-restarts-could-take-weeks-after-ike/" xr:uid="{DCA0F508-5578-4C38-B473-76849515B716}"/>
    <hyperlink ref="AZ700" r:id="rId1090" display="http://www.sulphuric-acid.com/Sulphuric-Acid-on-the-Web/Acid Plants/Valero - McKee Refinery.htm" xr:uid="{303D01D3-70C4-468D-8978-BBBB83B34967}"/>
    <hyperlink ref="AZ807" r:id="rId1091" display="C:\Users\tmobrien\AppData\Local\Temp\1\MicrosoftEdgeDownloads\81fb513d-96dc-4962-966b-4767149dd5bc\BIS-2025-0021-0112_attachment_1.pdf" xr:uid="{9EE4A08E-F6AB-44CC-9C26-825EAFA8E99E}"/>
    <hyperlink ref="AZ806" r:id="rId1092" display="https://investor.materion.com/news/news-details/2022/Materion-Announces-20M-in-Investments-in-Massachusetts-Facility-to-Expand-Capacity-for-the-Semiconductor-Industry/default.aspx" xr:uid="{2877D6E4-345A-4FBA-81AD-763F440EE38F}"/>
    <hyperlink ref="AZ158" r:id="rId1093" display="https://natlawreview.com/press-releases/global-advanced-metals-awarded-dla-contract-tantalum-ingots" xr:uid="{AB871613-F806-4F70-B67F-059DCD978014}"/>
    <hyperlink ref="AZ1182" r:id="rId1094" display="https://conecsusllc.com/about/" xr:uid="{BE379AE5-F0F2-46A3-801D-AA0FE9322935}"/>
    <hyperlink ref="AZ1181" r:id="rId1095" display="https://conecsusllc.com/about/" xr:uid="{60E6BB1E-587D-4B26-BB49-D2E356ECDAE8}"/>
    <hyperlink ref="AZ1197" r:id="rId1096" display="https://www.internationaltin.org/nathan-trotter-breaks-ground-on-us-tin-smelter/" xr:uid="{95EF1C74-08E9-4E12-B8E2-F6673FA8121F}"/>
    <hyperlink ref="AZ1257" r:id="rId1097" display="https://www.tintech.com/materials" xr:uid="{1E8D401C-5CC0-4F67-9691-E91E419F3F74}"/>
    <hyperlink ref="AZ1146" r:id="rId1098" display="https://appiancapitaladvisory.com/portfolio/asm/" xr:uid="{4D74087B-2F74-482E-BE4A-ACC2755004C3}"/>
    <hyperlink ref="AZ1145" r:id="rId1099" display="https://appiancapitaladvisory.com/portfolio/asm/" xr:uid="{80E7BAC7-03D5-47A7-8976-507174E4A2E9}"/>
    <hyperlink ref="AZ739" r:id="rId1100" display="https://appiancapitaladvisory.com/portfolio/asm/" xr:uid="{95150D5B-4571-42AC-ACE7-97D50781F260}"/>
    <hyperlink ref="AZ738" r:id="rId1101" display="https://appiancapitaladvisory.com/portfolio/asm/" xr:uid="{98B4FE01-F80D-4295-85B0-2A1EE60A62B8}"/>
    <hyperlink ref="AZ853" r:id="rId1102" display="https://appiancapitaladvisory.com/portfolio/asm/" xr:uid="{3B094CFF-2EF0-47FF-AFE0-A402CE51DEF5}"/>
    <hyperlink ref="AZ852" r:id="rId1103" display="https://appiancapitaladvisory.com/portfolio/asm/" xr:uid="{D337C694-7232-42B4-936C-215126B2E844}"/>
    <hyperlink ref="AZ570" r:id="rId1104" display="https://iperionx.com/2025/10/30/iperionx-september-2025-quarterly-report/" xr:uid="{EF773B85-BEE8-448F-A804-D98833050E42}"/>
    <hyperlink ref="AZ1201" r:id="rId1105" display="https://iperionx.com/wp-content/uploads/2022/07/Scoping-Study-June-30.pdf" xr:uid="{4881F5AD-BB42-4503-9855-57946A2B93D7}"/>
    <hyperlink ref="AZ1203" r:id="rId1106" display="https://iperionx.com/wp-content/uploads/2022/07/Scoping-Study-June-30.pdf" xr:uid="{74232C87-D173-4A32-B538-CEFC1DFEE798}"/>
    <hyperlink ref="AZ1202" r:id="rId1107" display="https://iperionx.com/wp-content/uploads/2022/07/Scoping-Study-June-30.pdf" xr:uid="{9653A7B1-26B4-49BC-AF66-C9DB3DBBF07A}"/>
    <hyperlink ref="AZ33" r:id="rId1108" display="https://encoreuranium.com/wp-content/uploads/2023/02/TechReport.pdf" xr:uid="{E0ED6F30-D3CC-4D19-A632-130B1EABB0E1}"/>
    <hyperlink ref="AZ34" r:id="rId1109" display="https://encoreuranium.com/wp-content/uploads/2023/02/TechReport.pdf" xr:uid="{78058DAF-6205-4C0D-B3CF-635A62B49152}"/>
    <hyperlink ref="AZ528" r:id="rId1110" display="https://www.world-nuclear-news.org/articles/production-begins-at-us-uranium-project" xr:uid="{A133F87C-0BC4-4DDF-BB1A-840981F277FF}"/>
    <hyperlink ref="AZ614" r:id="rId1111" display="https://energyfuels.com/wp-content/uploads/2025/01/REVISED-FINAL_SLR-Energy-Fuels-La-Sal-FINAL-Technical-Report-23-Feb-2022.pdf" xr:uid="{5F963235-9E58-4461-904A-5A304C5BFA85}"/>
    <hyperlink ref="AZ615" r:id="rId1112" display="https://energyfuels.com/wp-content/uploads/2025/01/REVISED-FINAL_SLR-Energy-Fuels-La-Sal-FINAL-Technical-Report-23-Feb-2022.pdf" xr:uid="{91B91408-0912-4897-90B4-7877A29FE1B8}"/>
    <hyperlink ref="AZ328" r:id="rId1113" display="https://www.cameco.com/annual_report/2015/mda/our-operations-and-projects/uranium-operating-properties/crow-butte/" xr:uid="{C5BD0137-875F-47C4-AD59-AA54C89B9047}"/>
    <hyperlink ref="AZ329" r:id="rId1114" display="https://www.cameco.com/annual_report/2015/mda/our-operations-and-projects/uranium-operating-properties/crow-butte/" xr:uid="{4549E1C4-7CD5-4D39-B5C3-5271DE237346}"/>
    <hyperlink ref="AZ611" r:id="rId1115" display="https://encoreuranium.com/wp-content/uploads/2024/04/enCore_AR2023_FINAL.pdf" xr:uid="{772F091B-454E-4E0A-843E-1B06CA82F68C}"/>
    <hyperlink ref="AZ1022" r:id="rId1116" display="https://www.pel.net.au/wp-content/uploads/2022/08/DFS-Completed-for-Lance.pdf" xr:uid="{33DFC712-09AE-48DB-86BE-E15D8A38768E}"/>
    <hyperlink ref="AZ884" r:id="rId1117" display="https://www.energyfuels.com/pinyon-plain-mine/" xr:uid="{83822DF9-D09A-4BA4-901A-2AD96749508E}"/>
    <hyperlink ref="AZ197" r:id="rId1118" display="https://encoreuranium.com/wp-content/uploads/2025/02/2025_2_13_South-Texas-Uranium-Project-Technical-Report_FINAL.pdf" xr:uid="{304B5EAA-2981-487F-9B6C-F54F60D9CCC7}"/>
    <hyperlink ref="AZ1228" r:id="rId1119" display="https://encoreuranium.com/wp-content/uploads/2025/02/2025_2_13_South-Texas-Uranium-Project-Technical-Report_FINAL.pdf" xr:uid="{C802D8E9-6235-4CEC-B834-FC48EF568EB5}"/>
    <hyperlink ref="AZ1021" r:id="rId1120" display="https://encoreuranium.com/wp-content/uploads/2025/02/2025_2_13_South-Texas-Uranium-Project-Technical-Report_FINAL.pdf" xr:uid="{725BBA2D-2BBE-41D7-AB73-7545863CF4C8}"/>
    <hyperlink ref="AZ1229" r:id="rId1121" display="https://encoreuranium.com/wp-content/uploads/2025/02/2025_2_13_South-Texas-Uranium-Project-Technical-Report_FINAL.pdf" xr:uid="{1F1D1708-A0D5-4188-9AD0-F032899E5C5A}"/>
    <hyperlink ref="AZ1091" r:id="rId1122" display="https://www.cameco.com/businesses/uranium-operations/suspended/smith-ranch-highland" xr:uid="{52B0B325-822E-4718-915C-69212DC34BA1}"/>
    <hyperlink ref="AZ1167" r:id="rId1123" location=":~:text=About%20the%20Sweetwater%20Processing%20Plant,infrastructure%20and%20enhanced%20operating%20synergies." display="https://www.prnewswire.com/news-releases/uranium-energy-corp-sweetwater-project-designated-by-us-government-for-fast-track-permitting-to-add-in-situ-recovery-capability-creating-the-largest-dual-feed-uranium-facility-in-the-us-302521478.html - :~:text=About%20the%20Sweetwater%20Processing%20Plant,infrastructure%20and%20enhanced%20operating%20synergies." xr:uid="{10C409FF-497E-40A1-B2A7-51597FD866E1}"/>
    <hyperlink ref="AZ121" r:id="rId1124" location=":~:text=About%20the%20Sweetwater%20Processing%20Plant,infrastructure%20and%20enhanced%20operating%20synergies." display="https://www.prnewswire.com/news-releases/uranium-energy-corp-sweetwater-project-designated-by-us-government-for-fast-track-permitting-to-add-in-situ-recovery-capability-creating-the-largest-dual-feed-uranium-facility-in-the-us-302521478.html - :~:text=About%20the%20Sweetwater%20Processing%20Plant,infrastructure%20and%20enhanced%20operating%20synergies." xr:uid="{235BBF20-421C-43CB-A2FC-11D1140C337F}"/>
    <hyperlink ref="AZ579" r:id="rId1125" location=":~:text=About%20the%20Sweetwater%20Processing%20Plant,infrastructure%20and%20enhanced%20operating%20synergies." display="https://www.prnewswire.com/news-releases/uranium-energy-corp-sweetwater-project-designated-by-us-government-for-fast-track-permitting-to-add-in-situ-recovery-capability-creating-the-largest-dual-feed-uranium-facility-in-the-us-302521478.html - :~:text=About%20the%20Sweetwater%20Processing%20Plant,infrastructure%20and%20enhanced%20operating%20synergies." xr:uid="{92473575-5FDA-44B5-80BE-5C480CE548E0}"/>
    <hyperlink ref="AZ572" r:id="rId1126" xr:uid="{67225D94-63CB-450D-A849-C9D5A1C03E79}"/>
    <hyperlink ref="AZ1275" r:id="rId1127" display="https://investors.energyfuels.com/2019-02-12-Energy-Fuels-Producing-Vanadium-at-Commercial-Levels-Vanadium-Shipments-Commenced" xr:uid="{A954696C-B8C6-4734-A867-C36525DCEDB8}"/>
    <hyperlink ref="AZ571" r:id="rId1128" display="https://www.uraniumenergy.com/projects/wyoming/" xr:uid="{FD596E85-D482-4ABE-9C4D-EFEE17AB894A}"/>
    <hyperlink ref="AZ247" r:id="rId1129" display="https://www.sec.gov/Archives/edgar/data/1334933/000143774922022435/ex_423213.htm" xr:uid="{2369A442-3209-4AF8-854D-638CF9EDD6E7}"/>
    <hyperlink ref="AZ756" r:id="rId1130" xr:uid="{00EB7657-24B5-4283-8CAA-93A56BDC9173}"/>
    <hyperlink ref="AZ758" r:id="rId1131" xr:uid="{6BA66DFC-4CDE-4122-AF4A-E1B8D2D5CF00}"/>
    <hyperlink ref="AZ757" r:id="rId1132" xr:uid="{01950B99-D04C-4942-92EA-B28BDEA2B76D}"/>
    <hyperlink ref="AZ490" r:id="rId1133" xr:uid="{B0AAC799-247C-4417-9D27-CBD1BB81B951}"/>
    <hyperlink ref="AZ487" r:id="rId1134" xr:uid="{4782896F-EBD0-4041-B3A7-988286079949}"/>
    <hyperlink ref="AZ488" r:id="rId1135" xr:uid="{765C8375-C026-41FB-B72D-64CC55319035}"/>
    <hyperlink ref="AZ489" r:id="rId1136" xr:uid="{B79BDFDD-5C06-4C2C-BE02-4BC43C58F3DF}"/>
    <hyperlink ref="AZ491" r:id="rId1137" xr:uid="{E2134FB1-D82E-4A19-B7B3-97571B1865D2}"/>
    <hyperlink ref="AZ353" r:id="rId1138" display="https://encoreuranium.com/wp-content/uploads/2025/03/Dewey-Burdock-2024-S-K-1300-Technical-Report-Summary_ROpt.pdf" xr:uid="{4BA96E7A-D2A7-4FE7-A606-C15CABB3215B}"/>
    <hyperlink ref="AZ187" r:id="rId1139" display="https://encoreuranium.com/wp-content/uploads/2025/03/Dewey-Burdock-2024-S-K-1300-Technical-Report-Summary_ROpt.pdf" xr:uid="{DE2D16FA-4A54-41E8-8FF9-3033DE502FA5}"/>
    <hyperlink ref="AZ695" r:id="rId1140" display="https://www.western-uranium.com/_resources/presentations/corporate-presentation.pdf" xr:uid="{77486955-4311-4B17-A896-D0FF08A27547}"/>
    <hyperlink ref="AZ789" r:id="rId1141" display="https://www.western-uranium.com/_resources/presentations/corporate-presentation.pdf" xr:uid="{5BCBBBE2-12D5-407C-A41C-2C46C715F517}"/>
    <hyperlink ref="AZ1210" r:id="rId1142" display="https://www.isoenergy.ca/portfolio/us/tony-m/" xr:uid="{D3DF557C-406A-405D-97E1-0CDF3520F162}"/>
    <hyperlink ref="AZ1150" r:id="rId1143" display="https://western-uranium.com/reports/Technical_Report_Sunday_Mine_Complex.pdf" xr:uid="{B2E80225-61A1-429D-A986-61E418D09593}"/>
    <hyperlink ref="AZ696" r:id="rId1144" display="https://www.western-uranium.com/_resources/presentations/corporate-presentation.pdf" xr:uid="{2DA6F91B-0E4B-422C-8B59-F669DFC0516A}"/>
    <hyperlink ref="AZ788" r:id="rId1145" display="https://www.western-uranium.com/_resources/presentations/corporate-presentation.pdf" xr:uid="{97220FD9-CD3E-4B86-B798-C362CD8FEAE4}"/>
    <hyperlink ref="AZ1233" r:id="rId1146" display="https://brsengineering.com/wp-content/uploads/2025/08/BRS-Engineering-Velvet-Wood_Slick_Rock_Shootaring_43-101-March-6-2023.pdf" xr:uid="{36040628-8F25-4564-996E-FFDBA9586EDA}"/>
    <hyperlink ref="AZ1232" r:id="rId1147" display="https://brsengineering.com/wp-content/uploads/2025/08/BRS-Engineering-Velvet-Wood_Slick_Rock_Shootaring_43-101-March-6-2023.pdf" xr:uid="{7BC7C150-84D6-4613-9E9D-6BC440A732E0}"/>
    <hyperlink ref="AZ1076" r:id="rId1148" display="https://anfieldenergy.com/shootaring-canyon-mill/" xr:uid="{9A64BD6C-8062-4233-AD84-C8F173E9125A}"/>
    <hyperlink ref="AZ1075" r:id="rId1149" display="https://anfieldenergy.com/shootaring-canyon-mill/" xr:uid="{42D4553F-0EBA-4153-8F12-6C2CB47355E7}"/>
    <hyperlink ref="AZ1273" r:id="rId1150" display="https://www.energyfuels.com/standby-mines/" xr:uid="{623AE417-D16B-46F9-A23F-8D806077200D}"/>
    <hyperlink ref="AZ1272" r:id="rId1151" display="https://www.energyfuels.com/standby-mines/" xr:uid="{6C8646D4-76E0-4041-B525-343C20EFF9AE}"/>
    <hyperlink ref="AZ458" r:id="rId1152" display="https://minedocs.com/25/Gibellini-TR-09272023.pdf" xr:uid="{9FB1ED20-8F8E-4E2A-BADA-26C47AA8091F}"/>
    <hyperlink ref="AZ459" r:id="rId1153" display="https://minedocs.com/25/Gibellini-TR-09272023.pdf" xr:uid="{03895C42-8741-4CE7-BB84-991DAEF2A542}"/>
    <hyperlink ref="AZ231" r:id="rId1154" display="https://apcb.org/wp-content/uploads/2023/03/Allied-Metal-Permit-Application.pdf" xr:uid="{5EA8B686-882E-4CDD-B44A-31F4DCE1E7F0}"/>
    <hyperlink ref="AZ230" r:id="rId1155" display="https://alliedmetalcompany.com/" xr:uid="{6E658CAB-9C3D-488D-BDD6-1BA4ACEF958F}"/>
    <hyperlink ref="AZ350" r:id="rId1156" display="https://www.egle.state.mi.us/aps/downloads/srn/B2159/B2159_SAR_20220815.pdf" xr:uid="{6D06287D-EC20-47AC-BBF2-14CC6DB1882F}"/>
    <hyperlink ref="AZ233" r:id="rId1157" display="https://ghgdata.epa.gov/flight/details/1004427/2023/E" xr:uid="{839B5F82-E021-4C4F-A866-3716E3D31F4D}"/>
    <hyperlink ref="AZ766" r:id="rId1158" display="https://www.fastmarkets.com/insights/befesa-produces-shg-from-recycled-zinc/" xr:uid="{28E1DD9C-92E7-4366-AD1E-C739288AC0C8}"/>
    <hyperlink ref="AZ859" r:id="rId1159" display="https://www.befesa.com/about-befesa/markets-sites/" xr:uid="{151CF121-F03F-4377-B42C-5E1427CCC44A}"/>
    <hyperlink ref="AZ96" r:id="rId1160" display="https://www.befesa.com/about-befesa/markets-sites/" xr:uid="{35109F65-B382-411C-8D11-82DAE26C1098}"/>
    <hyperlink ref="AZ1017" r:id="rId1161" display="https://www.befesa.com/about-befesa/markets-sites/" xr:uid="{A13B553D-EE36-47F8-AF57-8485C38D9E77}"/>
    <hyperlink ref="AZ697" r:id="rId1162" display="https://www.eazall.com/" xr:uid="{262C832C-F61E-4273-8A8E-0EEF1544BD2A}"/>
    <hyperlink ref="AZ736" r:id="rId1163" display="https://www.steeldust.com/" xr:uid="{8DA6471A-66CF-4A5E-AEA4-D2BE72831DEC}"/>
    <hyperlink ref="AZ737" r:id="rId1164" display="https://www.steeldust.com/" xr:uid="{B35654BC-4B37-45CF-8CA5-16BBA6D66395}"/>
    <hyperlink ref="AZ251" r:id="rId1165" display="https://www.everzinc.com/en/fine-zinc-powder" xr:uid="{7727255B-AA93-47F6-ADF8-7DD6482EC69A}"/>
    <hyperlink ref="AZ735" r:id="rId1166" display="https://www.everzinc.com/en/chemicals-and-lubricants" xr:uid="{7CB9D143-1AA6-492F-8291-BFBF3880269B}"/>
    <hyperlink ref="AZ537" r:id="rId1167" display="https://enviro.epa.gov/enviro/P2_EF_Query.p2_report?FacilityId=77011GLFRD310NG&amp;ChemicalId=000000N420&amp;ReportingYear=2022&amp;DocCtrlNum=&amp;Opt=0" xr:uid="{42281C35-AA0C-4D51-A466-2E7E34CCD42C}"/>
    <hyperlink ref="AZ240" r:id="rId1168" display="https://imperialgp.com/our-companies/" xr:uid="{279896BF-8DEC-4565-B9B7-85B0DFBE0235}"/>
    <hyperlink ref="AZ748" r:id="rId1169" display="https://d9-wret.s3.us-west-2.amazonaws.com/assets/palladium/production/mineral-pubs/aluminum/myb1-2009-alumi.pdf" xr:uid="{D41744F4-51F0-4F02-9E9F-6B1FD85EA91F}"/>
    <hyperlink ref="AZ1051" r:id="rId1170" display="https://d9-wret.s3.us-west-2.amazonaws.com/assets/palladium/production/mineral-pubs/aluminum/myb1-2009-alumi.pdf" xr:uid="{71AB498B-ED5A-42E0-A1EE-45175FC77366}"/>
    <hyperlink ref="AZ732" r:id="rId1171" display="C:\Users\tmobrien\AppData\Local\Temp\1\MicrosoftEdgeDownloads\4c0b354c-8de5-436d-a30a-e720584a38ce\EPA-HQ-OAR-2006-0940-0022_content.pdf" xr:uid="{51CB9268-B72C-405B-B409-1E0FFE5AC616}"/>
    <hyperlink ref="AZ731" r:id="rId1172" display="C:\Users\tmobrien\AppData\Local\Temp\1\MicrosoftEdgeDownloads\4c0b354c-8de5-436d-a30a-e720584a38ce\EPA-HQ-OAR-2006-0940-0022_content.pdf" xr:uid="{C81ABB98-052A-455E-A036-B6FCCF10EF4E}"/>
    <hyperlink ref="AZ952" r:id="rId1173" display="https://purityzinc.com/" xr:uid="{C4022A89-CCAC-40A1-8751-560111EC0FE0}"/>
    <hyperlink ref="AZ136" r:id="rId1174" display="https://bluemoonmetals.com/project/blue-moon/" xr:uid="{469F07EB-FF7A-4739-8D90-D33D6E3AF62B}"/>
    <hyperlink ref="AZ138" r:id="rId1175" display="https://bluemoonmetals.com/project/blue-moon/" xr:uid="{CF7B62C0-31C5-4228-BA4E-FBD54A5C4ABA}"/>
    <hyperlink ref="AZ139" r:id="rId1176" display="https://bluemoonmetals.com/project/blue-moon/" xr:uid="{9BCFF8C9-8AA9-494C-9A32-2A2465E52DDF}"/>
    <hyperlink ref="AZ137" r:id="rId1177" display="https://bluemoonmetals.com/project/blue-moon/" xr:uid="{F4867F19-D69A-4639-AE3B-EF32417B0321}"/>
    <hyperlink ref="AZ520" r:id="rId1178" location=":~:text=The%20size%20of%20the%20Clark,based%20on%20Inferred%20Mineral%20Resources." display="https://www.south32.net/docs/default-source/exchange-releases/hermosa-project-update-0x6e16b082af2a4715.pdf?sfvrsn=9a4bb0cc_0 - :~:text=The%20size%20of%20the%20Clark,based%20on%20Inferred%20Mineral%20Resources." xr:uid="{316F9BAE-1AA4-488D-AEEB-1E772233E378}"/>
    <hyperlink ref="AZ521" r:id="rId1179" display="https://www.south32.net/docs/default-source/exchange-releases/hermosa-project-update-0x428e857ed5e3eb3f.pdf?sfvrsn=441372c7_0" xr:uid="{BA1637F2-8F04-4253-A282-1ACC97346394}"/>
    <hyperlink ref="AZ523" r:id="rId1180" display="https://www.south32.net/docs/default-source/exchange-releases/hermosa-project-update-0x428e857ed5e3eb3f.pdf?sfvrsn=441372c7_0" xr:uid="{E14E8024-CEF3-4DA2-BF9B-A408A4BC542F}"/>
    <hyperlink ref="AZ522" r:id="rId1181" display="https://www.south32.net/docs/default-source/exchange-releases/hermosa-project-update-0x428e857ed5e3eb3f.pdf?sfvrsn=441372c7_0" xr:uid="{ABFBE96C-43B6-42D0-92DB-DA4C5C0D0E60}"/>
    <hyperlink ref="AZ971" r:id="rId1182" display="https://dggs.alaska.gov/webpubs/dggs/po/text/po2025_001.pdf" xr:uid="{85F5D4C4-8AD2-414A-9C4E-A4FE8823CD31}"/>
    <hyperlink ref="AZ649" r:id="rId1183" location="products" display="https://waelzsp.com/ - products" xr:uid="{14884817-FD2B-4CEC-8936-A3521FA65E52}"/>
    <hyperlink ref="AZ78" r:id="rId1184" display="https://goldresourcecorp.com/site/assets/files/6493/sk1300_b40_gold_resource_corp_filed_10_27_2023.pdf" xr:uid="{157226D5-C600-40B9-904E-7B21D3045B4C}"/>
    <hyperlink ref="AZ1193" r:id="rId1185" xr:uid="{B911FE9A-8274-4E0A-A3D1-3C9A9BB12C10}"/>
    <hyperlink ref="AZ1194" r:id="rId1186" xr:uid="{E82218DB-2D6F-4A07-AA7D-D19B747BA913}"/>
    <hyperlink ref="AZ1192" r:id="rId1187" xr:uid="{C2DAB94C-D336-497C-AE7C-64C54FF6AAD9}"/>
    <hyperlink ref="AZ1195" r:id="rId1188" xr:uid="{F3EB5ED6-E042-4D13-A32B-D551163FC53E}"/>
    <hyperlink ref="AZ470" r:id="rId1189" xr:uid="{0B0F2E92-4554-4507-A488-A2B4D0088448}"/>
    <hyperlink ref="AZ394" r:id="rId1190" display="https://www.niocorp.com/wp-content/uploads/NioCorp_June-2022_NI_43-101_Technical_Report.pdf" xr:uid="{4E112B30-2762-4F69-A350-93E3C23326C0}"/>
    <hyperlink ref="AZ395" r:id="rId1191" display="https://www.niocorp.com/wp-content/uploads/NioCorp_June-2022_NI_43-101_Technical_Report.pdf" xr:uid="{B4B0C159-9FDC-40CB-86EB-946819CA47AC}"/>
    <hyperlink ref="AZ479" r:id="rId1192" display="https://www.i80gold.com/wp-content/uploads/2025/03/Granite-Creek-PEA-Technical-Report-Final-03_31_25.pdf" xr:uid="{61CE5DBC-B3F7-4BA6-91FC-7AC539D0677B}"/>
    <hyperlink ref="AZ5" r:id="rId1193" xr:uid="{0173600B-0F32-469B-8862-D5F4FD566D6C}"/>
    <hyperlink ref="AZ178" r:id="rId1194" xr:uid="{D76A5615-A36A-40AE-BD64-64CB08D5A83C}"/>
    <hyperlink ref="AZ115" r:id="rId1195" display="https://www.mining-technology.com/projects/betze-post-gold-mine-nevada/?cf-view" xr:uid="{DD322E98-5D79-46B0-AFB0-E515A574B2BD}"/>
    <hyperlink ref="AZ304" r:id="rId1196" xr:uid="{7FBDB053-BDF8-4D86-A047-583848A8B08C}"/>
    <hyperlink ref="AZ307" r:id="rId1197" xr:uid="{039E986C-E2DB-43FE-A422-A263ACC43179}"/>
    <hyperlink ref="AZ703" r:id="rId1198" display="https://minerals.nv.gov/uploadedFiles/mineralsnvgov/content/Programs/Mining/2022 Metallic Production by mine.pdf" xr:uid="{72C0CF3B-0B5F-4E20-9674-3F3942716275}"/>
    <hyperlink ref="AZ306" r:id="rId1199" xr:uid="{14EEEC20-C16B-42DE-8478-792DCA139B18}"/>
    <hyperlink ref="AZ1018" r:id="rId1200" display="https://www.mining-technology.com/projects/betze-post-gold-mine-nevada/?cf-view" xr:uid="{8C403807-CE6C-43B9-AE7E-4430FCDDAD43}"/>
    <hyperlink ref="AZ333" r:id="rId1201" xr:uid="{CE0BC2E9-A706-42D8-9F2C-A6AA74B40E4C}"/>
    <hyperlink ref="AZ335" r:id="rId1202" xr:uid="{B69077CC-BCBC-40DC-895D-AA438969B20A}"/>
    <hyperlink ref="AZ209" r:id="rId1203" display="https://pubs.usgs.gov/myb/vol1/2022/myb1-2022-gold.pdf" xr:uid="{BC9FF93F-4870-42FF-840E-566A8A6360FB}"/>
    <hyperlink ref="AZ472" r:id="rId1204" display="https://minedocs.com/11/Goldstrike_Technical_Report_03222019.pdf" xr:uid="{408E2C90-1190-439F-89E7-96DC01DC02CF}"/>
    <hyperlink ref="AZ473" r:id="rId1205" display="https://minedocs.com/11/Goldstrike_Technical_Report_03222019.pdf" xr:uid="{3E8A2206-F0FF-4954-9EBB-E9A640022D7E}"/>
    <hyperlink ref="AZ882" r:id="rId1206" xr:uid="{141A701D-28B8-409A-9F99-130D3DED3F73}"/>
    <hyperlink ref="AZ652" r:id="rId1207" display="https://minerals.nv.gov/uploadedFiles/mineralsnvgov/content/Programs/Mining/2022 Metallic Production by mine.pdf" xr:uid="{C5017D53-BDD1-43CD-9C40-70751C94A37E}"/>
    <hyperlink ref="AZ958" r:id="rId1208" xr:uid="{728FB461-5119-478B-8F80-E4A334BE50D0}"/>
    <hyperlink ref="AZ960" r:id="rId1209" xr:uid="{1FED81F3-CC9F-41F4-85F5-2F27260E3AC7}"/>
    <hyperlink ref="AZ873" r:id="rId1210" display="https://minerals.nv.gov/uploadedFiles/mineralsnvgov/content/Programs/Mining/2022 Metallic Production by mine.pdf" xr:uid="{83332D8A-6F02-4CBA-AFAD-0665667FF030}"/>
    <hyperlink ref="AZ871" r:id="rId1211" display="https://minerals.nv.gov/uploadedFiles/mineralsnvgov/content/Programs/Mining/2022 Metallic Production by mine.pdf" xr:uid="{1C72BBCC-7C15-4381-B8E5-7BE500BD2569}"/>
    <hyperlink ref="AZ872" r:id="rId1212" display="https://minerals.nv.gov/uploadedFiles/mineralsnvgov/content/Programs/Mining/2022 Metallic Production by mine.pdf" xr:uid="{1A3A9D7F-3C26-4E14-90B8-E7725B041B91}"/>
    <hyperlink ref="AZ870" r:id="rId1213" display="https://minerals.nv.gov/uploadedFiles/mineralsnvgov/content/Programs/Mining/2022 Metallic Production by mine.pdf" xr:uid="{E0722BB9-C13D-44D2-B7D1-EC91C2A0F58B}"/>
    <hyperlink ref="AZ874" r:id="rId1214" display="https://minerals.nv.gov/uploadedFiles/mineralsnvgov/content/Programs/Mining/2022 Metallic Production by mine.pdf" xr:uid="{F23A679B-915E-4C79-9605-E9D16E3E02AF}"/>
    <hyperlink ref="AZ425" r:id="rId1215" xr:uid="{EFB4E13F-DA3D-4145-9B3B-0A7CA9B32CE3}"/>
    <hyperlink ref="AZ421" r:id="rId1216" xr:uid="{2F3DA423-A89F-4BE6-A973-BD6026518E8D}"/>
    <hyperlink ref="AZ428" r:id="rId1217" xr:uid="{AFDD9CA1-772C-4F9F-A8EE-4681A71F23F3}"/>
    <hyperlink ref="AZ504" r:id="rId1218" display="https://pubs.usgs.gov/myb/vol1/2022/myb1-2022-fluorspar.pdf" xr:uid="{AEF1DF7C-5BA7-4371-BB02-5625220F78AC}"/>
    <hyperlink ref="AZ613" r:id="rId1219" display="https://pubs.usgs.gov/myb/vol1/2022/myb1-2022-fluorspar.pdf" xr:uid="{5371281C-F42D-490C-8B18-C21F1D34727D}"/>
    <hyperlink ref="AZ600" r:id="rId1220" display="https://cleantechctv.com/projects/cleantech-kentucky-illinois-fluorspar-projects-map/" xr:uid="{7D6A69F7-BCFC-435D-933D-BBF05FBD2BF7}"/>
    <hyperlink ref="AZ662" r:id="rId1221" display="https://c2789c21-62f1-4082-847e-d877f86d2499.filesusr.com/ugd/8e8cf1_0ad1ebad342b41c58b381101d2ddd6f1.pdf" xr:uid="{F7E16BAF-48DD-4308-A1CD-F10203C42DF7}"/>
    <hyperlink ref="AZ301" r:id="rId1222" display="https://pubs.usgs.gov/myb/vol1/2022/myb1-2022-fluorspar.pdf" xr:uid="{4A4D5383-19A8-40F5-9DB6-54BC710EF34B}"/>
    <hyperlink ref="AZ1015" r:id="rId1223" display="https://www.justice.gov/enrd/consent-decree/file/1293151/dl" xr:uid="{21031E72-11B6-4EF5-9F4E-95F5985BB1AD}"/>
    <hyperlink ref="AZ1279" r:id="rId1224" display="https://pubs.usgs.gov/myb/vol1/2022/myb1-2022-fluorspar.pdf" xr:uid="{2DCB0A42-718C-465D-A547-CCB6FDA65A01}"/>
    <hyperlink ref="AZ77" r:id="rId1225" display="https://rockproducts.com/2024/06/19/new-michigan-gypsum-plant-opens/" xr:uid="{A7CE205D-7F8F-419E-9868-F7867857FF0A}"/>
    <hyperlink ref="AZ155" r:id="rId1226" display="https://arcosaspecialtymaterials.com/location-cyril-ok-mine-2/" xr:uid="{561C0479-CEB7-44EB-831C-201350E51271}"/>
    <hyperlink ref="AZ113" r:id="rId1227" display="https://arcosaspecialtymaterials.com/location-cyril-ok-mine-2/" xr:uid="{8BC75EB0-D0F2-4EB7-B4C4-60B061F895C5}"/>
    <hyperlink ref="AZ35" r:id="rId1228" display="https://arcosaspecialtymaterials.com/location-cyril-ok-mine-2/" xr:uid="{C25FF528-1F1A-428A-9E4C-B9D1B0E8B1E6}"/>
    <hyperlink ref="AZ355" r:id="rId1229" display="https://arcosaspecialtymaterials.com/location-cyril-ok-mine-2/" xr:uid="{6A4FAA63-7667-4949-941C-E3C20A3132CB}"/>
    <hyperlink ref="AZ336" r:id="rId1230" display="https://arcosaspecialtymaterials.com/location-cyril-ok-mine-2/" xr:uid="{B84673C4-63AA-485F-856E-B453ECA7D3A5}"/>
    <hyperlink ref="AZ130" r:id="rId1231" xr:uid="{D8A9D89A-E8DD-42D2-B482-98D58C88B0D2}"/>
    <hyperlink ref="AZ368" r:id="rId1232" display="https://dasmithdrilling.com/projects/american-gypsum-eagle-mine-gypsum-colorado" xr:uid="{0EE02480-ED1B-408B-BA0C-2BFBCAEE9DB8}"/>
    <hyperlink ref="AZ406" r:id="rId1233" display="https://www.empireminingco.com/copy-of-agriculture" xr:uid="{A42F1D50-8425-4A98-9C5B-390B260604EC}"/>
    <hyperlink ref="AZ433" r:id="rId1234" display="https://www.911metallurgist.com/blog/gypsum-mining-methods-costs/" xr:uid="{3D823E64-C25F-4DCB-B4DA-75A12B11CD19}"/>
    <hyperlink ref="AZ362" r:id="rId1235" display="https://www.stgeorgeutah.com/news/bureau-of-land-management-should-cedar-canyons-dry-creek-gypsum-mine-be-expanded/article_d770bd10-b1ab-11ef-88ba-bf283f91db26.html" xr:uid="{4CD99DA4-5C2B-4CAE-BA87-0E5D8FB98623}"/>
    <hyperlink ref="AZ648" r:id="rId1236" display="https://www.thespectrum.com/story/news/2015/09/03/operations-move-ahead-gypsum-mine/71670672/" xr:uid="{C1D8E914-C02B-4766-8F44-AD20AD99C47F}"/>
    <hyperlink ref="AZ79" r:id="rId1237" display="https://goldresourcecorp.com/site/assets/files/6493/sk1300_b40_gold_resource_corp_filed_10_27_2023.pdf" xr:uid="{5C7DAB5C-20B4-4B55-B9C0-47ECC3427305}"/>
    <hyperlink ref="AZ82" r:id="rId1238" display="https://goldresourcecorp.com/site/assets/files/6493/sk1300_b40_gold_resource_corp_filed_10_27_2023.pdf" xr:uid="{62FAEE7A-16A7-4F5E-B087-089B325354B5}"/>
    <hyperlink ref="AZ83" r:id="rId1239" display="https://goldresourcecorp.com/site/assets/files/6493/sk1300_b40_gold_resource_corp_filed_10_27_2023.pdf" xr:uid="{BF017602-F5E2-4D11-9663-DDBC7F6E97FA}"/>
    <hyperlink ref="AZ514" r:id="rId1240" display="https://investors.fcx.com/investors/news-releases/news-release-details/2023/Freeport-McMoRan-Reports-Fourth-Quarter-And-Year-Ended-2022-Results/default.aspx; https://www.climaxmolybdenum.com/operations/usa" xr:uid="{626F1038-AD34-4FE5-B8EC-B7ED4FA21528}"/>
    <hyperlink ref="AZ559" r:id="rId1241" xr:uid="{B86033D8-7ED5-4F03-9764-E182F66B59E0}"/>
    <hyperlink ref="AZ560" r:id="rId1242" xr:uid="{C9AF1D34-65AB-4B19-BED1-683B3DDA96CE}"/>
    <hyperlink ref="AZ604" r:id="rId1243" xr:uid="{D1CCDF36-6F14-4A9A-B08A-C8E69AD92AF1}"/>
    <hyperlink ref="AZ128" r:id="rId1244" display="https://northbay-resources.com/portfolio/bishop-gold-mill/" xr:uid="{FB781DD6-8FDC-4FBD-9199-B1C706D662D4}"/>
    <hyperlink ref="AZ347" r:id="rId1245" location=":~:text=Table_title:%20Commodity%20Production%20Table_content:%20header:%20%7C%20Commodity,Equivalent%20%7C%20Units:%20oz%20%7C%202018:%20%7C" display="https://miningdataonline.com/property/639/Rawhide-Mine.aspx - :~:text=Table_title:%20Commodity%20Production%20Table_content:%20header:%20%7C%20Commodity,Equivalent%20%7C%20Units:%20oz%20%7C%202018:%20%7C" xr:uid="{BE183C45-F11A-46F2-BC12-D756503E91A6}"/>
    <hyperlink ref="AZ346" r:id="rId1246" location=":~:text=Table_title:%20Commodity%20Production%20Table_content:%20header:%20%7C%20Commodity,Equivalent%20%7C%20Units:%20oz%20%7C%202018:%20%7C" display="https://miningdataonline.com/property/639/Rawhide-Mine.aspx - :~:text=Table_title:%20Commodity%20Production%20Table_content:%20header:%20%7C%20Commodity,Equivalent%20%7C%20Units:%20oz%20%7C%202018:%20%7C" xr:uid="{91286513-EFD7-4F55-BDD7-366C1C8EDACA}"/>
    <hyperlink ref="AZ348" r:id="rId1247" location=":~:text=Table_title:%20Commodity%20Production%20Table_content:%20header:%20%7C%20Commodity,Equivalent%20%7C%20Units:%20oz%20%7C%202018:%20%7C" display="https://miningdataonline.com/property/639/Rawhide-Mine.aspx - :~:text=Table_title:%20Commodity%20Production%20Table_content:%20header:%20%7C%20Commodity,Equivalent%20%7C%20Units:%20oz%20%7C%202018:%20%7C" xr:uid="{78DC69FA-2A3C-4522-99C8-DF9AAE416F28}"/>
    <hyperlink ref="AZ706" r:id="rId1248" display="https://www.equinoxgold.com/wp-content/uploads/2023/01/2020-Mesquite.pdf; https://www.equinoxgold.com/our-mines/mesquite-gold-mine/" xr:uid="{DB5BE147-84F5-463D-BF60-1C448AE91017}"/>
    <hyperlink ref="AZ708" r:id="rId1249" display="https://www.equinoxgold.com/wp-content/uploads/2023/01/2020-Mesquite.pdf; https://www.equinoxgold.com/our-mines/mesquite-gold-mine/" xr:uid="{063FE751-EAD7-4495-9D12-E3188C001998}"/>
    <hyperlink ref="AZ408" r:id="rId1250" xr:uid="{EF79143F-7017-4938-A3EA-3F04171736C3}"/>
    <hyperlink ref="AZ409" r:id="rId1251" xr:uid="{CDFCC661-619E-4588-B541-52B870F0AEC2}"/>
    <hyperlink ref="AZ422" r:id="rId1252" display="https://www.tasekomines.com/_resources/investors/technical_report_florence_copper_march_2023.pdf" xr:uid="{A1F81B2A-3EEE-411E-99CD-F663BF4F6E75}"/>
    <hyperlink ref="AZ324" r:id="rId1253" xr:uid="{0C26676A-D071-4B77-AE46-6AE97A18BCE2}"/>
    <hyperlink ref="AZ327" r:id="rId1254" xr:uid="{138C845C-DB69-4189-8C62-8751F0B9F1F8}"/>
    <hyperlink ref="AZ165" r:id="rId1255" xr:uid="{6287A194-EACB-497C-A2EC-E5F1003432D0}"/>
    <hyperlink ref="AZ270" r:id="rId1256" xr:uid="{68171260-BD8F-4B56-B2F6-B7C571D3DCDC}"/>
    <hyperlink ref="AZ206" r:id="rId1257" display="https://ritcheymetals.com/company/facilities/" xr:uid="{38134817-F0D5-4F3F-8A48-D2A867F390CF}"/>
    <hyperlink ref="AZ434" r:id="rId1258" location="americas-fortknox" display="https://www.kinross.com/English/operations/default.aspx - americas-fortknox" xr:uid="{86EEB924-5C2F-4C53-915F-0CB4AD706185}"/>
    <hyperlink ref="AZ435" r:id="rId1259" location="americas-fortknox" display="https://www.kinross.com/English/operations/default.aspx - americas-fortknox" xr:uid="{005CF5D1-5224-42BE-B641-23A173BCDFAB}"/>
    <hyperlink ref="AZ768" r:id="rId1260" display="https://www.fcx.com/sites/fcx/files/documents/operations/TRS-morenci.pdf" xr:uid="{3E598744-349F-4C4B-8477-7C0CA10C8322}"/>
    <hyperlink ref="AZ769" r:id="rId1261" display="https://pubs.usgs.gov/myb/vol1/2022/myb1-2022-gold.pdf" xr:uid="{5D8D4317-EBBB-4501-9521-B3600A115995}"/>
    <hyperlink ref="AZ840" r:id="rId1262" display="https://minedocs.com/23/NorthMet-FS-12302022.pdf" xr:uid="{48917B3D-24CB-4429-AF9B-3D285322B5A3}"/>
    <hyperlink ref="AZ835" r:id="rId1263" display="https://minedocs.com/23/NorthMet-FS-12302022.pdf" xr:uid="{0EE03F8A-8348-484F-9B14-5F0C09E28A38}"/>
    <hyperlink ref="AZ834" r:id="rId1264" display="https://minedocs.com/23/NorthMet-FS-12302022.pdf" xr:uid="{006C74C2-7A34-4B54-ABD1-3AA5AEBCDFB7}"/>
    <hyperlink ref="AZ828" r:id="rId1265" display="https://minedocs.com/23/NorthMet-FS-12302022.pdf" xr:uid="{3A161182-0813-4BAA-BDAD-01AF403F2D57}"/>
    <hyperlink ref="AZ836" r:id="rId1266" display="https://minedocs.com/23/NorthMet-FS-12302022.pdf" xr:uid="{752E5A29-E34A-47E8-A7A7-AA245C28C129}"/>
    <hyperlink ref="AZ827" r:id="rId1267" display="https://minedocs.com/23/NorthMet-FS-12302022.pdf" xr:uid="{86D882D1-6923-42E0-9BA7-2EF9237153DA}"/>
    <hyperlink ref="AZ833" r:id="rId1268" display="https://minedocs.com/23/NorthMet-FS-12302022.pdf" xr:uid="{CD05C158-7FD3-4F29-ACE2-B5C3A5F6FB02}"/>
    <hyperlink ref="AZ829" r:id="rId1269" display="https://minedocs.com/23/NorthMet-FS-12302022.pdf" xr:uid="{950AFE30-4216-4A0C-9931-9160CF77CC63}"/>
    <hyperlink ref="AZ839" r:id="rId1270" display="https://minedocs.com/23/NorthMet-FS-12302022.pdf" xr:uid="{B146CC2A-7DF7-4BFA-9479-41EE9F2C2F75}"/>
    <hyperlink ref="AZ831" r:id="rId1271" display="https://minedocs.com/23/NorthMet-FS-12302022.pdf" xr:uid="{E777AE7E-82B3-4BB2-9E9D-0DF69007FBF0}"/>
    <hyperlink ref="AZ832" r:id="rId1272" display="https://minedocs.com/23/NorthMet-FS-12302022.pdf" xr:uid="{75AD2B72-7DD6-41E8-9CC6-6A31CCF3478B}"/>
    <hyperlink ref="AZ838" r:id="rId1273" display="https://minedocs.com/23/NorthMet-FS-12302022.pdf" xr:uid="{F8C92885-020E-4A27-93E6-1AEFC03B372C}"/>
    <hyperlink ref="AZ837" r:id="rId1274" display="https://minedocs.com/23/NorthMet-FS-12302022.pdf" xr:uid="{07AD9F5F-965B-469A-9ADE-7B6189B79E67}"/>
    <hyperlink ref="AZ1266" r:id="rId1275" display="https://www.greatwesternmining.com/projects/western-milling-llc/" xr:uid="{560741CF-415A-46B9-98B2-E59295FDCC40}"/>
    <hyperlink ref="AZ1267" r:id="rId1276" display="https://www.greatwesternmining.com/projects/western-milling-llc/" xr:uid="{8A25992B-205E-49F0-99EF-639DD9A1A3F0}"/>
    <hyperlink ref="AZ653" r:id="rId1277" display="https://minerals.nv.gov/uploadedFiles/mineralsnvgov/content/Programs/Mining/2022 Metallic Production by mine.pdf" xr:uid="{FBFA0071-E6C5-4025-A5F2-B5FDDA4D5BC6}"/>
    <hyperlink ref="AZ655" r:id="rId1278" display="https://minerals.nv.gov/uploadedFiles/mineralsnvgov/content/Programs/Mining/2022 Metallic Production by mine.pdf" xr:uid="{2D013938-A90F-4FA7-80A9-6816BE3C2D54}"/>
    <hyperlink ref="AZ160" r:id="rId1279" display="https://www.sec.gov/Archives/edgar/data/1041548/000114420408031546/v115478_ex99-1.htm" xr:uid="{0E59578F-CDD7-4D24-830A-73F8FB8DB44F}"/>
    <hyperlink ref="AZ223" r:id="rId1280" display="https://minedocs.com/21/CastleMountain_FS_02262021.pdf" xr:uid="{1B6FE1E3-FF43-48B0-A391-E3B583FF2F45}"/>
    <hyperlink ref="AZ589" r:id="rId1281" xr:uid="{35282F8A-1F2A-4706-A0DD-9C465F5513B0}"/>
    <hyperlink ref="AZ722" r:id="rId1282" xr:uid="{D813CCAB-C72C-49F5-B479-4FF6100FE60D}"/>
    <hyperlink ref="AZ721" r:id="rId1283" xr:uid="{38E2578F-30CC-4F36-847A-2E53C6FBC3EF}"/>
    <hyperlink ref="AZ296" r:id="rId1284" display="https://comstock.inc/press-release/comstock-announces-full-year-2022-results/" xr:uid="{0D5D1A62-43FC-4040-908F-1318E47008C4}"/>
    <hyperlink ref="AZ295" r:id="rId1285" display="https://comstock.inc/press-release/comstock-announces-full-year-2022-results/" xr:uid="{938B39AB-00FD-4099-AA47-BF6952B7E26E}"/>
    <hyperlink ref="AZ297" r:id="rId1286" display="https://comstock.inc/press-release/comstock-announces-full-year-2022-results/" xr:uid="{0DC5D360-F11E-480A-8821-535ACD11799F}"/>
    <hyperlink ref="AZ741" r:id="rId1287" xr:uid="{7AF9405D-9FB2-4050-A361-E33447AD19C9}"/>
    <hyperlink ref="AZ742" r:id="rId1288" xr:uid="{959B75FD-3B13-467A-A7D8-55E20ADAFC78}"/>
    <hyperlink ref="AZ743" r:id="rId1289" xr:uid="{04DBA093-0933-41A7-8B5B-DF86210198A9}"/>
    <hyperlink ref="AZ326" r:id="rId1290" display="https://www.ssrmining.com/_resources/reports/Technical-Report-CCV-2025-SK1300.pdf?v=052001" xr:uid="{A5A43B3F-61D4-451E-8E27-135208AA0679}"/>
    <hyperlink ref="AZ747" r:id="rId1291" xr:uid="{70E41979-07B1-424E-99EE-237BF9EE2CC0}"/>
    <hyperlink ref="AZ1187" r:id="rId1292" xr:uid="{1EF657D5-FD9F-4C2B-B76B-36B12A3C0D52}"/>
    <hyperlink ref="AZ1188" r:id="rId1293" xr:uid="{F3DCA07E-9B7B-4C83-9BA7-80EB1543E743}"/>
    <hyperlink ref="AZ1186" r:id="rId1294" xr:uid="{2E930F57-6D1E-4C7F-9654-C7B86AD16DE4}"/>
    <hyperlink ref="AZ763" r:id="rId1295" xr:uid="{B2BEF3F3-D2CE-4DD3-A1F0-3E7167455ADE}"/>
    <hyperlink ref="AZ775" r:id="rId1296" xr:uid="{2CA83479-5A69-4E64-86DD-5B743B19BEE1}"/>
    <hyperlink ref="AZ676" r:id="rId1297" xr:uid="{9C2BF8E2-36E9-4576-927A-1E21E743EF11}"/>
    <hyperlink ref="AZ677" r:id="rId1298" xr:uid="{7112957D-16C7-41DE-B766-C568C03F39D7}"/>
    <hyperlink ref="AZ330" r:id="rId1299" display="https://ironsenergy.com/" xr:uid="{9BC53B3F-AED9-4A6A-A7A3-0CE5A9C6D4F9}"/>
    <hyperlink ref="AZ331" r:id="rId1300" display="https://multimetdev.com/wp-content/uploads/2020/06/CuMo_PEA_NI43-101_June-2-2020.pdf" xr:uid="{8161317E-D4A3-48CB-B6E0-E4B46ADAA349}"/>
    <hyperlink ref="AZ332" r:id="rId1301" display="https://multimetdev.com/wp-content/uploads/2020/06/CuMo_PEA_NI43-101_June-2-2020.pdf" xr:uid="{3AB70B95-30C3-4B3A-9E80-C578EF974E5B}"/>
    <hyperlink ref="AZ334" r:id="rId1302" display="https://multimetdev.com/wp-content/uploads/2020/06/CuMo_PEA_NI43-101_June-2-2020.pdf" xr:uid="{3FB721E4-6D11-4122-935B-B8844203F8F2}"/>
    <hyperlink ref="AZ392" r:id="rId1303" display="https://www.sec.gov/Archives/edgar/data/1687187/000110465923002700/metc-20211231xex96d2.htm" xr:uid="{7455D9DB-F751-4B08-B111-538B733DB042}"/>
    <hyperlink ref="AZ111" r:id="rId1304" display="https://www.gem.wiki/Berwind_Coal_Mine" xr:uid="{5576F996-D808-4612-81BD-774F200EF357}"/>
    <hyperlink ref="AZ879" r:id="rId1305" xr:uid="{4DB01D39-A62C-4584-B34E-1D64359CC3E6}"/>
    <hyperlink ref="AZ172" r:id="rId1306" display="https://www.gem.wiki/Buchanan_1_Coal_Mine" xr:uid="{DB1D3009-2FDF-4CE8-A3C6-7D893DD2AE1B}"/>
    <hyperlink ref="AZ635" r:id="rId1307" display="https://www.gem.wiki/Leer_Coal_Mine" xr:uid="{1ED02FD7-D49D-4D3E-B05A-845EFC2531AE}"/>
    <hyperlink ref="AZ636" r:id="rId1308" display="https://www.gem.wiki/Leer_South_Coal_Mine" xr:uid="{B7D42A93-34ED-454C-AF46-7C88F68F6356}"/>
    <hyperlink ref="AZ778" r:id="rId1309" display="https://miningdataonline.com/property/113/Mountain-Laurel-Mine.aspx" xr:uid="{3FD6EF37-6EF6-4F30-BBC4-374BA0F36718}"/>
    <hyperlink ref="AZ1247" r:id="rId1310" display="https://s22.q4cdn.com/670299758/files/doc_presentations/2021/2021/AMR-Investor-Presentation-8.6.21.pdf" xr:uid="{94DFF9BA-054E-4D3B-A61F-3E128530E1A6}"/>
    <hyperlink ref="AZ1262" r:id="rId1311" display="https://www.gem.wiki/West_Elk_Coal_Mine" xr:uid="{066EA9D2-BE78-401C-B800-F854F47BB9BB}"/>
    <hyperlink ref="AZ1264" r:id="rId1312" display="https://s22.q4cdn.com/670299758/files/doc_presentations/2021/2021/AMR-Investor-Presentation-8.6.21.pdf" xr:uid="{C8D0A970-2EB3-4B8E-9413-157AB6A928AC}"/>
    <hyperlink ref="AZ619" r:id="rId1313" display="https://www.spglobal.com/energy/en/news-research/latest-news/crude-oil/082520-usgc-calcined-petcoke-producers-close-plants-as-hurricane-laura-approaches" xr:uid="{C211DC82-7AE7-4090-A252-99EEA97ACBCD}"/>
    <hyperlink ref="AZ755" r:id="rId1314" display="https://d1io3yog0oux5.cloudfront.net/_79afbab468cd5ac4d26ec602760b5da7/clevelandcliffs/db/1172/10166/fact_sheet/CC_FactSheet_Monessen_022025.pdf" xr:uid="{BD599536-F5D7-446B-BCA9-AA1DC0C45D6F}"/>
    <hyperlink ref="AZ266" r:id="rId1315" location="cite_note-blast2010-4" display="https://en.wikipedia.org/wiki/Clairton_Coke_Works - cite_note-blast2010-4" xr:uid="{C7713FE0-93B8-4B62-BABE-B54CE608E53D}"/>
    <hyperlink ref="AZ1248" r:id="rId1316" display="https://d1io3yog0oux5.cloudfront.net/_b0fdcb6d2206e6ddbee71afa7dda093c/clevelandcliffs/db/1188/10373/file/CLF_CC_FactSheet_Warren_62024.pdf" xr:uid="{88E8883D-A677-4E03-8C76-A64E9B3ACB1E}"/>
    <hyperlink ref="AZ583" r:id="rId1317" display="https://www.suncoke.com/~/media/Files/S/Suncoke/documents/presentations/2024/sxc-q1-2024-updated-investor-presentation-v1.pdf" xr:uid="{471776D7-D627-4D71-A6D4-0AAF69B0DD9C}"/>
    <hyperlink ref="AZ565" r:id="rId1318" display="https://www.suncoke.com/~/media/Files/S/Suncoke/documents/presentations/2024/sxc-q1-2024-updated-investor-presentation-v1.pdf" xr:uid="{61AA880A-D42F-433B-A4C2-A18AD6119DDD}"/>
    <hyperlink ref="AZ727" r:id="rId1319" display="https://www.suncoke.com/~/media/Files/S/Suncoke/documents/presentations/2024/sxc-q1-2024-updated-investor-presentation-v1.pdf" xr:uid="{DA9248F8-FC99-48EB-AB26-A39E3D0C0A33}"/>
    <hyperlink ref="AZ505" r:id="rId1320" display="https://www.suncoke.com/~/media/Files/S/Suncoke/documents/presentations/2024/sxc-q1-2024-updated-investor-presentation-v1.pdf" xr:uid="{97FC20C2-F33B-469A-85D3-A6AE0849F34F}"/>
    <hyperlink ref="AZ476" r:id="rId1321" display="https://www.suncoke.com/~/media/Files/S/Suncoke/documents/presentations/2024/sxc-q1-2024-updated-investor-presentation-v1.pdf" xr:uid="{23E80E00-6BC5-4304-9841-A7DB1BFD74FE}"/>
    <hyperlink ref="AZ1178" r:id="rId1322" display="https://drummondco.com/our-companies/abc-coke/" xr:uid="{A9212B9F-B093-449D-8B61-AEFD72B07227}"/>
    <hyperlink ref="AZ189" r:id="rId1323" display="https://www.gem.wiki/Cleveland-Cliffs_Burns_Harbor_steel_plant" xr:uid="{7AB83EEC-E84D-4F7D-9DB8-B1C36216C5E9}"/>
    <hyperlink ref="AZ1058" r:id="rId1324" display="https://www.spglobal.com/ratings/es/regulatory/article/-/view/type/HTML/id/3283221" xr:uid="{92C8FBEB-6E84-4695-9A4A-2D279C998DD5}"/>
    <hyperlink ref="AZ447" r:id="rId1325" xr:uid="{B35EBF2B-22CE-4650-8F81-5C6A7C8C0E7D}"/>
    <hyperlink ref="AZ448" r:id="rId1326" xr:uid="{35DB9376-8DCB-4C36-AF8B-2D5F6DD4E904}"/>
    <hyperlink ref="AZ449" r:id="rId1327" xr:uid="{0CD3510F-77BA-4332-9D9E-9F6D7E891ABB}"/>
    <hyperlink ref="AZ450" r:id="rId1328" xr:uid="{859E8277-477A-4ADE-B364-CC5A2DC36121}"/>
    <hyperlink ref="AZ1107" r:id="rId1329" display="https://solidus-resources.com/spring-valley-project/2025-feasibility-study/" xr:uid="{BD4BBDF0-CE84-451F-ADEB-2EF1D4D0576A}"/>
    <hyperlink ref="AZ1108" r:id="rId1330" display="https://solidus-resources.com/spring-valley-project/2025-feasibility-study/" xr:uid="{4D175FD7-B924-4275-9DE3-CD9E6E4A4EA7}"/>
    <hyperlink ref="AZ985" r:id="rId1331" display="https://minedocs.com/28/Reward-FS-09032024.pdf" xr:uid="{0EDB6732-DE20-4A97-9872-E7D47BBAAA02}"/>
    <hyperlink ref="AZ466" r:id="rId1332" display="https://static1.squarespace.com/static/6807b8b87d058a08ac563fb1/t/69906f9dde27ba74c399f405/1771073437914/Gold+Road+Presentation+-+February+2026.pdf" xr:uid="{45C83AF5-9DAA-4F76-97F6-F4E1739AD7DA}"/>
    <hyperlink ref="AZ465" r:id="rId1333" display="https://static1.squarespace.com/static/6807b8b87d058a08ac563fb1/t/69906f9dde27ba74c399f405/1771073437914/Gold+Road+Presentation+-+February+2026.pdf" xr:uid="{C83AC972-9151-4518-B755-7519313A9A41}"/>
    <hyperlink ref="AZ576" r:id="rId1334" display="https://www.fortitudegold.com/news/news-releases/fortitude-gold-reports-2022-net-income-of-147-million-725-all-in-sustaining-cost-and-increased-cash-balance-to-45-million" xr:uid="{E57C3C5D-9BA9-4219-A611-45CCBB25903F}"/>
    <hyperlink ref="AZ28" r:id="rId1335" xr:uid="{682F27FD-AAD4-4031-BB6D-1286AC5BB254}"/>
    <hyperlink ref="AZ707" r:id="rId1336" display="https://www.equinoxgold.com/wp-content/uploads/2023/01/2020-Mesquite.pdf; https://www.equinoxgold.com/our-mines/mesquite-gold-mine/" xr:uid="{E1E86282-2745-4B4F-82CC-F8936D236FC0}"/>
    <hyperlink ref="AZ762" r:id="rId1337" xr:uid="{A7AABDAE-E576-4CF2-95CD-9FE405AED6FB}"/>
    <hyperlink ref="AZ877" r:id="rId1338" xr:uid="{90C84CD7-F3F5-41E8-9D27-FA771E93BAA6}"/>
    <hyperlink ref="AZ878" r:id="rId1339" xr:uid="{2E11BD4F-8A0E-4A7A-BDD9-E0C275BE2B1D}"/>
    <hyperlink ref="AZ994" r:id="rId1340" display="https://www.graphite.resonac.com/company/production-plants/" xr:uid="{5235CBA5-64B1-4A4C-902F-DAE8AB4256EC}"/>
    <hyperlink ref="AZ633" r:id="rId1341" display="https://www.carusllc.com/" xr:uid="{F8F01833-1C47-4745-BF0C-DA092055BFC3}"/>
    <hyperlink ref="AZ105" r:id="rId1342" display="https://www.rareelementresources.com/bear-lodge-project/" xr:uid="{B1039636-4BD9-47F0-BE36-FE4FD6E4C97D}"/>
    <hyperlink ref="AZ1230" r:id="rId1343" display="https://www.rareelementresources.com/rare-element-resources-provides-rare-earth-demonstration-plant-update-2/" xr:uid="{70330804-255B-447D-9EBB-A4438B393728}"/>
    <hyperlink ref="AZ780" r:id="rId1344" display="https://minedocs.com/28/Mountain-Pass-TR-10012024.pdf" xr:uid="{C0AD84EE-7285-40D1-9066-9DD2D6FF6BD1}"/>
    <hyperlink ref="AZ781" r:id="rId1345" display="https://minedocs.com/28/Mountain-Pass-TR-10012024.pdf" xr:uid="{98145124-4159-4A22-A024-63D4A896AC37}"/>
    <hyperlink ref="AZ779" r:id="rId1346" display="https://minedocs.com/28/Mountain-Pass-TR-10012024.pdf" xr:uid="{D6F30FEE-AEF2-45FD-8E74-884A4811FAF2}"/>
    <hyperlink ref="AZ457" r:id="rId1347" display="https://www.mining.com/energy-fuels-set-to-become-rare-earth-producer-in-2021/" xr:uid="{8323D42A-A06B-4194-851B-E7CD0EFB874A}"/>
    <hyperlink ref="AZ1090" r:id="rId1348" display="https://ucore.com/smc/" xr:uid="{EED7C107-2E95-457E-AF61-9F2E35D6ECC3}"/>
    <hyperlink ref="AZ946" r:id="rId1349" display="https://cdn.prod.website-files.com/67b9c5dc15db73b34fcf2bf3/69dcb7caacc18dfdd52202e2_Aclara - Integrated Value Chain press release.pdf" xr:uid="{6D8662B5-B33E-4409-A2F7-F64C912ED453}"/>
    <hyperlink ref="AZ945" r:id="rId1350" display="https://cdn.prod.website-files.com/67b9c5dc15db73b34fcf2bf3/69dcb7caacc18dfdd52202e2_Aclara - Integrated Value Chain press release.pdf" xr:uid="{0E8D1695-1918-43C3-BD98-466509389B6F}"/>
    <hyperlink ref="AZ944" r:id="rId1351" display="https://cdn.prod.website-files.com/67b9c5dc15db73b34fcf2bf3/69dcb7caacc18dfdd52202e2_Aclara - Integrated Value Chain press release.pdf" xr:uid="{C7EFBFD5-5935-42C3-8B91-7542ADB85954}"/>
    <hyperlink ref="AZ943" r:id="rId1352" display="https://cdn.prod.website-files.com/67b9c5dc15db73b34fcf2bf3/69dcb7caacc18dfdd52202e2_Aclara - Integrated Value Chain press release.pdf" xr:uid="{F4B9BB0E-1053-42CF-BAC0-96A85FD4C945}"/>
    <hyperlink ref="AZ948" r:id="rId1353" display="https://cdn.prod.website-files.com/67b9c5dc15db73b34fcf2bf3/69dcb7caacc18dfdd52202e2_Aclara - Integrated Value Chain press release.pdf" xr:uid="{604A04B7-76B3-423F-BE44-3CE2A4BE5074}"/>
    <hyperlink ref="AZ947" r:id="rId1354" display="https://cdn.prod.website-files.com/67b9c5dc15db73b34fcf2bf3/69dcb7caacc18dfdd52202e2_Aclara - Integrated Value Chain press release.pdf" xr:uid="{D5879E30-05FE-413B-8900-6FC5C77B84B5}"/>
    <hyperlink ref="AZ412" r:id="rId1355" display="https://phoenixtailings.com/press/phoenix-tailings-opens-cutting-edge-u-s-rare-earth-metallization-facility-entirely-independent-from-china" xr:uid="{76CA3DCF-28F5-47EF-B91F-33FF79EB0A80}"/>
    <hyperlink ref="AZ691" r:id="rId1356" display="https://www.morningstar.com/news/accesswire/1152143msn/reelement-technologies-provides-update-on-marion-rare-earth-and-critical-mineral-refinery-buildout-and-production-capacity" xr:uid="{48F199C7-E32F-479C-9F52-77AA4224596A}"/>
    <hyperlink ref="AZ536" r:id="rId1357" display="https://www.reecycleinc.com/restart-demonstration-plant" xr:uid="{653B4519-5491-4907-9B2C-CF2C1C0AA7F0}"/>
    <hyperlink ref="AZ107" r:id="rId1358" display="https://www.war.gov/News/Releases/release/article/2418542/dod-announces-rare-earth-element-awards-to-strengthen-domestic-industrial-base/" xr:uid="{93A1BF91-3478-4750-AF2F-B436595103C7}"/>
    <hyperlink ref="AZ167" r:id="rId1359" display="https://tusaar.com/wp-content/uploads/2024/01/Tusaar-MRPR-01172024.pdf" xr:uid="{38314C1F-6EEE-4B0D-8210-782D9347FB43}"/>
    <hyperlink ref="AZ826" r:id="rId1360" display="https://hypromagusa.com/following-completion-of-expansion-concept-studies-hypromag-usa-advances-expansion-to-three-states-supporting-a-path-totriple-u-s-rare-earth-magnet-capacity-by-2029/" xr:uid="{DA880424-791B-49E6-9CD8-BA8277BD041E}"/>
    <hyperlink ref="AZ561" r:id="rId1361" display="https://spectrum.ieee.org/advanced-magnet-manufacturing-in-us" xr:uid="{7BDF75B0-2BB6-4981-AC40-B3201E95B089}"/>
    <hyperlink ref="AZ562" r:id="rId1362" display="https://spectrum.ieee.org/advanced-magnet-manufacturing-in-us" xr:uid="{244EF21A-7F02-4CCB-B1B8-28B3A451335C}"/>
    <hyperlink ref="AZ411" r:id="rId1363" display="https://realloys.com/facilities/" xr:uid="{F0BCDB18-834D-4B44-A998-15C42D20BFB8}"/>
    <hyperlink ref="AZ1110" r:id="rId1364" display="https://www.sibelco.com/en/news/sibelco-announces-a-major-expansion-of-its-spruce-pine-usa-high-purity-quartz-operations" xr:uid="{5D3CFC2F-C9EC-440C-9557-3829D079555E}"/>
    <hyperlink ref="AZ1109" r:id="rId1365" display="https://www.thequartzcorp.com/high-purity-quartz" xr:uid="{B3E39B29-DA05-4C0B-BC87-712CE1AD1D23}"/>
    <hyperlink ref="AZ135" r:id="rId1366" xr:uid="{0A05670B-D353-4A90-86A6-02796A3F086F}"/>
    <hyperlink ref="AZ497" r:id="rId1367" display="https://minedocs.com/26/Haile-TR-12312023.pdf" xr:uid="{20D5715F-BF75-4DD8-BC12-FC454911181F}"/>
    <hyperlink ref="AZ496" r:id="rId1368" display="https://minedocs.com/26/Haile-TR-12312023.pdf" xr:uid="{55D7AEEA-FCD2-4EC3-AD72-A7D6AE1C1929}"/>
    <hyperlink ref="AZ495" r:id="rId1369" display="https://minedocs.com/26/Haile-TR-12312023.pdf" xr:uid="{8DFDEDFC-D03F-4807-953A-5003EFD345E5}"/>
    <hyperlink ref="AZ159" r:id="rId1370" xr:uid="{8E7D1D66-25B5-4EC5-836E-A09C5F9BB9C1}"/>
    <hyperlink ref="AZ338" r:id="rId1371" xr:uid="{31ADEEE7-4784-4B0C-93D4-A9AABB360D4E}"/>
    <hyperlink ref="AZ486" r:id="rId1372" xr:uid="{2700F571-4936-445E-8D1A-35EDF74F979A}"/>
    <hyperlink ref="AZ547" r:id="rId1373" xr:uid="{C76A74E9-89A7-4361-891F-A62EDC1BB088}"/>
    <hyperlink ref="AZ760" r:id="rId1374" display="https://www.sabinmetal.com/locations/sabin-metal-west-corporation" xr:uid="{4CD4C561-1037-4043-902B-71156C3B55EF}"/>
    <hyperlink ref="AZ764" r:id="rId1375" display="https://www.sabinmetal.com/locations/sabin-metal-west-corporation" xr:uid="{C742EDAD-7B48-4D17-BE2D-34D3E0220018}"/>
    <hyperlink ref="AZ761" r:id="rId1376" display="https://www.sabinmetal.com/locations/sabin-metal-west-corporation" xr:uid="{C34E4574-A43E-4C42-9F49-A63D280C96A6}"/>
    <hyperlink ref="AZ1269" r:id="rId1377" display="https://s28.q4cdn.com/583965976/files/doc_multimedia/portfolios/wharf-2017.pdf" xr:uid="{7847CECF-7A19-4456-8862-23C229BD533B}"/>
    <hyperlink ref="AZ1271" r:id="rId1378" display="https://s28.q4cdn.com/583965976/files/doc_multimedia/portfolios/wharf-2017.pdf" xr:uid="{95C9DD86-4942-4E7F-8332-4CA2940A83BE}"/>
    <hyperlink ref="AZ539" r:id="rId1379" display="https://peprofessional.com/2022/06/aterian-becomes-the-king-of-zinc-with-combination-of-u-s-zinc-with-everzinc/" xr:uid="{1F1DA586-1683-4FB7-9D1D-595A1E5C1AB1}"/>
    <hyperlink ref="AZ979" r:id="rId1380" xr:uid="{99B96D0D-C5BD-4A3A-9F6E-97204F64A768}"/>
    <hyperlink ref="AZ1274" r:id="rId1381" xr:uid="{9FAB13FC-FF31-4E07-9DF0-F4D1915780DD}"/>
    <hyperlink ref="AZ1131" r:id="rId1382" xr:uid="{DDDB8614-2DAA-41A0-98F5-B55AA7C7A59D}"/>
    <hyperlink ref="AZ664" r:id="rId1383" location="location" xr:uid="{C6AAC064-77E9-45B6-B04A-7A62CBC59165}"/>
    <hyperlink ref="AZ1162" r:id="rId1384" location="location" xr:uid="{F73D6C30-F669-4DB4-A8E1-519BF0909D7E}"/>
    <hyperlink ref="AZ437" r:id="rId1385" xr:uid="{1D57CB81-3F1A-4085-800A-D375AF707BA7}"/>
    <hyperlink ref="AZ441" r:id="rId1386" xr:uid="{4A7B1E43-866C-4B6D-B413-F146585EACA8}"/>
    <hyperlink ref="AZ599" r:id="rId1387" xr:uid="{8BBDB2CF-C2D7-4151-930B-66AB52E4BFA8}"/>
    <hyperlink ref="AZ143" r:id="rId1388" xr:uid="{1E0CDA11-4A1F-4BBE-BA32-F81C29E525EE}"/>
    <hyperlink ref="AZ227" r:id="rId1389" xr:uid="{2DB31DA0-705B-4362-965D-9A04AA42FB72}"/>
    <hyperlink ref="AZ361" r:id="rId1390" xr:uid="{D6860DE5-151B-4D6C-91DD-697D7EDCA50B}"/>
    <hyperlink ref="AZ16" r:id="rId1391" display="https://aurisnoble.com/" xr:uid="{C04E36E9-B1EE-4A9F-ABE8-4CE21196AEDF}"/>
    <hyperlink ref="AZ17" r:id="rId1392" display="https://aurisnoble.com/" xr:uid="{C39EAA70-4EAC-44CC-BCA7-E2FD020CB464}"/>
    <hyperlink ref="AZ18" r:id="rId1393" display="https://aurisnoble.com/" xr:uid="{4F5B5E86-2EFC-453A-9BBF-2B50696C05B5}"/>
    <hyperlink ref="AZ19" r:id="rId1394" display="https://aurisnoble.com/" xr:uid="{9BF1421A-635D-40B6-99F2-30DB37912530}"/>
    <hyperlink ref="AZ20" r:id="rId1395" display="https://aurisnoble.com/" xr:uid="{4C47C28C-61A1-4A9B-B387-A09BBA4B362E}"/>
    <hyperlink ref="AZ678" r:id="rId1396" xr:uid="{CB429321-8F23-4EF8-AB28-ACC2BE350AE7}"/>
    <hyperlink ref="AZ632" r:id="rId1397" xr:uid="{3B9C72D9-279A-4437-9DBC-575B3BAD4A2C}"/>
    <hyperlink ref="AZ1234" r:id="rId1398" xr:uid="{F100F262-CBD6-4542-B397-27FA33833052}"/>
    <hyperlink ref="AZ533" r:id="rId1399" xr:uid="{4B55066C-8433-4CE9-9828-13A392848D3C}"/>
    <hyperlink ref="AZ661" r:id="rId1400" xr:uid="{239B7A0A-FBAE-42B7-9288-B69587D5431C}"/>
    <hyperlink ref="AZ908" r:id="rId1401" xr:uid="{14DAE9DC-96CD-4A8E-BE33-C47CA5DE0A04}"/>
    <hyperlink ref="AZ912" r:id="rId1402" xr:uid="{5DE3845D-B51B-48EF-8DE3-2BD201B8B288}"/>
    <hyperlink ref="AZ1026" r:id="rId1403" xr:uid="{3430F14A-BFF6-4785-9260-6F51E2D2A781}"/>
    <hyperlink ref="AZ586" r:id="rId1404" xr:uid="{BB0D8C5E-9897-44DC-A135-3F7FAA11BBED}"/>
    <hyperlink ref="AZ885" r:id="rId1405" xr:uid="{746D6AD2-CB77-4000-B57D-42BE645C4B17}"/>
    <hyperlink ref="AZ811" r:id="rId1406" xr:uid="{B22193B3-9348-444C-8797-1FB6BE47EA8D}"/>
    <hyperlink ref="AZ1179" r:id="rId1407" xr:uid="{3E2FAEE1-241F-4929-95BE-E82037142573}"/>
    <hyperlink ref="AZ1287" r:id="rId1408" xr:uid="{71E5DFA1-B2B9-461E-8CBB-3CFF94A5EA8C}"/>
    <hyperlink ref="AZ897" r:id="rId1409" xr:uid="{9498DFA7-C8FD-4ACB-8BB1-BA9E57E344A4}"/>
    <hyperlink ref="AZ961" r:id="rId1410" xr:uid="{B8446D3C-E08A-4CE2-A3DB-F4E984745F4F}"/>
    <hyperlink ref="AZ1235" r:id="rId1411" xr:uid="{5357144C-9E03-4D66-A9B7-FFA2CD0BE95C}"/>
    <hyperlink ref="AZ978" r:id="rId1412" xr:uid="{D3025F0E-F9E5-4178-897B-FFA1EBB5D7A5}"/>
    <hyperlink ref="AZ926" r:id="rId1413" xr:uid="{1CD1316E-ABD6-49A9-9583-175C1BE3757C}"/>
    <hyperlink ref="AZ916" r:id="rId1414" xr:uid="{FAF44E97-81E6-432C-90F8-6B43210457C5}"/>
    <hyperlink ref="AZ933" r:id="rId1415" xr:uid="{FD17E8B5-2974-4BDC-958A-D4A155313E5F}"/>
    <hyperlink ref="AZ927" r:id="rId1416" xr:uid="{5C592FC8-3F37-4ECE-A4C6-A1F3ED5CAC92}"/>
    <hyperlink ref="AZ928" r:id="rId1417" xr:uid="{1BC744F2-BB64-4CBF-8209-CE52649C66C4}"/>
    <hyperlink ref="AZ585" r:id="rId1418" xr:uid="{5D87FE93-3CA1-4AD2-ACBD-3682DA70DBCC}"/>
    <hyperlink ref="AZ1074" r:id="rId1419" xr:uid="{E6FD0C3B-4CB4-4A1F-A364-576201DF7E89}"/>
    <hyperlink ref="AZ907" r:id="rId1420" xr:uid="{2FC24FD8-0E8D-42A6-9447-BEC4693E2CAF}"/>
    <hyperlink ref="AZ1112" r:id="rId1421" xr:uid="{4FC84D7B-CD53-4A13-BDF4-678FAB4EFCE2}"/>
    <hyperlink ref="AZ893" r:id="rId1422" xr:uid="{D7EE00B5-B1BB-42DD-B2AB-0362C76EB4B9}"/>
    <hyperlink ref="AZ941" r:id="rId1423" xr:uid="{EB948F7D-3EF2-4ED1-9CC4-613E80D9D8DF}"/>
    <hyperlink ref="AZ906" r:id="rId1424" xr:uid="{296CDC1B-CE89-4AE0-AA3E-0D1F3BB74AAF}"/>
    <hyperlink ref="AZ915" r:id="rId1425" xr:uid="{C8C3276E-69C0-4DFD-9D6C-201D6CE8323B}"/>
    <hyperlink ref="AZ773" r:id="rId1426" display="https://pubs.usgs.gov/myb/vol1/2022/myb1-2022-titanium.pdf" xr:uid="{4B6CE272-213B-4277-9FDC-6FB9C10C3245}"/>
    <hyperlink ref="AZ1037" r:id="rId1427" display="https://pubs.usgs.gov/myb/vol1/2022/myb1-2022-titanium.pdf" xr:uid="{3B5F315E-EC9B-439A-B1A5-A9DDDBE45EC9}"/>
    <hyperlink ref="AZ1231" r:id="rId1428" display="https://pubs.usgs.gov/myb/vol1/2019/myb1-2019-titanium.pdf" xr:uid="{B3528B7D-84A7-466A-B640-243BF87312F3}"/>
    <hyperlink ref="AZ984" r:id="rId1429" display="https://s1.q4cdn.com/337451660/files/doc_downloads/FortuneMinerals_Revenue_PEA_457700.030_014_20140723.pdf" xr:uid="{457F673E-9863-40E0-B29D-62B0EDA9D384}"/>
    <hyperlink ref="AZ982" r:id="rId1430" display="https://s1.q4cdn.com/337451660/files/doc_downloads/FortuneMinerals_Revenue_PEA_457700.030_014_20140723.pdf" xr:uid="{7819EDEB-B39F-4A91-8E8D-05DF9797E0D3}"/>
    <hyperlink ref="AZ650" r:id="rId1431" location="products" display="https://waelzsp.com/ - products" xr:uid="{A0F0C385-9597-4F54-B8FA-0332FDEC1315}"/>
    <hyperlink ref="AZ847" r:id="rId1432" display="https://pubs.usgs.gov/myb/vol1/2021/myb1-2021-zirconium-hafnium.pdf" xr:uid="{7DC296A0-EA7D-4B4C-9787-EDD115E75542}"/>
    <hyperlink ref="AZ248" r:id="rId1433" display="https://d9-wret.s3.us-west-2.amazonaws.com/assets/palladium/production/mineral-pubs/magnesium/myb1-2009-mgcom.pdf" xr:uid="{AF0FCE21-2B2F-49AB-8E3F-FE072150E1CF}"/>
    <hyperlink ref="AZ792" r:id="rId1434" display="https://www.lime.org/find-a-lime-plant/?startrow=2" xr:uid="{61B9C64B-4757-4800-9BB3-97D1937C2915}"/>
    <hyperlink ref="AZ701" r:id="rId1435" xr:uid="{BCC619A9-35FF-4163-AE47-883CFE974916}"/>
    <hyperlink ref="AZ886" r:id="rId1436" display="http://www.sulphuric-acid.com/Sulphuric-Acid-on-the-Web/Acid Plants/Martin Midstream - Plainview.htm" xr:uid="{02B566F6-BA6A-4B27-BE6E-7924FF707C0C}"/>
    <hyperlink ref="AZ100" r:id="rId1437" xr:uid="{3A326EC1-F2FA-4622-83EA-4711BD5A8B53}"/>
    <hyperlink ref="AZ141" r:id="rId1438" location="location" xr:uid="{5F3FBD02-E430-4E5A-B24F-63ABF120C80B}"/>
    <hyperlink ref="AZ798" r:id="rId1439" display="https://www.lime.org/find-a-lime-plant/?startrow=2" xr:uid="{32254629-13E7-4A39-B351-6A6012E88606}"/>
    <hyperlink ref="AZ1113" r:id="rId1440" xr:uid="{92DA59C0-CDFC-4008-B601-B852D4D9C9DC}"/>
    <hyperlink ref="AZ932" r:id="rId1441" xr:uid="{BEED697A-3095-49A5-A28C-CF64EEAA57B0}"/>
    <hyperlink ref="AZ144" r:id="rId1442" xr:uid="{BFD209F6-693B-4B79-AE1F-2412D05BBED5}"/>
    <hyperlink ref="AZ1215" r:id="rId1443" display="C:\Users\tmobrien\AppData\Local\Temp\1\MicrosoftEdgeDownloads\08148484-31f1-4c35-874e-eb8b5febc12b\EPA-HQ-OAR-2004-0373-0027_content.pdf" xr:uid="{34B97663-88F8-41CA-B74B-CD7E7A70C71A}"/>
    <hyperlink ref="AZ238" r:id="rId1444" display="https://superiorgraphite.com/" xr:uid="{36E0A726-932C-4128-B975-2DAF3D64A899}"/>
    <hyperlink ref="AZ239" r:id="rId1445" display="https://superiorgraphite.com/" xr:uid="{A01B5D22-6784-492C-98F5-546C7DF96870}"/>
    <hyperlink ref="AZ92" r:id="rId1446" location="americas-baldmountainusa" xr:uid="{78B3AE13-4CF2-4F7D-AF70-22451A129D77}"/>
    <hyperlink ref="AZ794" r:id="rId1447" display="https://www.redwoodmaterials.com/news/sustainable-battery-materials-process/" xr:uid="{83558F3A-3751-44E7-8715-12C6729B3583}"/>
    <hyperlink ref="AZ796" r:id="rId1448" display="https://www.redwoodmaterials.com/news/sustainable-battery-materials-process/" xr:uid="{32EE6236-475C-40DF-BE66-C4A1ADD838BB}"/>
    <hyperlink ref="AZ793" r:id="rId1449" display="https://www.redwoodmaterials.com/news/sustainable-battery-materials-process/" xr:uid="{A3A620F3-2DCA-4361-9C90-E8A09361A009}"/>
    <hyperlink ref="AZ795" r:id="rId1450" display="https://www.redwoodmaterials.com/news/sustainable-battery-materials-process/" xr:uid="{81EAE33E-E221-4DCB-82C2-87317A1BAE7A}"/>
    <hyperlink ref="AZ679" r:id="rId1451" display="https://d9-wret.s3.us-west-2.amazonaws.com/assets/palladium/production/mineral-pubs/magnesium/401496.pdf" xr:uid="{A268BF41-EB57-4B38-896C-1C3EC6125F99}"/>
    <hyperlink ref="AZ445" r:id="rId1452" display="https://d9-wret.s3.us-west-2.amazonaws.com/assets/palladium/production/mineral-pubs/magnesium/401496.pdf" xr:uid="{FDEEAE41-17EB-446C-AD85-CBF605B9FA99}"/>
    <hyperlink ref="AZ446" r:id="rId1453" display="https://d9-wret.s3.us-west-2.amazonaws.com/assets/palladium/production/mineral-pubs/magnesium/401496.pdf" xr:uid="{C50FF43F-9940-45A3-AC44-BA05D8BF7063}"/>
    <hyperlink ref="AZ640" r:id="rId1454" display="https://d9-wret.s3.us-west-2.amazonaws.com/assets/palladium/production/mineral-pubs/magnesium/401496.pdf" xr:uid="{FCBFAD47-5AFF-43A2-9758-F85FC6A847EC}"/>
    <hyperlink ref="AZ419" r:id="rId1455" xr:uid="{B53E2406-7A4F-4F77-A5F2-0A472D46ADE7}"/>
    <hyperlink ref="AZ596" r:id="rId1456" xr:uid="{4C6A1630-BBCE-457E-9AB6-62506C72A6C7}"/>
    <hyperlink ref="AZ598" r:id="rId1457" xr:uid="{75F6392B-D160-401F-803E-B5E389630644}"/>
    <hyperlink ref="AZ39" r:id="rId1458" location="1626913153669-49304d0c-7f052eb4-c126" xr:uid="{47C4C202-65A9-453D-9B87-04C55AF7E37C}"/>
    <hyperlink ref="AZ1065" r:id="rId1459" xr:uid="{A287F4A1-2766-4732-9D83-960014713730}"/>
    <hyperlink ref="AZ1066" r:id="rId1460" xr:uid="{CAB25C92-E34F-4E74-82E6-5D071D1B5766}"/>
    <hyperlink ref="AZ164" r:id="rId1461" xr:uid="{2E268841-0676-43D3-B909-DB4D86BE3013}"/>
    <hyperlink ref="AZ894" r:id="rId1462" display="https://www.crystalsugar.com/location/crookston-mn/" xr:uid="{2A99C151-EFEE-4BE2-96C1-0FFB92725F3E}"/>
    <hyperlink ref="AZ564" r:id="rId1463" display="https://www.clevelandcliffs.com/operations/steelmaking/indiana-harbor" xr:uid="{EDAD97C8-B7AB-46F2-9B4D-17EEE4F5F43F}"/>
    <hyperlink ref="AZ644" r:id="rId1464" display="https://www.linwoodmining.com/" xr:uid="{A577DDC4-BB73-4670-B98B-36E0CAEF6E56}"/>
    <hyperlink ref="AZ999" r:id="rId1465" display="https://d9-wret.s3-us-west-2.amazonaws.com/assets/palladium/production/atoms/files/dir-2016-lime.pdf" xr:uid="{3B0C1C7F-B5BE-4658-A28B-9F56332D0E5A}"/>
    <hyperlink ref="AZ1144" r:id="rId1466" display="https://dot.ca.gov/-/media/dot-media/programs/engineering/documents/mets/lime-for-soil-stabilization-a11y.pdf" xr:uid="{662149E0-205A-496C-8547-5D624C5C6192}"/>
    <hyperlink ref="AZ786" r:id="rId1467" display="https://ecm.idem.in.gov/cs/idcplg?IdcService=GET_FILE&amp;dID=83734269&amp;dDocName=83738312&amp;Rendition=web&amp;noSaveAs=1" xr:uid="{BD512B52-3549-43E0-8786-EC2489CD5198}"/>
    <hyperlink ref="AZ787" r:id="rId1468" display="https://ecm.idem.in.gov/cs/idcplg?IdcService=GET_FILE&amp;dID=83734269&amp;dDocName=83738312&amp;Rendition=web&amp;noSaveAs=1" xr:uid="{CBCFCD07-3DBD-4D37-93F1-8A72D7CC6748}"/>
    <hyperlink ref="AZ956" r:id="rId1469" xr:uid="{1E81E88E-E63C-4770-84D7-E328DBAA6A7B}"/>
    <hyperlink ref="AZ957" r:id="rId1470" xr:uid="{996314DE-560D-4C7A-8776-C3F35C164FDE}"/>
    <hyperlink ref="AZ602" r:id="rId1471" display="https://ugspub.nr.utah.gov/publications/uranium_data/MD00703_1.pdf" xr:uid="{03211E67-82FB-4EE2-B45B-97528B44C000}"/>
    <hyperlink ref="AZ603" r:id="rId1472" display="https://ugspub.nr.utah.gov/publications/uranium_data/MD00703_1.pdf" xr:uid="{4A17341D-CAF5-4395-81A2-88B84C8C6E8E}"/>
    <hyperlink ref="AZ1199" r:id="rId1473" location=":~:text=In%20the%20near%20term%2C%20ODV,upon%20completion%20of%20the%20expansion." display="https://www.juniorminingnetwork.com/junior-miner-news/press-releases/350-tsx/or/114621-osisko-announces-agreement-to-acquire-a-metals-stream-on-the-high-grade-trixie-mine-in-utah-s-historic-tintic-mining-district.html - :~:text=In%20the%20near%20term%2C%20ODV,upon%20completion%20of%20the%20expansion." xr:uid="{569B6C99-3512-4D7B-AAE4-3388AA49AEE0}"/>
    <hyperlink ref="AZ1258" r:id="rId1474" display="https://www.tintech.com/capabilities" xr:uid="{8C1F38B3-E37E-4B00-B90B-4DB6A0963A8B}"/>
    <hyperlink ref="AZ1069" r:id="rId1475" display="https://minedocs.com/12/Shafter_PEA_07112018.pdf" xr:uid="{CB39AE4B-A0BA-4235-AC15-1A07CBA22992}"/>
    <hyperlink ref="AZ151" r:id="rId1476" display="https://www.riotinto.com/en/news/releases/2021/rio-tinto-achieves-battery-grade-lithium-production-at-boron-plant" xr:uid="{95825327-6878-4BAB-BDC6-18A43B7F1BA9}"/>
    <hyperlink ref="AZ481" r:id="rId1477" location=":~:text=The%20facility%20has%20the%20capacity%20to%20produce:,liquefaction%20plant%20*%20Hydrochloric%20acid%20synthesis%20plant" display="https://usmagnesium.com/about-us-mag/ - :~:text=The%20facility%20has%20the%20capacity%20to%20produce:,liquefaction%20plant%20*%20Hydrochloric%20acid%20synthesis%20plant" xr:uid="{93C534DA-ACA7-4D03-8005-AA165964BC0F}"/>
    <hyperlink ref="AZ1191" r:id="rId1478" display="https://www.globenewswire.com/news-release/2024/09/12/2945625/0/en/centerra-gold-announces-thompson-creek-feasibility-study-results-and-strategic-plan-for-us-molybdenum-operations-including-a-restart-of-the-thompson-creek-mine-and-ramp-up-of-lange.html" xr:uid="{37FA6BD9-B962-45C5-9226-BDA672994F65}"/>
    <hyperlink ref="AZ1190" r:id="rId1479" display="https://www.globenewswire.com/news-release/2024/09/12/2945625/0/en/centerra-gold-announces-thompson-creek-feasibility-study-results-and-strategic-plan-for-us-molybdenum-operations-including-a-restart-of-the-thompson-creek-mine-and-ramp-up-of-lange.html" xr:uid="{AC54AD76-0EFF-49E6-A488-AC5ED8B445FD}"/>
    <hyperlink ref="AZ810" r:id="rId1480" xr:uid="{C14F4E66-23BB-4A02-8A05-FA211727E434}"/>
    <hyperlink ref="AZ1081" r:id="rId1481" display="https://grokipedia.com/page/sierrita_mine" xr:uid="{F3EF3BF0-9C0F-4B52-B585-E5C663201BA4}"/>
    <hyperlink ref="AZ584" r:id="rId1482" display="https://www.gunnisoncopper.com/news/news-2025/gunnison-copper-announces-first-copper-sales-from-johnson-ca2025-09-25-033502" xr:uid="{22E6F81D-D6EF-41AA-B5ED-6977E2792E36}"/>
    <hyperlink ref="AZ607" r:id="rId1483" xr:uid="{0D020C05-38A2-484A-9657-E666193A2124}"/>
    <hyperlink ref="BA369" r:id="rId1484" display="https://www.mininggazette.com/news/front-page/2025/12/eagle-mine-sold/" xr:uid="{1D0B9200-BA7C-48E5-A79B-35734EF85D8C}"/>
    <hyperlink ref="BA370" r:id="rId1485" display="https://www.mininggazette.com/news/front-page/2025/12/eagle-mine-sold/" xr:uid="{9056B7BB-EC9D-41A0-85F3-B421B131504C}"/>
    <hyperlink ref="BA371" r:id="rId1486" display="https://www.mininggazette.com/news/front-page/2025/12/eagle-mine-sold/" xr:uid="{067E6471-2EE1-44B2-BCA6-878DF6C68DE7}"/>
    <hyperlink ref="BA372" r:id="rId1487" display="https://www.mininggazette.com/news/front-page/2025/12/eagle-mine-sold/" xr:uid="{F5CFDFFD-2981-409D-A525-D0138FBDE32C}"/>
    <hyperlink ref="BA373" r:id="rId1488" display="https://www.mininggazette.com/news/front-page/2025/12/eagle-mine-sold/" xr:uid="{F011EF73-4A5A-49CE-A80C-DA1F59A24FAD}"/>
    <hyperlink ref="BB374" r:id="rId1489" display="https://www.mininggazette.com/news/front-page/2025/12/eagle-mine-sold/" xr:uid="{3EC7FDDE-743C-4E96-812D-6E6652CAC650}"/>
    <hyperlink ref="AZ546" r:id="rId1490" display="https://minedocs.com/23/Eagle-TR-12312022.pdf" xr:uid="{10086899-F6F8-4702-ABD6-FD237AC43B90}"/>
    <hyperlink ref="AZ541" r:id="rId1491" display="https://pubs.usgs.gov/myb/vol1/2021/myb1-2021-copper.pdf" xr:uid="{7BBD32E5-329E-49D7-B610-5BFE94C6355B}"/>
    <hyperlink ref="AZ543" r:id="rId1492" display="https://minedocs.com/23/Eagle-TR-12312022.pdf" xr:uid="{3ECD53E2-076A-4BEC-9F76-B23B023DC08C}"/>
    <hyperlink ref="AZ545" r:id="rId1493" display="https://minedocs.com/23/Eagle-TR-12312022.pdf" xr:uid="{0B4AE450-ABD8-4C49-B256-0302E781781A}"/>
    <hyperlink ref="AZ544" r:id="rId1494" display="https://minedocs.com/23/Eagle-TR-12312022.pdf" xr:uid="{CB339D9C-696F-487E-8EBB-444FDF866352}"/>
    <hyperlink ref="AZ542" r:id="rId1495" display="https://minedocs.com/23/Eagle-TR-12312022.pdf" xr:uid="{D1338EFC-B78F-4356-A71E-50EF4E131625}"/>
    <hyperlink ref="AZ1277:AZ1279" r:id="rId1496" display="https://www.sabinmetal.com/locations/sabin-metal-west-corporation" xr:uid="{C080A92A-3A8B-4A82-983C-06D87206D063}"/>
    <hyperlink ref="BA541" r:id="rId1497" display="https://www.mininggazette.com/news/front-page/2025/12/eagle-mine-sold/" xr:uid="{A55BDD84-C72E-4A08-A9D2-FE75A326DCE9}"/>
    <hyperlink ref="BA542" r:id="rId1498" display="https://www.mininggazette.com/news/front-page/2025/12/eagle-mine-sold/" xr:uid="{2FD4274A-BD22-4C0A-87A7-09B36C330DF1}"/>
    <hyperlink ref="BA543" r:id="rId1499" display="https://www.mininggazette.com/news/front-page/2025/12/eagle-mine-sold/" xr:uid="{1D7023D9-E465-43F1-B367-3536C6D3F980}"/>
    <hyperlink ref="BA544" r:id="rId1500" display="https://www.mininggazette.com/news/front-page/2025/12/eagle-mine-sold/" xr:uid="{A4775660-D724-4AFD-8BC6-85A9F7FFB733}"/>
    <hyperlink ref="BA545" r:id="rId1501" display="https://www.mininggazette.com/news/front-page/2025/12/eagle-mine-sold/" xr:uid="{802377D6-4F46-4CC4-B7CD-4DC29AC2E206}"/>
    <hyperlink ref="BB546" r:id="rId1502" display="https://www.mininggazette.com/news/front-page/2025/12/eagle-mine-sold/" xr:uid="{E62F67E0-743F-4D43-AEB4-874AF68225B6}"/>
    <hyperlink ref="AZ56" r:id="rId1503" display="https://www.asbury.com/materials/graphite/" xr:uid="{B647549B-D2D8-4DCB-B896-C9F435A1F993}"/>
    <hyperlink ref="AZ57" r:id="rId1504" display="https://www.asbury.com/materials/coke/" xr:uid="{81DD4798-D172-4DA5-A243-83AAE48ED3DC}"/>
    <hyperlink ref="AZ58" r:id="rId1505" display="https://www.asbury.com/materials/coke/" xr:uid="{48ACDB47-3892-48B5-8146-1F042813AD86}"/>
    <hyperlink ref="AZ1147" r:id="rId1506" display="https://www.asbury.com/about-us/our-story/" xr:uid="{B5AE8A13-BE0D-4937-A1D6-E13FD546BA02}"/>
    <hyperlink ref="AZ1148" r:id="rId1507" display="https://www.asbury.com/about-us/our-story/" xr:uid="{028FD7CC-3B7A-4B7C-9DCA-35A4E0D02F72}"/>
    <hyperlink ref="AZ777" r:id="rId1508" display="https://pubs.usgs.gov/myb/vol1/2021/myb1-2021-barite.pdf" xr:uid="{07BBA8B3-9D75-4F4D-9CB0-1C7C75E7D7E1}"/>
    <hyperlink ref="AZ1059" r:id="rId1509" display="https://lynasrareearths.com/wp-content/uploads/2023/12/Lynas-Rare-Earths_Open-House-Presentation-December-7-2023.pdf" xr:uid="{7639033F-4730-4231-B5DF-1FDA89B491CA}"/>
    <hyperlink ref="AZ1060" r:id="rId1510" display="https://lynasrareearths.com/wp-content/uploads/2023/12/Lynas-Rare-Earths_Open-House-Presentation-December-7-2023.pdf" xr:uid="{53D243FF-C43D-4264-B1CB-20919295361A}"/>
    <hyperlink ref="AZ303" r:id="rId1511" display="https://www.prnewswire.com/news-releases/graphite-one-secures-ohio-site-and-accelerates-towards-ev-and-energy-storage-battery-material-production-with-advances-in-offtake-pipeline-302775032.html" xr:uid="{ACC09F38-34B5-42B6-968A-375A03FEBD0B}"/>
    <hyperlink ref="AZ36" r:id="rId1512" location="1626913153669-49304d0c-7f052eb4-c126" display="https://www.asarco.com/mines/ - 1626913153669-49304d0c-7f052eb4-c126" xr:uid="{D67114F1-326A-4B65-AC9F-FABE68711AF4}"/>
    <hyperlink ref="BA36" r:id="rId1513" display="https://www.newschannel10.com/2022/08/24/asarco-announced-indefinite-shutdown-amarillo-refinery-due-freight-costs-producing-rod/" xr:uid="{18C4AD03-7816-41AF-BCBF-8B8F326743C2}"/>
    <hyperlink ref="BB36" r:id="rId1514" display="https://www.mining.com/web/grupo-mexico-targets-us-expansion-on-copper-boom/" xr:uid="{6BDA100E-C990-44DE-B250-3A946DBA9394}"/>
    <hyperlink ref="BA115" r:id="rId1515" display="https://www.minerals.nv.gov/siteassets/content/programs/mining/2022_Metallic_Production_by_mine.pdf" xr:uid="{8C5DC669-EAC5-4B77-BF9E-059B95EB9BB4}"/>
    <hyperlink ref="AZ1084" r:id="rId1516" display="https://www.fcx.com/sites/fcx/files/documents/sierrita/2013/122013-a.pdf" xr:uid="{F20C1FE0-1BBF-40C6-A08C-E48988E6B0CF}"/>
    <hyperlink ref="BA1084" r:id="rId1517" display="https://climaxmolybdenum.com/sites/climaxmoly/files/documents/pdfs/technical-library/rhenium-product-datasheets/PDS_Re_BRQ.pdf" xr:uid="{01D74B83-DA74-4331-AD0F-6A73BCB605DE}"/>
    <hyperlink ref="AZ723" r:id="rId1518" display="https://minedocs.com/17/FactSheetCLARKSVILLE2016.pdf" xr:uid="{A5D06E74-5A2C-403C-BEE8-0842E32CE57D}"/>
    <hyperlink ref="AZ386" r:id="rId1519" display="https://pubs.usgs.gov/myb/vol1/2023/myb1-2023-germanium.pdf" xr:uid="{AAC9E42B-17C3-4BD1-9457-91AA90948438}"/>
    <hyperlink ref="BA959" r:id="rId1520" display="https://orlamining.com/news/orla-announces-results-of-updated-feasibility-study-for-south-railroad-project/" xr:uid="{6FE0D27B-F96D-4C9A-BE33-1F058470EEE6}"/>
    <hyperlink ref="BA957" r:id="rId1521" display="https://orlamining.com/news/orla-announces-results-of-updated-feasibility-study-for-south-railroad-project/" xr:uid="{35271EF9-5088-41DB-942A-E049BBE7E18C}"/>
    <hyperlink ref="BA1035" r:id="rId1522" display="https://www.industrialinfo.com/iirenergy/industry-news/article/freeport-mcmoran-rides-wave-of-copper-demand-to-expansions--338257" xr:uid="{DE723693-E448-4C1D-856F-B8EA88871F0E}"/>
    <hyperlink ref="BA149" r:id="rId1523" display="https://www.minerals.nv.gov/siteassets/content/programs/mining/2022_Metallic_Production_by_mine.pdf" xr:uid="{ECEE8184-7275-4E70-82F7-823C97C88A5F}"/>
    <hyperlink ref="BA148" r:id="rId1524" display="https://www.minerals.nv.gov/siteassets/content/programs/mining/2022_Metallic_Production_by_mine.pdf" xr:uid="{2CAA6E5D-65F7-474B-92CF-2C0D93BCDE04}"/>
    <hyperlink ref="BA147" r:id="rId1525" display="https://www.minerals.nv.gov/siteassets/content/programs/mining/2022_Metallic_Production_by_mine.pdf" xr:uid="{BC108032-A428-4831-96D3-D821F34FC0F1}"/>
    <hyperlink ref="BA150" r:id="rId1526" display="https://www.minerals.nv.gov/siteassets/content/programs/mining/2022_Metallic_Production_by_mine.pdf" xr:uid="{30242A0C-CD58-4835-BA20-3E28795119B4}"/>
    <hyperlink ref="BB507" r:id="rId1527" display="https://www.northernminer.com/news/ray-expansion-boosts-asarco-copper-output/1000132788/" xr:uid="{EF759F08-0B5C-406F-82F9-45EA3950E878}"/>
    <hyperlink ref="BA716" r:id="rId1528" display="https://miningdataonline.com/property/87/Miami-Mine.aspx" xr:uid="{93BB272E-90AD-4C11-BF8E-464B19FF6FA1}"/>
    <hyperlink ref="AZ177" r:id="rId1529" display="https://minedocs.com/21/Doe_Run-History_of_Mining-2008.pdf" xr:uid="{F193A208-22BA-4FE3-AE1D-6DCB3711D1CA}"/>
    <hyperlink ref="AZ180" r:id="rId1530" display="https://minedocs.com/21/Doe_Run-History_of_Mining-2008.pdf" xr:uid="{5E6AE58F-4FAE-409F-BCD4-22440F9A5676}"/>
    <hyperlink ref="BA724" r:id="rId1531" display="https://minedocs.com/17/TennesseeMines_Fact_Sheet_072017.pdf" xr:uid="{CE0B609F-979B-4222-9973-DB03E1FA2F61}"/>
    <hyperlink ref="BB385" r:id="rId1532" display="https://minedocs.com/17/TennesseeMines_Fact_Sheet_072017.pdf" xr:uid="{6272E4F6-252A-47CE-B918-33FD3DA84F3F}"/>
    <hyperlink ref="AZ436" r:id="rId1533" display="https://pubs.usgs.gov/myb/vol1/2019/myb1-2019-molybdenum.pdf" xr:uid="{6987F5F9-BEA9-4CE0-998A-B72E549EE6DC}"/>
    <hyperlink ref="AZ1082" r:id="rId1534" display="https://pubs.usgs.gov/myb/vol1/2019/myb1-2019-molybdenum.pdf" xr:uid="{B71EF371-BF3A-4CE4-843E-0E8ADEB6823B}"/>
    <hyperlink ref="AZ1083" r:id="rId1535" display="https://pubs.usgs.gov/myb/vol1/2019/myb1-2019-molybdenum.pdf" xr:uid="{D25CEB98-C09E-486B-9DED-299A582FB441}"/>
    <hyperlink ref="BA1083" r:id="rId1536" display="https://climaxmolybdenum.com/sites/climaxmoly/files/documents/pdfs/technical-library/metallurgical-product-datasheets/PDS_RMC_CFB_US.pdf" xr:uid="{7BFC946B-93A8-4A84-AA12-6495D9DC8FBE}"/>
    <hyperlink ref="AZ170" r:id="rId1537" display="https://pubs.usgs.gov/myb/vol1/2022/myb1-2022-zinc.pdf" xr:uid="{F9040C6F-EDA1-434E-886B-A5D478269438}"/>
    <hyperlink ref="AZ1164" r:id="rId1538" display="https://pubs.usgs.gov/myb/vol1/2022/myb1-2022-zinc.pdf" xr:uid="{8136483B-9871-4680-A82B-3F7D6B64A87E}"/>
    <hyperlink ref="AZ733" r:id="rId1539" display="https://pubs.usgs.gov/myb/vol1/2022/myb1-2022-copper.pdf" xr:uid="{47E1901D-2304-4FBA-BD05-4F16CF864F14}"/>
    <hyperlink ref="AZ734" r:id="rId1540" display="https://pubs.usgs.gov/myb/vol1/2022/myb1-2022-copper.pdf" xr:uid="{6FDE22F5-6615-43D5-A6E9-3CDDCB39C79D}"/>
    <hyperlink ref="AZ153" r:id="rId1541" display="https://pubs.usgs.gov/myb/vol1/2019/myb1-2019-boron.pdf" xr:uid="{3F0F49F7-662A-4E11-AEBD-7A1691F4B838}"/>
    <hyperlink ref="AZ154" r:id="rId1542" display="https://pubs.usgs.gov/myb/vol1/2019/myb1-2019-boron.pdf" xr:uid="{96412C7A-5442-411A-ADC3-B6DFF4E99CE0}"/>
  </hyperlinks>
  <pageMargins left="0.7" right="0.7" top="0.75" bottom="0.75" header="0.3" footer="0.3"/>
  <pageSetup orientation="portrait" r:id="rId154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3581D-4386-4C58-9C07-D950B3C49408}">
  <dimension ref="A1:M1293"/>
  <sheetViews>
    <sheetView topLeftCell="A27" workbookViewId="0">
      <selection activeCell="A32" sqref="A32"/>
    </sheetView>
  </sheetViews>
  <sheetFormatPr defaultColWidth="20.7109375" defaultRowHeight="15.75" x14ac:dyDescent="0.25"/>
  <cols>
    <col min="1" max="1" width="38" style="30" customWidth="1"/>
    <col min="2" max="2" width="20.7109375" style="22"/>
    <col min="3" max="11" width="20.7109375" style="23"/>
    <col min="12" max="12" width="27.5703125" style="23" customWidth="1"/>
    <col min="13" max="16384" width="20.7109375" style="23"/>
  </cols>
  <sheetData>
    <row r="1" spans="1:13" s="20" customFormat="1" x14ac:dyDescent="0.25">
      <c r="A1" s="18" t="s">
        <v>2770</v>
      </c>
      <c r="B1" s="10" t="s">
        <v>2771</v>
      </c>
      <c r="C1" s="10"/>
      <c r="D1" s="19" t="s">
        <v>2772</v>
      </c>
      <c r="E1" s="10" t="s">
        <v>2771</v>
      </c>
      <c r="G1" s="13" t="s">
        <v>2773</v>
      </c>
      <c r="H1" s="14" t="s">
        <v>2771</v>
      </c>
      <c r="J1" s="31" t="s">
        <v>10</v>
      </c>
      <c r="L1" s="39" t="s">
        <v>5366</v>
      </c>
      <c r="M1" s="14" t="s">
        <v>2771</v>
      </c>
    </row>
    <row r="2" spans="1:13" ht="31.5" x14ac:dyDescent="0.25">
      <c r="A2" s="21" t="s">
        <v>0</v>
      </c>
      <c r="B2" s="22" t="s">
        <v>5391</v>
      </c>
      <c r="D2" s="23" t="s">
        <v>111</v>
      </c>
      <c r="E2" s="23" t="s">
        <v>2774</v>
      </c>
      <c r="G2" s="23" t="s">
        <v>2775</v>
      </c>
      <c r="H2" s="17" t="s">
        <v>74</v>
      </c>
      <c r="J2" s="12" t="s">
        <v>53</v>
      </c>
      <c r="L2" s="23" t="s">
        <v>5368</v>
      </c>
      <c r="M2" s="23" t="s">
        <v>5367</v>
      </c>
    </row>
    <row r="3" spans="1:13" x14ac:dyDescent="0.25">
      <c r="A3" s="21" t="s">
        <v>1</v>
      </c>
      <c r="D3" s="23" t="s">
        <v>101</v>
      </c>
      <c r="E3" s="23" t="s">
        <v>2769</v>
      </c>
      <c r="G3" s="15" t="s">
        <v>2776</v>
      </c>
      <c r="H3" s="16" t="s">
        <v>316</v>
      </c>
      <c r="J3" s="3" t="s">
        <v>66</v>
      </c>
      <c r="L3" s="23" t="s">
        <v>5378</v>
      </c>
      <c r="M3" s="23" t="s">
        <v>1595</v>
      </c>
    </row>
    <row r="4" spans="1:13" x14ac:dyDescent="0.25">
      <c r="A4" s="26" t="s">
        <v>2</v>
      </c>
      <c r="B4" s="22" t="s">
        <v>2779</v>
      </c>
      <c r="D4" s="23" t="s">
        <v>2777</v>
      </c>
      <c r="E4" s="25"/>
      <c r="G4" s="15" t="s">
        <v>2778</v>
      </c>
      <c r="H4" s="16" t="s">
        <v>511</v>
      </c>
      <c r="J4" s="3" t="s">
        <v>68</v>
      </c>
      <c r="L4" s="23" t="s">
        <v>5376</v>
      </c>
      <c r="M4" s="23" t="s">
        <v>5377</v>
      </c>
    </row>
    <row r="5" spans="1:13" ht="47.25" x14ac:dyDescent="0.25">
      <c r="A5" s="27" t="s">
        <v>3</v>
      </c>
      <c r="B5" s="22" t="s">
        <v>2782</v>
      </c>
      <c r="D5" s="23" t="s">
        <v>1423</v>
      </c>
      <c r="E5" s="25" t="s">
        <v>2780</v>
      </c>
      <c r="G5" s="15" t="s">
        <v>2781</v>
      </c>
      <c r="H5" s="16" t="s">
        <v>71</v>
      </c>
      <c r="J5" s="3" t="s">
        <v>71</v>
      </c>
      <c r="L5" s="23" t="s">
        <v>2332</v>
      </c>
      <c r="M5" s="36" t="s">
        <v>723</v>
      </c>
    </row>
    <row r="6" spans="1:13" x14ac:dyDescent="0.25">
      <c r="A6" s="44" t="s">
        <v>4</v>
      </c>
      <c r="D6" s="23" t="s">
        <v>105</v>
      </c>
      <c r="E6" s="25" t="s">
        <v>2783</v>
      </c>
      <c r="G6" s="15" t="s">
        <v>2784</v>
      </c>
      <c r="H6" s="16" t="s">
        <v>540</v>
      </c>
      <c r="J6" s="3" t="s">
        <v>74</v>
      </c>
      <c r="L6" s="23" t="s">
        <v>5370</v>
      </c>
      <c r="M6" s="23" t="s">
        <v>5369</v>
      </c>
    </row>
    <row r="7" spans="1:13" x14ac:dyDescent="0.25">
      <c r="A7" s="21" t="s">
        <v>5</v>
      </c>
      <c r="D7" s="23" t="s">
        <v>2786</v>
      </c>
      <c r="E7" s="25" t="s">
        <v>2787</v>
      </c>
      <c r="G7" s="15" t="s">
        <v>2788</v>
      </c>
      <c r="H7" s="16" t="s">
        <v>1107</v>
      </c>
      <c r="J7" s="1" t="s">
        <v>79</v>
      </c>
      <c r="L7" s="23" t="s">
        <v>579</v>
      </c>
      <c r="M7" s="23" t="s">
        <v>5364</v>
      </c>
    </row>
    <row r="8" spans="1:13" x14ac:dyDescent="0.25">
      <c r="A8" s="44" t="s">
        <v>6</v>
      </c>
      <c r="D8" s="23" t="s">
        <v>59</v>
      </c>
      <c r="E8" s="25" t="s">
        <v>2790</v>
      </c>
      <c r="G8" s="15" t="s">
        <v>2791</v>
      </c>
      <c r="H8" s="16" t="s">
        <v>839</v>
      </c>
      <c r="J8" s="1" t="s">
        <v>87</v>
      </c>
      <c r="L8" s="23" t="s">
        <v>1873</v>
      </c>
      <c r="M8" s="23" t="s">
        <v>5373</v>
      </c>
    </row>
    <row r="9" spans="1:13" ht="31.5" x14ac:dyDescent="0.25">
      <c r="A9" s="24" t="s">
        <v>7</v>
      </c>
      <c r="B9" s="22" t="s">
        <v>2785</v>
      </c>
      <c r="D9" s="25" t="s">
        <v>2792</v>
      </c>
      <c r="E9" s="25" t="s">
        <v>2793</v>
      </c>
      <c r="G9" s="15" t="s">
        <v>2794</v>
      </c>
      <c r="H9" s="16" t="s">
        <v>1678</v>
      </c>
      <c r="J9" s="1" t="s">
        <v>104</v>
      </c>
      <c r="L9" s="23" t="s">
        <v>5374</v>
      </c>
      <c r="M9" s="23" t="s">
        <v>5375</v>
      </c>
    </row>
    <row r="10" spans="1:13" ht="78.75" x14ac:dyDescent="0.25">
      <c r="A10" s="24" t="s">
        <v>8</v>
      </c>
      <c r="B10" s="22" t="s">
        <v>2789</v>
      </c>
      <c r="D10" s="25" t="s">
        <v>2797</v>
      </c>
      <c r="E10" s="25" t="s">
        <v>2798</v>
      </c>
      <c r="G10" s="15" t="s">
        <v>2799</v>
      </c>
      <c r="H10" s="16" t="s">
        <v>836</v>
      </c>
      <c r="J10" s="3" t="s">
        <v>118</v>
      </c>
      <c r="L10" s="36" t="s">
        <v>1871</v>
      </c>
      <c r="M10" s="23" t="s">
        <v>5383</v>
      </c>
    </row>
    <row r="11" spans="1:13" x14ac:dyDescent="0.25">
      <c r="A11" s="24" t="s">
        <v>9</v>
      </c>
      <c r="D11" s="25" t="s">
        <v>106</v>
      </c>
      <c r="E11" s="25" t="s">
        <v>2802</v>
      </c>
      <c r="G11" s="15" t="s">
        <v>2803</v>
      </c>
      <c r="H11" s="16" t="s">
        <v>126</v>
      </c>
      <c r="J11" s="3" t="s">
        <v>120</v>
      </c>
      <c r="L11" s="36" t="s">
        <v>1843</v>
      </c>
      <c r="M11" s="23" t="s">
        <v>5384</v>
      </c>
    </row>
    <row r="12" spans="1:13" x14ac:dyDescent="0.25">
      <c r="A12" s="24" t="s">
        <v>2795</v>
      </c>
      <c r="B12" s="22" t="s">
        <v>2796</v>
      </c>
      <c r="G12" s="15" t="s">
        <v>2805</v>
      </c>
      <c r="H12" s="16" t="s">
        <v>1103</v>
      </c>
      <c r="J12" s="3" t="s">
        <v>122</v>
      </c>
      <c r="L12" s="23" t="s">
        <v>5385</v>
      </c>
      <c r="M12" s="23" t="s">
        <v>1591</v>
      </c>
    </row>
    <row r="13" spans="1:13" x14ac:dyDescent="0.25">
      <c r="A13" s="24" t="s">
        <v>2800</v>
      </c>
      <c r="B13" s="22" t="s">
        <v>2801</v>
      </c>
      <c r="G13" s="15" t="s">
        <v>2807</v>
      </c>
      <c r="H13" s="16" t="s">
        <v>53</v>
      </c>
      <c r="J13" s="3" t="s">
        <v>126</v>
      </c>
      <c r="L13" s="36" t="s">
        <v>5372</v>
      </c>
      <c r="M13" s="23" t="s">
        <v>5371</v>
      </c>
    </row>
    <row r="14" spans="1:13" ht="31.5" x14ac:dyDescent="0.25">
      <c r="A14" s="24" t="s">
        <v>11</v>
      </c>
      <c r="B14" s="22" t="s">
        <v>2804</v>
      </c>
      <c r="G14" s="15" t="s">
        <v>2808</v>
      </c>
      <c r="H14" s="16" t="s">
        <v>2809</v>
      </c>
      <c r="J14" s="3" t="s">
        <v>133</v>
      </c>
      <c r="L14" s="23" t="s">
        <v>5381</v>
      </c>
      <c r="M14" s="23" t="s">
        <v>5382</v>
      </c>
    </row>
    <row r="15" spans="1:13" x14ac:dyDescent="0.25">
      <c r="A15" s="24" t="s">
        <v>12</v>
      </c>
      <c r="B15" s="22" t="s">
        <v>2806</v>
      </c>
      <c r="G15" s="15" t="s">
        <v>2810</v>
      </c>
      <c r="H15" s="16" t="s">
        <v>490</v>
      </c>
      <c r="J15" s="3" t="s">
        <v>135</v>
      </c>
    </row>
    <row r="16" spans="1:13" x14ac:dyDescent="0.25">
      <c r="A16" s="24" t="s">
        <v>13</v>
      </c>
      <c r="G16" s="15" t="s">
        <v>2811</v>
      </c>
      <c r="H16" s="16" t="s">
        <v>831</v>
      </c>
      <c r="J16" s="3" t="s">
        <v>137</v>
      </c>
    </row>
    <row r="17" spans="1:10" x14ac:dyDescent="0.25">
      <c r="A17" s="24" t="s">
        <v>14</v>
      </c>
      <c r="G17" s="15" t="s">
        <v>2812</v>
      </c>
      <c r="H17" s="16" t="s">
        <v>146</v>
      </c>
      <c r="J17" s="1" t="s">
        <v>140</v>
      </c>
    </row>
    <row r="18" spans="1:10" x14ac:dyDescent="0.25">
      <c r="A18" s="21" t="s">
        <v>15</v>
      </c>
      <c r="G18" s="15" t="s">
        <v>2814</v>
      </c>
      <c r="H18" s="16" t="s">
        <v>834</v>
      </c>
      <c r="J18" s="1" t="s">
        <v>146</v>
      </c>
    </row>
    <row r="19" spans="1:10" x14ac:dyDescent="0.25">
      <c r="A19" s="21" t="s">
        <v>16</v>
      </c>
      <c r="G19" s="15" t="s">
        <v>2816</v>
      </c>
      <c r="H19" s="16" t="s">
        <v>118</v>
      </c>
      <c r="J19" s="1" t="s">
        <v>148</v>
      </c>
    </row>
    <row r="20" spans="1:10" ht="204.75" x14ac:dyDescent="0.25">
      <c r="A20" s="21" t="s">
        <v>17</v>
      </c>
      <c r="B20" s="22" t="s">
        <v>2813</v>
      </c>
      <c r="G20" s="15" t="s">
        <v>2818</v>
      </c>
      <c r="H20" s="16" t="s">
        <v>2819</v>
      </c>
      <c r="J20" s="1" t="s">
        <v>166</v>
      </c>
    </row>
    <row r="21" spans="1:10" ht="189" x14ac:dyDescent="0.25">
      <c r="A21" s="21" t="s">
        <v>18</v>
      </c>
      <c r="B21" s="22" t="s">
        <v>2815</v>
      </c>
      <c r="G21" s="15" t="s">
        <v>2821</v>
      </c>
      <c r="H21" s="16" t="s">
        <v>133</v>
      </c>
      <c r="J21" s="3" t="s">
        <v>173</v>
      </c>
    </row>
    <row r="22" spans="1:10" ht="31.5" x14ac:dyDescent="0.25">
      <c r="A22" s="28" t="s">
        <v>19</v>
      </c>
      <c r="B22" s="22" t="s">
        <v>2817</v>
      </c>
      <c r="G22" s="15" t="s">
        <v>2823</v>
      </c>
      <c r="H22" s="16" t="s">
        <v>218</v>
      </c>
      <c r="J22" s="2" t="s">
        <v>180</v>
      </c>
    </row>
    <row r="23" spans="1:10" ht="31.5" x14ac:dyDescent="0.25">
      <c r="A23" s="21" t="s">
        <v>20</v>
      </c>
      <c r="B23" s="22" t="s">
        <v>2820</v>
      </c>
      <c r="G23" s="15" t="s">
        <v>2825</v>
      </c>
      <c r="H23" s="16" t="s">
        <v>135</v>
      </c>
      <c r="J23" s="3" t="s">
        <v>194</v>
      </c>
    </row>
    <row r="24" spans="1:10" ht="78.75" x14ac:dyDescent="0.25">
      <c r="A24" s="35" t="s">
        <v>5388</v>
      </c>
      <c r="B24" s="22" t="s">
        <v>2822</v>
      </c>
      <c r="G24" s="15" t="s">
        <v>2826</v>
      </c>
      <c r="H24" s="16" t="s">
        <v>264</v>
      </c>
      <c r="J24" s="3" t="s">
        <v>198</v>
      </c>
    </row>
    <row r="25" spans="1:10" ht="94.5" x14ac:dyDescent="0.25">
      <c r="A25" s="35" t="s">
        <v>5392</v>
      </c>
      <c r="B25" s="22" t="s">
        <v>2824</v>
      </c>
      <c r="G25" s="15" t="s">
        <v>2827</v>
      </c>
      <c r="H25" s="16" t="s">
        <v>552</v>
      </c>
      <c r="J25" s="1" t="s">
        <v>204</v>
      </c>
    </row>
    <row r="26" spans="1:10" x14ac:dyDescent="0.25">
      <c r="A26" s="21" t="s">
        <v>22</v>
      </c>
      <c r="G26" s="15" t="s">
        <v>2828</v>
      </c>
      <c r="H26" s="16" t="s">
        <v>137</v>
      </c>
      <c r="J26" s="3" t="s">
        <v>210</v>
      </c>
    </row>
    <row r="27" spans="1:10" ht="204.75" x14ac:dyDescent="0.25">
      <c r="A27" s="21" t="s">
        <v>23</v>
      </c>
      <c r="B27" s="22" t="s">
        <v>4010</v>
      </c>
      <c r="G27" s="15" t="s">
        <v>2829</v>
      </c>
      <c r="H27" s="16" t="s">
        <v>2830</v>
      </c>
      <c r="J27" s="3" t="s">
        <v>218</v>
      </c>
    </row>
    <row r="28" spans="1:10" ht="31.5" x14ac:dyDescent="0.25">
      <c r="A28" s="2" t="s">
        <v>24</v>
      </c>
      <c r="B28" s="22" t="s">
        <v>5389</v>
      </c>
      <c r="G28" s="15" t="s">
        <v>2831</v>
      </c>
      <c r="H28" s="16" t="s">
        <v>582</v>
      </c>
      <c r="J28" s="1" t="s">
        <v>264</v>
      </c>
    </row>
    <row r="29" spans="1:10" x14ac:dyDescent="0.25">
      <c r="A29" s="21" t="s">
        <v>5390</v>
      </c>
      <c r="G29" s="15" t="s">
        <v>2832</v>
      </c>
      <c r="H29" s="16" t="s">
        <v>66</v>
      </c>
      <c r="J29" s="2" t="s">
        <v>285</v>
      </c>
    </row>
    <row r="30" spans="1:10" x14ac:dyDescent="0.25">
      <c r="A30" s="2" t="s">
        <v>3801</v>
      </c>
      <c r="G30" s="15" t="s">
        <v>2834</v>
      </c>
      <c r="H30" s="16" t="s">
        <v>68</v>
      </c>
      <c r="J30" s="3" t="s">
        <v>292</v>
      </c>
    </row>
    <row r="31" spans="1:10" ht="78.75" x14ac:dyDescent="0.25">
      <c r="A31" s="21" t="s">
        <v>25</v>
      </c>
      <c r="B31" s="22" t="s">
        <v>2833</v>
      </c>
      <c r="G31" s="15" t="s">
        <v>2836</v>
      </c>
      <c r="H31" s="16" t="s">
        <v>120</v>
      </c>
      <c r="J31" s="1" t="s">
        <v>291</v>
      </c>
    </row>
    <row r="32" spans="1:10" ht="47.25" x14ac:dyDescent="0.25">
      <c r="A32" s="21" t="s">
        <v>26</v>
      </c>
      <c r="B32" s="22" t="s">
        <v>2835</v>
      </c>
      <c r="G32" s="15" t="s">
        <v>2838</v>
      </c>
      <c r="H32" s="16" t="s">
        <v>890</v>
      </c>
      <c r="J32" s="1" t="s">
        <v>313</v>
      </c>
    </row>
    <row r="33" spans="1:10" ht="31.5" x14ac:dyDescent="0.25">
      <c r="A33" s="21" t="s">
        <v>27</v>
      </c>
      <c r="B33" s="22" t="s">
        <v>2837</v>
      </c>
      <c r="G33" s="15" t="s">
        <v>2840</v>
      </c>
      <c r="H33" s="16" t="s">
        <v>122</v>
      </c>
      <c r="J33" s="3" t="s">
        <v>316</v>
      </c>
    </row>
    <row r="34" spans="1:10" ht="47.25" x14ac:dyDescent="0.25">
      <c r="A34" s="24" t="s">
        <v>28</v>
      </c>
      <c r="B34" s="22" t="s">
        <v>2839</v>
      </c>
      <c r="G34" s="15" t="s">
        <v>2842</v>
      </c>
      <c r="H34" s="16" t="s">
        <v>841</v>
      </c>
      <c r="J34" s="11" t="s">
        <v>346</v>
      </c>
    </row>
    <row r="35" spans="1:10" x14ac:dyDescent="0.25">
      <c r="A35" s="24" t="s">
        <v>29</v>
      </c>
      <c r="B35" s="22" t="s">
        <v>2841</v>
      </c>
      <c r="G35" s="15" t="s">
        <v>2844</v>
      </c>
      <c r="H35" s="16" t="s">
        <v>1092</v>
      </c>
      <c r="J35" s="3" t="s">
        <v>384</v>
      </c>
    </row>
    <row r="36" spans="1:10" x14ac:dyDescent="0.25">
      <c r="A36" s="24" t="s">
        <v>30</v>
      </c>
      <c r="B36" s="22" t="s">
        <v>2843</v>
      </c>
      <c r="G36" s="15" t="s">
        <v>2845</v>
      </c>
      <c r="H36" s="16" t="s">
        <v>194</v>
      </c>
      <c r="J36" s="2" t="s">
        <v>392</v>
      </c>
    </row>
    <row r="37" spans="1:10" x14ac:dyDescent="0.25">
      <c r="A37" s="24" t="s">
        <v>31</v>
      </c>
      <c r="B37" s="22" t="s">
        <v>2841</v>
      </c>
      <c r="G37" s="15" t="s">
        <v>2847</v>
      </c>
      <c r="H37" s="16" t="s">
        <v>173</v>
      </c>
      <c r="J37" s="1" t="s">
        <v>417</v>
      </c>
    </row>
    <row r="38" spans="1:10" x14ac:dyDescent="0.25">
      <c r="A38" s="24" t="s">
        <v>32</v>
      </c>
      <c r="B38" s="22" t="s">
        <v>2846</v>
      </c>
      <c r="G38" s="15" t="s">
        <v>2848</v>
      </c>
      <c r="H38" s="16" t="s">
        <v>2577</v>
      </c>
      <c r="J38" s="3" t="s">
        <v>442</v>
      </c>
    </row>
    <row r="39" spans="1:10" x14ac:dyDescent="0.25">
      <c r="A39" s="24" t="s">
        <v>33</v>
      </c>
      <c r="B39" s="22" t="s">
        <v>2841</v>
      </c>
      <c r="G39" s="15" t="s">
        <v>2850</v>
      </c>
      <c r="H39" s="16" t="s">
        <v>557</v>
      </c>
      <c r="J39" s="3" t="s">
        <v>490</v>
      </c>
    </row>
    <row r="40" spans="1:10" x14ac:dyDescent="0.25">
      <c r="A40" s="24" t="s">
        <v>34</v>
      </c>
      <c r="B40" s="22" t="s">
        <v>2849</v>
      </c>
      <c r="G40" s="15" t="s">
        <v>2851</v>
      </c>
      <c r="H40" s="16" t="s">
        <v>198</v>
      </c>
      <c r="J40" s="1" t="s">
        <v>511</v>
      </c>
    </row>
    <row r="41" spans="1:10" x14ac:dyDescent="0.25">
      <c r="A41" s="24" t="s">
        <v>35</v>
      </c>
      <c r="B41" s="22" t="s">
        <v>2841</v>
      </c>
      <c r="G41" s="15" t="s">
        <v>2853</v>
      </c>
      <c r="H41" s="16" t="s">
        <v>140</v>
      </c>
      <c r="J41" s="1" t="s">
        <v>540</v>
      </c>
    </row>
    <row r="42" spans="1:10" x14ac:dyDescent="0.25">
      <c r="A42" s="24" t="s">
        <v>36</v>
      </c>
      <c r="B42" s="22" t="s">
        <v>2852</v>
      </c>
      <c r="G42" s="23" t="s">
        <v>2854</v>
      </c>
      <c r="H42" s="23" t="s">
        <v>2855</v>
      </c>
      <c r="J42" s="3" t="s">
        <v>552</v>
      </c>
    </row>
    <row r="43" spans="1:10" x14ac:dyDescent="0.25">
      <c r="A43" s="24" t="s">
        <v>37</v>
      </c>
      <c r="B43" s="22" t="s">
        <v>2841</v>
      </c>
      <c r="G43" s="15" t="s">
        <v>2857</v>
      </c>
      <c r="H43" s="16" t="s">
        <v>180</v>
      </c>
      <c r="J43" s="3" t="s">
        <v>557</v>
      </c>
    </row>
    <row r="44" spans="1:10" ht="31.5" x14ac:dyDescent="0.25">
      <c r="A44" s="24" t="s">
        <v>38</v>
      </c>
      <c r="B44" s="22" t="s">
        <v>2856</v>
      </c>
      <c r="G44" s="23" t="s">
        <v>2858</v>
      </c>
      <c r="H44" s="16" t="s">
        <v>2859</v>
      </c>
      <c r="J44" s="3" t="s">
        <v>582</v>
      </c>
    </row>
    <row r="45" spans="1:10" x14ac:dyDescent="0.25">
      <c r="A45" s="24" t="s">
        <v>39</v>
      </c>
      <c r="B45" s="22" t="s">
        <v>2841</v>
      </c>
      <c r="G45" s="15" t="s">
        <v>2861</v>
      </c>
      <c r="H45" s="16" t="s">
        <v>392</v>
      </c>
      <c r="J45" s="1" t="s">
        <v>597</v>
      </c>
    </row>
    <row r="46" spans="1:10" ht="31.5" x14ac:dyDescent="0.25">
      <c r="A46" s="24" t="s">
        <v>40</v>
      </c>
      <c r="B46" s="22" t="s">
        <v>2860</v>
      </c>
      <c r="G46" s="15" t="s">
        <v>2862</v>
      </c>
      <c r="H46" s="16" t="s">
        <v>2863</v>
      </c>
      <c r="J46" s="3" t="s">
        <v>633</v>
      </c>
    </row>
    <row r="47" spans="1:10" x14ac:dyDescent="0.25">
      <c r="A47" s="24" t="s">
        <v>41</v>
      </c>
      <c r="B47" s="22" t="s">
        <v>2841</v>
      </c>
      <c r="G47" s="15" t="s">
        <v>1110</v>
      </c>
      <c r="H47" s="16" t="s">
        <v>859</v>
      </c>
      <c r="J47" s="3" t="s">
        <v>643</v>
      </c>
    </row>
    <row r="48" spans="1:10" x14ac:dyDescent="0.25">
      <c r="A48" s="24" t="s">
        <v>42</v>
      </c>
      <c r="B48" s="22" t="s">
        <v>2864</v>
      </c>
      <c r="G48" s="15" t="s">
        <v>2865</v>
      </c>
      <c r="H48" s="16" t="s">
        <v>313</v>
      </c>
      <c r="J48" s="3" t="s">
        <v>652</v>
      </c>
    </row>
    <row r="49" spans="1:10" x14ac:dyDescent="0.25">
      <c r="A49" s="24" t="s">
        <v>43</v>
      </c>
      <c r="B49" s="22" t="s">
        <v>2841</v>
      </c>
      <c r="G49" s="15" t="s">
        <v>2867</v>
      </c>
      <c r="H49" s="16" t="s">
        <v>148</v>
      </c>
      <c r="J49" s="3" t="s">
        <v>715</v>
      </c>
    </row>
    <row r="50" spans="1:10" x14ac:dyDescent="0.25">
      <c r="A50" s="24" t="s">
        <v>44</v>
      </c>
      <c r="B50" s="22" t="s">
        <v>2866</v>
      </c>
      <c r="J50" s="3" t="s">
        <v>744</v>
      </c>
    </row>
    <row r="51" spans="1:10" x14ac:dyDescent="0.25">
      <c r="A51" s="24" t="s">
        <v>45</v>
      </c>
      <c r="B51" s="22" t="s">
        <v>2841</v>
      </c>
      <c r="J51" s="3" t="s">
        <v>831</v>
      </c>
    </row>
    <row r="52" spans="1:10" x14ac:dyDescent="0.25">
      <c r="A52" s="24" t="s">
        <v>46</v>
      </c>
      <c r="J52" s="3" t="s">
        <v>834</v>
      </c>
    </row>
    <row r="53" spans="1:10" ht="47.25" x14ac:dyDescent="0.25">
      <c r="A53" s="29" t="s">
        <v>47</v>
      </c>
      <c r="B53" s="22" t="s">
        <v>2868</v>
      </c>
      <c r="J53" s="3" t="s">
        <v>836</v>
      </c>
    </row>
    <row r="54" spans="1:10" ht="47.25" x14ac:dyDescent="0.25">
      <c r="A54" s="29" t="s">
        <v>48</v>
      </c>
      <c r="B54" s="22" t="s">
        <v>2869</v>
      </c>
      <c r="J54" s="3" t="s">
        <v>839</v>
      </c>
    </row>
    <row r="55" spans="1:10" ht="47.25" x14ac:dyDescent="0.25">
      <c r="A55" s="29" t="s">
        <v>3968</v>
      </c>
      <c r="B55" s="22" t="s">
        <v>2869</v>
      </c>
      <c r="J55" s="3" t="s">
        <v>841</v>
      </c>
    </row>
    <row r="56" spans="1:10" ht="47.25" x14ac:dyDescent="0.25">
      <c r="A56" s="29" t="s">
        <v>3969</v>
      </c>
      <c r="B56" s="22" t="s">
        <v>2869</v>
      </c>
      <c r="J56" s="2" t="s">
        <v>859</v>
      </c>
    </row>
    <row r="57" spans="1:10" x14ac:dyDescent="0.25">
      <c r="A57" s="21"/>
      <c r="J57" s="1" t="s">
        <v>890</v>
      </c>
    </row>
    <row r="58" spans="1:10" x14ac:dyDescent="0.25">
      <c r="J58" s="1" t="s">
        <v>1019</v>
      </c>
    </row>
    <row r="59" spans="1:10" x14ac:dyDescent="0.25">
      <c r="J59" s="3" t="s">
        <v>1092</v>
      </c>
    </row>
    <row r="60" spans="1:10" x14ac:dyDescent="0.25">
      <c r="J60" s="2" t="s">
        <v>1103</v>
      </c>
    </row>
    <row r="61" spans="1:10" x14ac:dyDescent="0.25">
      <c r="B61" s="3"/>
      <c r="J61" s="6" t="s">
        <v>1107</v>
      </c>
    </row>
    <row r="62" spans="1:10" x14ac:dyDescent="0.25">
      <c r="J62" s="7" t="s">
        <v>1180</v>
      </c>
    </row>
    <row r="63" spans="1:10" x14ac:dyDescent="0.25">
      <c r="J63" s="7" t="s">
        <v>1678</v>
      </c>
    </row>
    <row r="64" spans="1:10" x14ac:dyDescent="0.25">
      <c r="J64" s="7" t="s">
        <v>2444</v>
      </c>
    </row>
    <row r="65" spans="10:10" x14ac:dyDescent="0.25">
      <c r="J65" s="8" t="s">
        <v>2474</v>
      </c>
    </row>
    <row r="66" spans="10:10" x14ac:dyDescent="0.25">
      <c r="J66" s="9" t="s">
        <v>2535</v>
      </c>
    </row>
    <row r="67" spans="10:10" x14ac:dyDescent="0.25">
      <c r="J67" s="12" t="s">
        <v>2577</v>
      </c>
    </row>
    <row r="68" spans="10:10" x14ac:dyDescent="0.25">
      <c r="J68" s="1" t="s">
        <v>2753</v>
      </c>
    </row>
    <row r="69" spans="10:10" x14ac:dyDescent="0.25">
      <c r="J69"/>
    </row>
    <row r="70" spans="10:10" x14ac:dyDescent="0.25">
      <c r="J70"/>
    </row>
    <row r="71" spans="10:10" x14ac:dyDescent="0.25">
      <c r="J71"/>
    </row>
    <row r="72" spans="10:10" x14ac:dyDescent="0.25">
      <c r="J72"/>
    </row>
    <row r="73" spans="10:10" x14ac:dyDescent="0.25">
      <c r="J73"/>
    </row>
    <row r="74" spans="10:10" x14ac:dyDescent="0.25">
      <c r="J74"/>
    </row>
    <row r="75" spans="10:10" x14ac:dyDescent="0.25">
      <c r="J75"/>
    </row>
    <row r="76" spans="10:10" x14ac:dyDescent="0.25">
      <c r="J76"/>
    </row>
    <row r="77" spans="10:10" x14ac:dyDescent="0.25">
      <c r="J77"/>
    </row>
    <row r="78" spans="10:10" x14ac:dyDescent="0.25">
      <c r="J78"/>
    </row>
    <row r="79" spans="10:10" x14ac:dyDescent="0.25">
      <c r="J79"/>
    </row>
    <row r="80" spans="10:10" x14ac:dyDescent="0.25">
      <c r="J80"/>
    </row>
    <row r="81" spans="10:10" x14ac:dyDescent="0.25">
      <c r="J81"/>
    </row>
    <row r="82" spans="10:10" x14ac:dyDescent="0.25">
      <c r="J82"/>
    </row>
    <row r="83" spans="10:10" x14ac:dyDescent="0.25">
      <c r="J83"/>
    </row>
    <row r="84" spans="10:10" x14ac:dyDescent="0.25">
      <c r="J84"/>
    </row>
    <row r="85" spans="10:10" x14ac:dyDescent="0.25">
      <c r="J85"/>
    </row>
    <row r="86" spans="10:10" x14ac:dyDescent="0.25">
      <c r="J86"/>
    </row>
    <row r="87" spans="10:10" x14ac:dyDescent="0.25">
      <c r="J87"/>
    </row>
    <row r="88" spans="10:10" x14ac:dyDescent="0.25">
      <c r="J88"/>
    </row>
    <row r="89" spans="10:10" x14ac:dyDescent="0.25">
      <c r="J89"/>
    </row>
    <row r="90" spans="10:10" x14ac:dyDescent="0.25">
      <c r="J90"/>
    </row>
    <row r="91" spans="10:10" x14ac:dyDescent="0.25">
      <c r="J91"/>
    </row>
    <row r="92" spans="10:10" x14ac:dyDescent="0.25">
      <c r="J92"/>
    </row>
    <row r="93" spans="10:10" x14ac:dyDescent="0.25">
      <c r="J93"/>
    </row>
    <row r="94" spans="10:10" x14ac:dyDescent="0.25">
      <c r="J94"/>
    </row>
    <row r="95" spans="10:10" x14ac:dyDescent="0.25">
      <c r="J95"/>
    </row>
    <row r="96" spans="10:10" x14ac:dyDescent="0.25">
      <c r="J96"/>
    </row>
    <row r="97" spans="10:10" x14ac:dyDescent="0.25">
      <c r="J97"/>
    </row>
    <row r="98" spans="10:10" x14ac:dyDescent="0.25">
      <c r="J98"/>
    </row>
    <row r="99" spans="10:10" x14ac:dyDescent="0.25">
      <c r="J99"/>
    </row>
    <row r="100" spans="10:10" x14ac:dyDescent="0.25">
      <c r="J100"/>
    </row>
    <row r="101" spans="10:10" x14ac:dyDescent="0.25">
      <c r="J101"/>
    </row>
    <row r="102" spans="10:10" x14ac:dyDescent="0.25">
      <c r="J102"/>
    </row>
    <row r="103" spans="10:10" x14ac:dyDescent="0.25">
      <c r="J103"/>
    </row>
    <row r="104" spans="10:10" x14ac:dyDescent="0.25">
      <c r="J104"/>
    </row>
    <row r="105" spans="10:10" x14ac:dyDescent="0.25">
      <c r="J105"/>
    </row>
    <row r="106" spans="10:10" x14ac:dyDescent="0.25">
      <c r="J106"/>
    </row>
    <row r="107" spans="10:10" x14ac:dyDescent="0.25">
      <c r="J107"/>
    </row>
    <row r="108" spans="10:10" x14ac:dyDescent="0.25">
      <c r="J108"/>
    </row>
    <row r="109" spans="10:10" x14ac:dyDescent="0.25">
      <c r="J109"/>
    </row>
    <row r="110" spans="10:10" x14ac:dyDescent="0.25">
      <c r="J110"/>
    </row>
    <row r="111" spans="10:10" x14ac:dyDescent="0.25">
      <c r="J111"/>
    </row>
    <row r="112" spans="10:10" x14ac:dyDescent="0.25">
      <c r="J112"/>
    </row>
    <row r="113" spans="10:10" x14ac:dyDescent="0.25">
      <c r="J113"/>
    </row>
    <row r="114" spans="10:10" x14ac:dyDescent="0.25">
      <c r="J114"/>
    </row>
    <row r="115" spans="10:10" x14ac:dyDescent="0.25">
      <c r="J115"/>
    </row>
    <row r="116" spans="10:10" x14ac:dyDescent="0.25">
      <c r="J116"/>
    </row>
    <row r="117" spans="10:10" x14ac:dyDescent="0.25">
      <c r="J117"/>
    </row>
    <row r="118" spans="10:10" x14ac:dyDescent="0.25">
      <c r="J118"/>
    </row>
    <row r="119" spans="10:10" x14ac:dyDescent="0.25">
      <c r="J119"/>
    </row>
    <row r="120" spans="10:10" x14ac:dyDescent="0.25">
      <c r="J120"/>
    </row>
    <row r="121" spans="10:10" x14ac:dyDescent="0.25">
      <c r="J121"/>
    </row>
    <row r="122" spans="10:10" x14ac:dyDescent="0.25">
      <c r="J122"/>
    </row>
    <row r="123" spans="10:10" x14ac:dyDescent="0.25">
      <c r="J123"/>
    </row>
    <row r="124" spans="10:10" x14ac:dyDescent="0.25">
      <c r="J124"/>
    </row>
    <row r="125" spans="10:10" x14ac:dyDescent="0.25">
      <c r="J125"/>
    </row>
    <row r="126" spans="10:10" x14ac:dyDescent="0.25">
      <c r="J126"/>
    </row>
    <row r="127" spans="10:10" x14ac:dyDescent="0.25">
      <c r="J127"/>
    </row>
    <row r="128" spans="10:10" x14ac:dyDescent="0.25">
      <c r="J128"/>
    </row>
    <row r="129" spans="10:10" x14ac:dyDescent="0.25">
      <c r="J129"/>
    </row>
    <row r="130" spans="10:10" x14ac:dyDescent="0.25">
      <c r="J130"/>
    </row>
    <row r="131" spans="10:10" x14ac:dyDescent="0.25">
      <c r="J131"/>
    </row>
    <row r="132" spans="10:10" x14ac:dyDescent="0.25">
      <c r="J132"/>
    </row>
    <row r="133" spans="10:10" x14ac:dyDescent="0.25">
      <c r="J133"/>
    </row>
    <row r="134" spans="10:10" x14ac:dyDescent="0.25">
      <c r="J134"/>
    </row>
    <row r="135" spans="10:10" x14ac:dyDescent="0.25">
      <c r="J135"/>
    </row>
    <row r="136" spans="10:10" x14ac:dyDescent="0.25">
      <c r="J136"/>
    </row>
    <row r="137" spans="10:10" x14ac:dyDescent="0.25">
      <c r="J137"/>
    </row>
    <row r="138" spans="10:10" x14ac:dyDescent="0.25">
      <c r="J138"/>
    </row>
    <row r="139" spans="10:10" x14ac:dyDescent="0.25">
      <c r="J139"/>
    </row>
    <row r="140" spans="10:10" x14ac:dyDescent="0.25">
      <c r="J140"/>
    </row>
    <row r="141" spans="10:10" x14ac:dyDescent="0.25">
      <c r="J141"/>
    </row>
    <row r="142" spans="10:10" x14ac:dyDescent="0.25">
      <c r="J142"/>
    </row>
    <row r="143" spans="10:10" x14ac:dyDescent="0.25">
      <c r="J143"/>
    </row>
    <row r="144" spans="10:10" x14ac:dyDescent="0.25">
      <c r="J144"/>
    </row>
    <row r="145" spans="10:10" x14ac:dyDescent="0.25">
      <c r="J145"/>
    </row>
    <row r="146" spans="10:10" x14ac:dyDescent="0.25">
      <c r="J146"/>
    </row>
    <row r="147" spans="10:10" x14ac:dyDescent="0.25">
      <c r="J147"/>
    </row>
    <row r="148" spans="10:10" x14ac:dyDescent="0.25">
      <c r="J148"/>
    </row>
    <row r="149" spans="10:10" x14ac:dyDescent="0.25">
      <c r="J149"/>
    </row>
    <row r="150" spans="10:10" x14ac:dyDescent="0.25">
      <c r="J150"/>
    </row>
    <row r="151" spans="10:10" x14ac:dyDescent="0.25">
      <c r="J151"/>
    </row>
    <row r="152" spans="10:10" x14ac:dyDescent="0.25">
      <c r="J152"/>
    </row>
    <row r="153" spans="10:10" x14ac:dyDescent="0.25">
      <c r="J153"/>
    </row>
    <row r="154" spans="10:10" x14ac:dyDescent="0.25">
      <c r="J154"/>
    </row>
    <row r="155" spans="10:10" x14ac:dyDescent="0.25">
      <c r="J155"/>
    </row>
    <row r="156" spans="10:10" x14ac:dyDescent="0.25">
      <c r="J156"/>
    </row>
    <row r="157" spans="10:10" x14ac:dyDescent="0.25">
      <c r="J157"/>
    </row>
    <row r="158" spans="10:10" x14ac:dyDescent="0.25">
      <c r="J158"/>
    </row>
    <row r="159" spans="10:10" x14ac:dyDescent="0.25">
      <c r="J159"/>
    </row>
    <row r="160" spans="10:10" x14ac:dyDescent="0.25">
      <c r="J160"/>
    </row>
    <row r="161" spans="10:10" x14ac:dyDescent="0.25">
      <c r="J161"/>
    </row>
    <row r="162" spans="10:10" x14ac:dyDescent="0.25">
      <c r="J162"/>
    </row>
    <row r="163" spans="10:10" x14ac:dyDescent="0.25">
      <c r="J163"/>
    </row>
    <row r="164" spans="10:10" x14ac:dyDescent="0.25">
      <c r="J164"/>
    </row>
    <row r="165" spans="10:10" x14ac:dyDescent="0.25">
      <c r="J165"/>
    </row>
    <row r="166" spans="10:10" x14ac:dyDescent="0.25">
      <c r="J166"/>
    </row>
    <row r="167" spans="10:10" x14ac:dyDescent="0.25">
      <c r="J167"/>
    </row>
    <row r="168" spans="10:10" x14ac:dyDescent="0.25">
      <c r="J168"/>
    </row>
    <row r="169" spans="10:10" x14ac:dyDescent="0.25">
      <c r="J169"/>
    </row>
    <row r="170" spans="10:10" x14ac:dyDescent="0.25">
      <c r="J170"/>
    </row>
    <row r="171" spans="10:10" x14ac:dyDescent="0.25">
      <c r="J171"/>
    </row>
    <row r="172" spans="10:10" x14ac:dyDescent="0.25">
      <c r="J172"/>
    </row>
    <row r="173" spans="10:10" x14ac:dyDescent="0.25">
      <c r="J173"/>
    </row>
    <row r="174" spans="10:10" x14ac:dyDescent="0.25">
      <c r="J174"/>
    </row>
    <row r="175" spans="10:10" x14ac:dyDescent="0.25">
      <c r="J175"/>
    </row>
    <row r="176" spans="10:10" x14ac:dyDescent="0.25">
      <c r="J176"/>
    </row>
    <row r="177" spans="10:10" x14ac:dyDescent="0.25">
      <c r="J177"/>
    </row>
    <row r="178" spans="10:10" x14ac:dyDescent="0.25">
      <c r="J178"/>
    </row>
    <row r="179" spans="10:10" x14ac:dyDescent="0.25">
      <c r="J179"/>
    </row>
    <row r="180" spans="10:10" x14ac:dyDescent="0.25">
      <c r="J180"/>
    </row>
    <row r="181" spans="10:10" x14ac:dyDescent="0.25">
      <c r="J181"/>
    </row>
    <row r="182" spans="10:10" x14ac:dyDescent="0.25">
      <c r="J182"/>
    </row>
    <row r="183" spans="10:10" x14ac:dyDescent="0.25">
      <c r="J183"/>
    </row>
    <row r="184" spans="10:10" x14ac:dyDescent="0.25">
      <c r="J184"/>
    </row>
    <row r="185" spans="10:10" x14ac:dyDescent="0.25">
      <c r="J185"/>
    </row>
    <row r="186" spans="10:10" x14ac:dyDescent="0.25">
      <c r="J186"/>
    </row>
    <row r="187" spans="10:10" x14ac:dyDescent="0.25">
      <c r="J187"/>
    </row>
    <row r="188" spans="10:10" x14ac:dyDescent="0.25">
      <c r="J188"/>
    </row>
    <row r="189" spans="10:10" x14ac:dyDescent="0.25">
      <c r="J189"/>
    </row>
    <row r="190" spans="10:10" x14ac:dyDescent="0.25">
      <c r="J190"/>
    </row>
    <row r="191" spans="10:10" x14ac:dyDescent="0.25">
      <c r="J191"/>
    </row>
    <row r="192" spans="10:10" x14ac:dyDescent="0.25">
      <c r="J192"/>
    </row>
    <row r="193" spans="10:10" x14ac:dyDescent="0.25">
      <c r="J193"/>
    </row>
    <row r="194" spans="10:10" x14ac:dyDescent="0.25">
      <c r="J194"/>
    </row>
    <row r="195" spans="10:10" x14ac:dyDescent="0.25">
      <c r="J195"/>
    </row>
    <row r="196" spans="10:10" x14ac:dyDescent="0.25">
      <c r="J196"/>
    </row>
    <row r="197" spans="10:10" x14ac:dyDescent="0.25">
      <c r="J197"/>
    </row>
    <row r="198" spans="10:10" x14ac:dyDescent="0.25">
      <c r="J198"/>
    </row>
    <row r="199" spans="10:10" x14ac:dyDescent="0.25">
      <c r="J199"/>
    </row>
    <row r="200" spans="10:10" x14ac:dyDescent="0.25">
      <c r="J200"/>
    </row>
    <row r="201" spans="10:10" x14ac:dyDescent="0.25">
      <c r="J201"/>
    </row>
    <row r="202" spans="10:10" x14ac:dyDescent="0.25">
      <c r="J202"/>
    </row>
    <row r="203" spans="10:10" x14ac:dyDescent="0.25">
      <c r="J203"/>
    </row>
    <row r="204" spans="10:10" x14ac:dyDescent="0.25">
      <c r="J204"/>
    </row>
    <row r="205" spans="10:10" x14ac:dyDescent="0.25">
      <c r="J205"/>
    </row>
    <row r="206" spans="10:10" x14ac:dyDescent="0.25">
      <c r="J206"/>
    </row>
    <row r="207" spans="10:10" x14ac:dyDescent="0.25">
      <c r="J207"/>
    </row>
    <row r="208" spans="10:10" x14ac:dyDescent="0.25">
      <c r="J208"/>
    </row>
    <row r="209" spans="10:10" x14ac:dyDescent="0.25">
      <c r="J209"/>
    </row>
    <row r="210" spans="10:10" x14ac:dyDescent="0.25">
      <c r="J210"/>
    </row>
    <row r="211" spans="10:10" x14ac:dyDescent="0.25">
      <c r="J211"/>
    </row>
    <row r="212" spans="10:10" x14ac:dyDescent="0.25">
      <c r="J212"/>
    </row>
    <row r="213" spans="10:10" x14ac:dyDescent="0.25">
      <c r="J213"/>
    </row>
    <row r="214" spans="10:10" x14ac:dyDescent="0.25">
      <c r="J214"/>
    </row>
    <row r="215" spans="10:10" x14ac:dyDescent="0.25">
      <c r="J215"/>
    </row>
    <row r="216" spans="10:10" x14ac:dyDescent="0.25">
      <c r="J216"/>
    </row>
    <row r="217" spans="10:10" x14ac:dyDescent="0.25">
      <c r="J217"/>
    </row>
    <row r="218" spans="10:10" x14ac:dyDescent="0.25">
      <c r="J218"/>
    </row>
    <row r="219" spans="10:10" x14ac:dyDescent="0.25">
      <c r="J219"/>
    </row>
    <row r="220" spans="10:10" x14ac:dyDescent="0.25">
      <c r="J220"/>
    </row>
    <row r="221" spans="10:10" x14ac:dyDescent="0.25">
      <c r="J221"/>
    </row>
    <row r="222" spans="10:10" x14ac:dyDescent="0.25">
      <c r="J222"/>
    </row>
    <row r="223" spans="10:10" x14ac:dyDescent="0.25">
      <c r="J223"/>
    </row>
    <row r="224" spans="10:10" x14ac:dyDescent="0.25">
      <c r="J224"/>
    </row>
    <row r="225" spans="10:10" x14ac:dyDescent="0.25">
      <c r="J225"/>
    </row>
    <row r="226" spans="10:10" x14ac:dyDescent="0.25">
      <c r="J226"/>
    </row>
    <row r="227" spans="10:10" x14ac:dyDescent="0.25">
      <c r="J227"/>
    </row>
    <row r="228" spans="10:10" x14ac:dyDescent="0.25">
      <c r="J228"/>
    </row>
    <row r="229" spans="10:10" x14ac:dyDescent="0.25">
      <c r="J229"/>
    </row>
    <row r="230" spans="10:10" x14ac:dyDescent="0.25">
      <c r="J230"/>
    </row>
    <row r="231" spans="10:10" x14ac:dyDescent="0.25">
      <c r="J231"/>
    </row>
    <row r="232" spans="10:10" x14ac:dyDescent="0.25">
      <c r="J232"/>
    </row>
    <row r="233" spans="10:10" x14ac:dyDescent="0.25">
      <c r="J233"/>
    </row>
    <row r="234" spans="10:10" x14ac:dyDescent="0.25">
      <c r="J234"/>
    </row>
    <row r="235" spans="10:10" x14ac:dyDescent="0.25">
      <c r="J235"/>
    </row>
    <row r="236" spans="10:10" x14ac:dyDescent="0.25">
      <c r="J236"/>
    </row>
    <row r="237" spans="10:10" x14ac:dyDescent="0.25">
      <c r="J237"/>
    </row>
    <row r="238" spans="10:10" x14ac:dyDescent="0.25">
      <c r="J238"/>
    </row>
    <row r="239" spans="10:10" x14ac:dyDescent="0.25">
      <c r="J239"/>
    </row>
    <row r="240" spans="10:10" x14ac:dyDescent="0.25">
      <c r="J240"/>
    </row>
    <row r="241" spans="10:10" x14ac:dyDescent="0.25">
      <c r="J241"/>
    </row>
    <row r="242" spans="10:10" x14ac:dyDescent="0.25">
      <c r="J242"/>
    </row>
    <row r="243" spans="10:10" x14ac:dyDescent="0.25">
      <c r="J243"/>
    </row>
    <row r="244" spans="10:10" x14ac:dyDescent="0.25">
      <c r="J244"/>
    </row>
    <row r="245" spans="10:10" x14ac:dyDescent="0.25">
      <c r="J245"/>
    </row>
    <row r="246" spans="10:10" x14ac:dyDescent="0.25">
      <c r="J246"/>
    </row>
    <row r="247" spans="10:10" x14ac:dyDescent="0.25">
      <c r="J247"/>
    </row>
    <row r="248" spans="10:10" x14ac:dyDescent="0.25">
      <c r="J248"/>
    </row>
    <row r="249" spans="10:10" x14ac:dyDescent="0.25">
      <c r="J249"/>
    </row>
    <row r="250" spans="10:10" x14ac:dyDescent="0.25">
      <c r="J250"/>
    </row>
    <row r="251" spans="10:10" x14ac:dyDescent="0.25">
      <c r="J251"/>
    </row>
    <row r="252" spans="10:10" x14ac:dyDescent="0.25">
      <c r="J252"/>
    </row>
    <row r="253" spans="10:10" x14ac:dyDescent="0.25">
      <c r="J253"/>
    </row>
    <row r="254" spans="10:10" x14ac:dyDescent="0.25">
      <c r="J254"/>
    </row>
    <row r="255" spans="10:10" x14ac:dyDescent="0.25">
      <c r="J255"/>
    </row>
    <row r="256" spans="10:10" x14ac:dyDescent="0.25">
      <c r="J256"/>
    </row>
    <row r="257" spans="10:10" x14ac:dyDescent="0.25">
      <c r="J257"/>
    </row>
    <row r="258" spans="10:10" x14ac:dyDescent="0.25">
      <c r="J258"/>
    </row>
    <row r="259" spans="10:10" x14ac:dyDescent="0.25">
      <c r="J259"/>
    </row>
    <row r="260" spans="10:10" x14ac:dyDescent="0.25">
      <c r="J260"/>
    </row>
    <row r="261" spans="10:10" x14ac:dyDescent="0.25">
      <c r="J261"/>
    </row>
    <row r="262" spans="10:10" x14ac:dyDescent="0.25">
      <c r="J262"/>
    </row>
    <row r="263" spans="10:10" x14ac:dyDescent="0.25">
      <c r="J263"/>
    </row>
    <row r="264" spans="10:10" x14ac:dyDescent="0.25">
      <c r="J264"/>
    </row>
    <row r="265" spans="10:10" x14ac:dyDescent="0.25">
      <c r="J265"/>
    </row>
    <row r="266" spans="10:10" x14ac:dyDescent="0.25">
      <c r="J266"/>
    </row>
    <row r="267" spans="10:10" x14ac:dyDescent="0.25">
      <c r="J267"/>
    </row>
    <row r="268" spans="10:10" x14ac:dyDescent="0.25">
      <c r="J268"/>
    </row>
    <row r="269" spans="10:10" x14ac:dyDescent="0.25">
      <c r="J269"/>
    </row>
    <row r="270" spans="10:10" x14ac:dyDescent="0.25">
      <c r="J270"/>
    </row>
    <row r="271" spans="10:10" x14ac:dyDescent="0.25">
      <c r="J271"/>
    </row>
    <row r="272" spans="10:10" x14ac:dyDescent="0.25">
      <c r="J272"/>
    </row>
    <row r="273" spans="10:10" x14ac:dyDescent="0.25">
      <c r="J273"/>
    </row>
    <row r="274" spans="10:10" x14ac:dyDescent="0.25">
      <c r="J274"/>
    </row>
    <row r="275" spans="10:10" x14ac:dyDescent="0.25">
      <c r="J275"/>
    </row>
    <row r="276" spans="10:10" x14ac:dyDescent="0.25">
      <c r="J276"/>
    </row>
    <row r="277" spans="10:10" x14ac:dyDescent="0.25">
      <c r="J277"/>
    </row>
    <row r="278" spans="10:10" x14ac:dyDescent="0.25">
      <c r="J278"/>
    </row>
    <row r="279" spans="10:10" x14ac:dyDescent="0.25">
      <c r="J279"/>
    </row>
    <row r="280" spans="10:10" x14ac:dyDescent="0.25">
      <c r="J280"/>
    </row>
    <row r="281" spans="10:10" x14ac:dyDescent="0.25">
      <c r="J281"/>
    </row>
    <row r="282" spans="10:10" x14ac:dyDescent="0.25">
      <c r="J282"/>
    </row>
    <row r="283" spans="10:10" x14ac:dyDescent="0.25">
      <c r="J283"/>
    </row>
    <row r="284" spans="10:10" x14ac:dyDescent="0.25">
      <c r="J284"/>
    </row>
    <row r="285" spans="10:10" x14ac:dyDescent="0.25">
      <c r="J285"/>
    </row>
    <row r="286" spans="10:10" x14ac:dyDescent="0.25">
      <c r="J286"/>
    </row>
    <row r="287" spans="10:10" x14ac:dyDescent="0.25">
      <c r="J287"/>
    </row>
    <row r="288" spans="10:10" x14ac:dyDescent="0.25">
      <c r="J288"/>
    </row>
    <row r="289" spans="10:10" x14ac:dyDescent="0.25">
      <c r="J289"/>
    </row>
    <row r="290" spans="10:10" x14ac:dyDescent="0.25">
      <c r="J290"/>
    </row>
    <row r="291" spans="10:10" x14ac:dyDescent="0.25">
      <c r="J291"/>
    </row>
    <row r="292" spans="10:10" x14ac:dyDescent="0.25">
      <c r="J292"/>
    </row>
    <row r="293" spans="10:10" x14ac:dyDescent="0.25">
      <c r="J293"/>
    </row>
    <row r="294" spans="10:10" x14ac:dyDescent="0.25">
      <c r="J294"/>
    </row>
    <row r="295" spans="10:10" x14ac:dyDescent="0.25">
      <c r="J295"/>
    </row>
    <row r="296" spans="10:10" x14ac:dyDescent="0.25">
      <c r="J296"/>
    </row>
    <row r="297" spans="10:10" x14ac:dyDescent="0.25">
      <c r="J297"/>
    </row>
    <row r="298" spans="10:10" x14ac:dyDescent="0.25">
      <c r="J298"/>
    </row>
    <row r="299" spans="10:10" x14ac:dyDescent="0.25">
      <c r="J299"/>
    </row>
    <row r="300" spans="10:10" x14ac:dyDescent="0.25">
      <c r="J300"/>
    </row>
    <row r="301" spans="10:10" x14ac:dyDescent="0.25">
      <c r="J301"/>
    </row>
    <row r="302" spans="10:10" x14ac:dyDescent="0.25">
      <c r="J302"/>
    </row>
    <row r="303" spans="10:10" x14ac:dyDescent="0.25">
      <c r="J303"/>
    </row>
    <row r="304" spans="10:10" x14ac:dyDescent="0.25">
      <c r="J304"/>
    </row>
    <row r="305" spans="10:10" x14ac:dyDescent="0.25">
      <c r="J305"/>
    </row>
    <row r="306" spans="10:10" x14ac:dyDescent="0.25">
      <c r="J306"/>
    </row>
    <row r="307" spans="10:10" x14ac:dyDescent="0.25">
      <c r="J307"/>
    </row>
    <row r="308" spans="10:10" x14ac:dyDescent="0.25">
      <c r="J308"/>
    </row>
    <row r="309" spans="10:10" x14ac:dyDescent="0.25">
      <c r="J309"/>
    </row>
    <row r="310" spans="10:10" x14ac:dyDescent="0.25">
      <c r="J310"/>
    </row>
    <row r="311" spans="10:10" x14ac:dyDescent="0.25">
      <c r="J311"/>
    </row>
    <row r="312" spans="10:10" x14ac:dyDescent="0.25">
      <c r="J312"/>
    </row>
    <row r="313" spans="10:10" x14ac:dyDescent="0.25">
      <c r="J313"/>
    </row>
    <row r="314" spans="10:10" x14ac:dyDescent="0.25">
      <c r="J314"/>
    </row>
    <row r="315" spans="10:10" x14ac:dyDescent="0.25">
      <c r="J315"/>
    </row>
    <row r="316" spans="10:10" x14ac:dyDescent="0.25">
      <c r="J316"/>
    </row>
    <row r="317" spans="10:10" x14ac:dyDescent="0.25">
      <c r="J317"/>
    </row>
    <row r="318" spans="10:10" x14ac:dyDescent="0.25">
      <c r="J318"/>
    </row>
    <row r="319" spans="10:10" x14ac:dyDescent="0.25">
      <c r="J319"/>
    </row>
    <row r="320" spans="10:10" x14ac:dyDescent="0.25">
      <c r="J320"/>
    </row>
    <row r="321" spans="10:10" x14ac:dyDescent="0.25">
      <c r="J321"/>
    </row>
    <row r="322" spans="10:10" x14ac:dyDescent="0.25">
      <c r="J322"/>
    </row>
    <row r="323" spans="10:10" x14ac:dyDescent="0.25">
      <c r="J323"/>
    </row>
    <row r="324" spans="10:10" x14ac:dyDescent="0.25">
      <c r="J324"/>
    </row>
    <row r="325" spans="10:10" x14ac:dyDescent="0.25">
      <c r="J325"/>
    </row>
    <row r="326" spans="10:10" x14ac:dyDescent="0.25">
      <c r="J326"/>
    </row>
    <row r="327" spans="10:10" x14ac:dyDescent="0.25">
      <c r="J327"/>
    </row>
    <row r="328" spans="10:10" x14ac:dyDescent="0.25">
      <c r="J328"/>
    </row>
    <row r="329" spans="10:10" x14ac:dyDescent="0.25">
      <c r="J329"/>
    </row>
    <row r="330" spans="10:10" x14ac:dyDescent="0.25">
      <c r="J330"/>
    </row>
    <row r="331" spans="10:10" x14ac:dyDescent="0.25">
      <c r="J331"/>
    </row>
    <row r="332" spans="10:10" x14ac:dyDescent="0.25">
      <c r="J332"/>
    </row>
    <row r="333" spans="10:10" x14ac:dyDescent="0.25">
      <c r="J333"/>
    </row>
    <row r="334" spans="10:10" x14ac:dyDescent="0.25">
      <c r="J334"/>
    </row>
    <row r="335" spans="10:10" x14ac:dyDescent="0.25">
      <c r="J335"/>
    </row>
    <row r="336" spans="10:10" x14ac:dyDescent="0.25">
      <c r="J336"/>
    </row>
    <row r="337" spans="10:10" x14ac:dyDescent="0.25">
      <c r="J337"/>
    </row>
    <row r="338" spans="10:10" x14ac:dyDescent="0.25">
      <c r="J338"/>
    </row>
    <row r="339" spans="10:10" x14ac:dyDescent="0.25">
      <c r="J339"/>
    </row>
    <row r="340" spans="10:10" x14ac:dyDescent="0.25">
      <c r="J340"/>
    </row>
    <row r="341" spans="10:10" x14ac:dyDescent="0.25">
      <c r="J341"/>
    </row>
    <row r="342" spans="10:10" x14ac:dyDescent="0.25">
      <c r="J342"/>
    </row>
    <row r="343" spans="10:10" x14ac:dyDescent="0.25">
      <c r="J343"/>
    </row>
    <row r="344" spans="10:10" x14ac:dyDescent="0.25">
      <c r="J344"/>
    </row>
    <row r="345" spans="10:10" x14ac:dyDescent="0.25">
      <c r="J345"/>
    </row>
    <row r="346" spans="10:10" x14ac:dyDescent="0.25">
      <c r="J346"/>
    </row>
    <row r="347" spans="10:10" x14ac:dyDescent="0.25">
      <c r="J347"/>
    </row>
    <row r="348" spans="10:10" x14ac:dyDescent="0.25">
      <c r="J348"/>
    </row>
    <row r="349" spans="10:10" x14ac:dyDescent="0.25">
      <c r="J349"/>
    </row>
    <row r="350" spans="10:10" x14ac:dyDescent="0.25">
      <c r="J350"/>
    </row>
    <row r="351" spans="10:10" x14ac:dyDescent="0.25">
      <c r="J351"/>
    </row>
    <row r="352" spans="10:10" x14ac:dyDescent="0.25">
      <c r="J352"/>
    </row>
    <row r="353" spans="10:10" x14ac:dyDescent="0.25">
      <c r="J353"/>
    </row>
    <row r="354" spans="10:10" x14ac:dyDescent="0.25">
      <c r="J354"/>
    </row>
    <row r="355" spans="10:10" x14ac:dyDescent="0.25">
      <c r="J355"/>
    </row>
    <row r="356" spans="10:10" x14ac:dyDescent="0.25">
      <c r="J356"/>
    </row>
    <row r="357" spans="10:10" x14ac:dyDescent="0.25">
      <c r="J357"/>
    </row>
    <row r="358" spans="10:10" x14ac:dyDescent="0.25">
      <c r="J358"/>
    </row>
    <row r="359" spans="10:10" x14ac:dyDescent="0.25">
      <c r="J359"/>
    </row>
    <row r="360" spans="10:10" x14ac:dyDescent="0.25">
      <c r="J360"/>
    </row>
    <row r="361" spans="10:10" x14ac:dyDescent="0.25">
      <c r="J361"/>
    </row>
    <row r="362" spans="10:10" x14ac:dyDescent="0.25">
      <c r="J362"/>
    </row>
    <row r="363" spans="10:10" x14ac:dyDescent="0.25">
      <c r="J363"/>
    </row>
    <row r="364" spans="10:10" x14ac:dyDescent="0.25">
      <c r="J364"/>
    </row>
    <row r="365" spans="10:10" x14ac:dyDescent="0.25">
      <c r="J365"/>
    </row>
    <row r="366" spans="10:10" x14ac:dyDescent="0.25">
      <c r="J366"/>
    </row>
    <row r="367" spans="10:10" x14ac:dyDescent="0.25">
      <c r="J367"/>
    </row>
    <row r="368" spans="10:10" x14ac:dyDescent="0.25">
      <c r="J368"/>
    </row>
    <row r="369" spans="10:10" x14ac:dyDescent="0.25">
      <c r="J369"/>
    </row>
    <row r="370" spans="10:10" x14ac:dyDescent="0.25">
      <c r="J370"/>
    </row>
    <row r="371" spans="10:10" x14ac:dyDescent="0.25">
      <c r="J371"/>
    </row>
    <row r="372" spans="10:10" x14ac:dyDescent="0.25">
      <c r="J372"/>
    </row>
    <row r="373" spans="10:10" x14ac:dyDescent="0.25">
      <c r="J373"/>
    </row>
    <row r="374" spans="10:10" x14ac:dyDescent="0.25">
      <c r="J374"/>
    </row>
    <row r="375" spans="10:10" x14ac:dyDescent="0.25">
      <c r="J375"/>
    </row>
    <row r="376" spans="10:10" x14ac:dyDescent="0.25">
      <c r="J376"/>
    </row>
    <row r="377" spans="10:10" x14ac:dyDescent="0.25">
      <c r="J377"/>
    </row>
    <row r="378" spans="10:10" x14ac:dyDescent="0.25">
      <c r="J378"/>
    </row>
    <row r="379" spans="10:10" x14ac:dyDescent="0.25">
      <c r="J379"/>
    </row>
    <row r="380" spans="10:10" x14ac:dyDescent="0.25">
      <c r="J380"/>
    </row>
    <row r="381" spans="10:10" x14ac:dyDescent="0.25">
      <c r="J381"/>
    </row>
    <row r="382" spans="10:10" x14ac:dyDescent="0.25">
      <c r="J382"/>
    </row>
    <row r="383" spans="10:10" x14ac:dyDescent="0.25">
      <c r="J383"/>
    </row>
    <row r="384" spans="10:10" x14ac:dyDescent="0.25">
      <c r="J384"/>
    </row>
    <row r="385" spans="10:10" x14ac:dyDescent="0.25">
      <c r="J385"/>
    </row>
    <row r="386" spans="10:10" x14ac:dyDescent="0.25">
      <c r="J386"/>
    </row>
    <row r="387" spans="10:10" x14ac:dyDescent="0.25">
      <c r="J387"/>
    </row>
    <row r="388" spans="10:10" x14ac:dyDescent="0.25">
      <c r="J388"/>
    </row>
    <row r="389" spans="10:10" x14ac:dyDescent="0.25">
      <c r="J389"/>
    </row>
    <row r="390" spans="10:10" x14ac:dyDescent="0.25">
      <c r="J390"/>
    </row>
    <row r="391" spans="10:10" x14ac:dyDescent="0.25">
      <c r="J391"/>
    </row>
    <row r="392" spans="10:10" x14ac:dyDescent="0.25">
      <c r="J392"/>
    </row>
    <row r="393" spans="10:10" x14ac:dyDescent="0.25">
      <c r="J393"/>
    </row>
    <row r="394" spans="10:10" x14ac:dyDescent="0.25">
      <c r="J394"/>
    </row>
    <row r="395" spans="10:10" x14ac:dyDescent="0.25">
      <c r="J395"/>
    </row>
    <row r="396" spans="10:10" x14ac:dyDescent="0.25">
      <c r="J396"/>
    </row>
    <row r="397" spans="10:10" x14ac:dyDescent="0.25">
      <c r="J397"/>
    </row>
    <row r="398" spans="10:10" x14ac:dyDescent="0.25">
      <c r="J398"/>
    </row>
    <row r="399" spans="10:10" x14ac:dyDescent="0.25">
      <c r="J399"/>
    </row>
    <row r="400" spans="10:10" x14ac:dyDescent="0.25">
      <c r="J400"/>
    </row>
    <row r="401" spans="10:10" x14ac:dyDescent="0.25">
      <c r="J401"/>
    </row>
    <row r="402" spans="10:10" x14ac:dyDescent="0.25">
      <c r="J402"/>
    </row>
    <row r="403" spans="10:10" x14ac:dyDescent="0.25">
      <c r="J403"/>
    </row>
    <row r="404" spans="10:10" x14ac:dyDescent="0.25">
      <c r="J404"/>
    </row>
    <row r="405" spans="10:10" x14ac:dyDescent="0.25">
      <c r="J405"/>
    </row>
    <row r="406" spans="10:10" x14ac:dyDescent="0.25">
      <c r="J406"/>
    </row>
    <row r="407" spans="10:10" x14ac:dyDescent="0.25">
      <c r="J407"/>
    </row>
    <row r="408" spans="10:10" x14ac:dyDescent="0.25">
      <c r="J408"/>
    </row>
    <row r="409" spans="10:10" x14ac:dyDescent="0.25">
      <c r="J409"/>
    </row>
    <row r="410" spans="10:10" x14ac:dyDescent="0.25">
      <c r="J410"/>
    </row>
    <row r="411" spans="10:10" x14ac:dyDescent="0.25">
      <c r="J411"/>
    </row>
    <row r="412" spans="10:10" x14ac:dyDescent="0.25">
      <c r="J412"/>
    </row>
    <row r="413" spans="10:10" x14ac:dyDescent="0.25">
      <c r="J413"/>
    </row>
    <row r="414" spans="10:10" x14ac:dyDescent="0.25">
      <c r="J414"/>
    </row>
    <row r="415" spans="10:10" x14ac:dyDescent="0.25">
      <c r="J415"/>
    </row>
    <row r="416" spans="10:10" x14ac:dyDescent="0.25">
      <c r="J416"/>
    </row>
    <row r="417" spans="10:10" x14ac:dyDescent="0.25">
      <c r="J417"/>
    </row>
    <row r="418" spans="10:10" x14ac:dyDescent="0.25">
      <c r="J418"/>
    </row>
    <row r="419" spans="10:10" x14ac:dyDescent="0.25">
      <c r="J419"/>
    </row>
    <row r="420" spans="10:10" x14ac:dyDescent="0.25">
      <c r="J420"/>
    </row>
    <row r="421" spans="10:10" x14ac:dyDescent="0.25">
      <c r="J421"/>
    </row>
    <row r="422" spans="10:10" x14ac:dyDescent="0.25">
      <c r="J422"/>
    </row>
    <row r="423" spans="10:10" x14ac:dyDescent="0.25">
      <c r="J423"/>
    </row>
    <row r="424" spans="10:10" x14ac:dyDescent="0.25">
      <c r="J424"/>
    </row>
    <row r="425" spans="10:10" x14ac:dyDescent="0.25">
      <c r="J425"/>
    </row>
    <row r="426" spans="10:10" x14ac:dyDescent="0.25">
      <c r="J426"/>
    </row>
    <row r="427" spans="10:10" x14ac:dyDescent="0.25">
      <c r="J427"/>
    </row>
    <row r="428" spans="10:10" x14ac:dyDescent="0.25">
      <c r="J428"/>
    </row>
    <row r="429" spans="10:10" x14ac:dyDescent="0.25">
      <c r="J429"/>
    </row>
    <row r="430" spans="10:10" x14ac:dyDescent="0.25">
      <c r="J430"/>
    </row>
    <row r="431" spans="10:10" x14ac:dyDescent="0.25">
      <c r="J431"/>
    </row>
    <row r="432" spans="10:10" x14ac:dyDescent="0.25">
      <c r="J432"/>
    </row>
    <row r="433" spans="10:10" x14ac:dyDescent="0.25">
      <c r="J433"/>
    </row>
    <row r="434" spans="10:10" x14ac:dyDescent="0.25">
      <c r="J434"/>
    </row>
    <row r="435" spans="10:10" x14ac:dyDescent="0.25">
      <c r="J435"/>
    </row>
    <row r="436" spans="10:10" x14ac:dyDescent="0.25">
      <c r="J436"/>
    </row>
    <row r="437" spans="10:10" x14ac:dyDescent="0.25">
      <c r="J437"/>
    </row>
    <row r="438" spans="10:10" x14ac:dyDescent="0.25">
      <c r="J438"/>
    </row>
    <row r="439" spans="10:10" x14ac:dyDescent="0.25">
      <c r="J439"/>
    </row>
    <row r="440" spans="10:10" x14ac:dyDescent="0.25">
      <c r="J440"/>
    </row>
    <row r="441" spans="10:10" x14ac:dyDescent="0.25">
      <c r="J441"/>
    </row>
    <row r="442" spans="10:10" x14ac:dyDescent="0.25">
      <c r="J442"/>
    </row>
    <row r="443" spans="10:10" x14ac:dyDescent="0.25">
      <c r="J443"/>
    </row>
    <row r="444" spans="10:10" x14ac:dyDescent="0.25">
      <c r="J444"/>
    </row>
    <row r="445" spans="10:10" x14ac:dyDescent="0.25">
      <c r="J445"/>
    </row>
    <row r="446" spans="10:10" x14ac:dyDescent="0.25">
      <c r="J446"/>
    </row>
    <row r="447" spans="10:10" x14ac:dyDescent="0.25">
      <c r="J447"/>
    </row>
    <row r="448" spans="10:10" x14ac:dyDescent="0.25">
      <c r="J448"/>
    </row>
    <row r="449" spans="10:10" x14ac:dyDescent="0.25">
      <c r="J449"/>
    </row>
    <row r="450" spans="10:10" x14ac:dyDescent="0.25">
      <c r="J450"/>
    </row>
    <row r="451" spans="10:10" x14ac:dyDescent="0.25">
      <c r="J451"/>
    </row>
    <row r="452" spans="10:10" x14ac:dyDescent="0.25">
      <c r="J452"/>
    </row>
    <row r="453" spans="10:10" x14ac:dyDescent="0.25">
      <c r="J453"/>
    </row>
    <row r="454" spans="10:10" x14ac:dyDescent="0.25">
      <c r="J454"/>
    </row>
    <row r="455" spans="10:10" x14ac:dyDescent="0.25">
      <c r="J455"/>
    </row>
    <row r="456" spans="10:10" x14ac:dyDescent="0.25">
      <c r="J456"/>
    </row>
    <row r="457" spans="10:10" x14ac:dyDescent="0.25">
      <c r="J457"/>
    </row>
    <row r="458" spans="10:10" x14ac:dyDescent="0.25">
      <c r="J458"/>
    </row>
    <row r="459" spans="10:10" x14ac:dyDescent="0.25">
      <c r="J459"/>
    </row>
    <row r="460" spans="10:10" x14ac:dyDescent="0.25">
      <c r="J460"/>
    </row>
    <row r="461" spans="10:10" x14ac:dyDescent="0.25">
      <c r="J461"/>
    </row>
    <row r="462" spans="10:10" x14ac:dyDescent="0.25">
      <c r="J462"/>
    </row>
    <row r="463" spans="10:10" x14ac:dyDescent="0.25">
      <c r="J463"/>
    </row>
    <row r="464" spans="10:10" x14ac:dyDescent="0.25">
      <c r="J464"/>
    </row>
    <row r="465" spans="10:10" x14ac:dyDescent="0.25">
      <c r="J465"/>
    </row>
    <row r="466" spans="10:10" x14ac:dyDescent="0.25">
      <c r="J466"/>
    </row>
    <row r="467" spans="10:10" x14ac:dyDescent="0.25">
      <c r="J467"/>
    </row>
    <row r="468" spans="10:10" x14ac:dyDescent="0.25">
      <c r="J468"/>
    </row>
    <row r="469" spans="10:10" x14ac:dyDescent="0.25">
      <c r="J469"/>
    </row>
    <row r="470" spans="10:10" x14ac:dyDescent="0.25">
      <c r="J470"/>
    </row>
    <row r="471" spans="10:10" x14ac:dyDescent="0.25">
      <c r="J471"/>
    </row>
    <row r="472" spans="10:10" x14ac:dyDescent="0.25">
      <c r="J472"/>
    </row>
    <row r="473" spans="10:10" x14ac:dyDescent="0.25">
      <c r="J473"/>
    </row>
    <row r="474" spans="10:10" x14ac:dyDescent="0.25">
      <c r="J474"/>
    </row>
    <row r="475" spans="10:10" x14ac:dyDescent="0.25">
      <c r="J475"/>
    </row>
    <row r="476" spans="10:10" x14ac:dyDescent="0.25">
      <c r="J476"/>
    </row>
    <row r="477" spans="10:10" x14ac:dyDescent="0.25">
      <c r="J477"/>
    </row>
    <row r="478" spans="10:10" x14ac:dyDescent="0.25">
      <c r="J478"/>
    </row>
    <row r="479" spans="10:10" x14ac:dyDescent="0.25">
      <c r="J479"/>
    </row>
    <row r="480" spans="10:10" x14ac:dyDescent="0.25">
      <c r="J480"/>
    </row>
    <row r="481" spans="10:10" x14ac:dyDescent="0.25">
      <c r="J481"/>
    </row>
    <row r="482" spans="10:10" x14ac:dyDescent="0.25">
      <c r="J482"/>
    </row>
    <row r="483" spans="10:10" x14ac:dyDescent="0.25">
      <c r="J483"/>
    </row>
    <row r="484" spans="10:10" x14ac:dyDescent="0.25">
      <c r="J484"/>
    </row>
    <row r="485" spans="10:10" x14ac:dyDescent="0.25">
      <c r="J485"/>
    </row>
    <row r="486" spans="10:10" x14ac:dyDescent="0.25">
      <c r="J486"/>
    </row>
    <row r="487" spans="10:10" x14ac:dyDescent="0.25">
      <c r="J487"/>
    </row>
    <row r="488" spans="10:10" x14ac:dyDescent="0.25">
      <c r="J488"/>
    </row>
    <row r="489" spans="10:10" x14ac:dyDescent="0.25">
      <c r="J489"/>
    </row>
    <row r="490" spans="10:10" x14ac:dyDescent="0.25">
      <c r="J490"/>
    </row>
    <row r="491" spans="10:10" x14ac:dyDescent="0.25">
      <c r="J491"/>
    </row>
    <row r="492" spans="10:10" x14ac:dyDescent="0.25">
      <c r="J492"/>
    </row>
    <row r="493" spans="10:10" x14ac:dyDescent="0.25">
      <c r="J493"/>
    </row>
    <row r="494" spans="10:10" x14ac:dyDescent="0.25">
      <c r="J494"/>
    </row>
    <row r="495" spans="10:10" x14ac:dyDescent="0.25">
      <c r="J495"/>
    </row>
    <row r="496" spans="10:10" x14ac:dyDescent="0.25">
      <c r="J496"/>
    </row>
    <row r="497" spans="10:10" x14ac:dyDescent="0.25">
      <c r="J497"/>
    </row>
    <row r="498" spans="10:10" x14ac:dyDescent="0.25">
      <c r="J498"/>
    </row>
    <row r="499" spans="10:10" x14ac:dyDescent="0.25">
      <c r="J499"/>
    </row>
    <row r="500" spans="10:10" x14ac:dyDescent="0.25">
      <c r="J500"/>
    </row>
    <row r="501" spans="10:10" x14ac:dyDescent="0.25">
      <c r="J501"/>
    </row>
    <row r="502" spans="10:10" x14ac:dyDescent="0.25">
      <c r="J502"/>
    </row>
    <row r="503" spans="10:10" x14ac:dyDescent="0.25">
      <c r="J503"/>
    </row>
    <row r="504" spans="10:10" x14ac:dyDescent="0.25">
      <c r="J504"/>
    </row>
    <row r="505" spans="10:10" x14ac:dyDescent="0.25">
      <c r="J505"/>
    </row>
    <row r="506" spans="10:10" x14ac:dyDescent="0.25">
      <c r="J506"/>
    </row>
    <row r="507" spans="10:10" x14ac:dyDescent="0.25">
      <c r="J507"/>
    </row>
    <row r="508" spans="10:10" x14ac:dyDescent="0.25">
      <c r="J508"/>
    </row>
    <row r="509" spans="10:10" x14ac:dyDescent="0.25">
      <c r="J509"/>
    </row>
    <row r="510" spans="10:10" x14ac:dyDescent="0.25">
      <c r="J510"/>
    </row>
    <row r="511" spans="10:10" x14ac:dyDescent="0.25">
      <c r="J511"/>
    </row>
    <row r="512" spans="10:10" x14ac:dyDescent="0.25">
      <c r="J512"/>
    </row>
    <row r="513" spans="10:10" x14ac:dyDescent="0.25">
      <c r="J513"/>
    </row>
    <row r="514" spans="10:10" x14ac:dyDescent="0.25">
      <c r="J514"/>
    </row>
    <row r="515" spans="10:10" x14ac:dyDescent="0.25">
      <c r="J515"/>
    </row>
    <row r="516" spans="10:10" x14ac:dyDescent="0.25">
      <c r="J516"/>
    </row>
    <row r="517" spans="10:10" x14ac:dyDescent="0.25">
      <c r="J517"/>
    </row>
    <row r="518" spans="10:10" x14ac:dyDescent="0.25">
      <c r="J518"/>
    </row>
    <row r="519" spans="10:10" x14ac:dyDescent="0.25">
      <c r="J519"/>
    </row>
    <row r="520" spans="10:10" x14ac:dyDescent="0.25">
      <c r="J520"/>
    </row>
    <row r="521" spans="10:10" x14ac:dyDescent="0.25">
      <c r="J521"/>
    </row>
    <row r="522" spans="10:10" x14ac:dyDescent="0.25">
      <c r="J522"/>
    </row>
    <row r="523" spans="10:10" x14ac:dyDescent="0.25">
      <c r="J523"/>
    </row>
    <row r="524" spans="10:10" x14ac:dyDescent="0.25">
      <c r="J524"/>
    </row>
    <row r="525" spans="10:10" x14ac:dyDescent="0.25">
      <c r="J525"/>
    </row>
    <row r="526" spans="10:10" x14ac:dyDescent="0.25">
      <c r="J526"/>
    </row>
    <row r="527" spans="10:10" x14ac:dyDescent="0.25">
      <c r="J527"/>
    </row>
    <row r="528" spans="10:10" x14ac:dyDescent="0.25">
      <c r="J528"/>
    </row>
    <row r="529" spans="10:10" x14ac:dyDescent="0.25">
      <c r="J529"/>
    </row>
    <row r="530" spans="10:10" x14ac:dyDescent="0.25">
      <c r="J530"/>
    </row>
    <row r="531" spans="10:10" x14ac:dyDescent="0.25">
      <c r="J531"/>
    </row>
    <row r="532" spans="10:10" x14ac:dyDescent="0.25">
      <c r="J532"/>
    </row>
    <row r="533" spans="10:10" x14ac:dyDescent="0.25">
      <c r="J533"/>
    </row>
    <row r="534" spans="10:10" x14ac:dyDescent="0.25">
      <c r="J534"/>
    </row>
    <row r="535" spans="10:10" x14ac:dyDescent="0.25">
      <c r="J535"/>
    </row>
    <row r="536" spans="10:10" x14ac:dyDescent="0.25">
      <c r="J536"/>
    </row>
    <row r="537" spans="10:10" x14ac:dyDescent="0.25">
      <c r="J537"/>
    </row>
    <row r="538" spans="10:10" x14ac:dyDescent="0.25">
      <c r="J538"/>
    </row>
    <row r="539" spans="10:10" x14ac:dyDescent="0.25">
      <c r="J539"/>
    </row>
    <row r="540" spans="10:10" x14ac:dyDescent="0.25">
      <c r="J540"/>
    </row>
    <row r="541" spans="10:10" x14ac:dyDescent="0.25">
      <c r="J541"/>
    </row>
    <row r="542" spans="10:10" x14ac:dyDescent="0.25">
      <c r="J542"/>
    </row>
    <row r="543" spans="10:10" x14ac:dyDescent="0.25">
      <c r="J543"/>
    </row>
    <row r="544" spans="10:10" x14ac:dyDescent="0.25">
      <c r="J544"/>
    </row>
    <row r="545" spans="10:10" x14ac:dyDescent="0.25">
      <c r="J545"/>
    </row>
    <row r="546" spans="10:10" x14ac:dyDescent="0.25">
      <c r="J546"/>
    </row>
    <row r="547" spans="10:10" x14ac:dyDescent="0.25">
      <c r="J547"/>
    </row>
    <row r="548" spans="10:10" x14ac:dyDescent="0.25">
      <c r="J548"/>
    </row>
    <row r="549" spans="10:10" x14ac:dyDescent="0.25">
      <c r="J549"/>
    </row>
    <row r="550" spans="10:10" x14ac:dyDescent="0.25">
      <c r="J550"/>
    </row>
    <row r="551" spans="10:10" x14ac:dyDescent="0.25">
      <c r="J551"/>
    </row>
    <row r="552" spans="10:10" x14ac:dyDescent="0.25">
      <c r="J552"/>
    </row>
    <row r="553" spans="10:10" x14ac:dyDescent="0.25">
      <c r="J553"/>
    </row>
    <row r="554" spans="10:10" x14ac:dyDescent="0.25">
      <c r="J554"/>
    </row>
    <row r="555" spans="10:10" x14ac:dyDescent="0.25">
      <c r="J555"/>
    </row>
    <row r="556" spans="10:10" x14ac:dyDescent="0.25">
      <c r="J556"/>
    </row>
    <row r="557" spans="10:10" x14ac:dyDescent="0.25">
      <c r="J557"/>
    </row>
    <row r="558" spans="10:10" x14ac:dyDescent="0.25">
      <c r="J558"/>
    </row>
    <row r="559" spans="10:10" x14ac:dyDescent="0.25">
      <c r="J559"/>
    </row>
    <row r="560" spans="10:10" x14ac:dyDescent="0.25">
      <c r="J560"/>
    </row>
    <row r="561" spans="10:10" x14ac:dyDescent="0.25">
      <c r="J561"/>
    </row>
    <row r="562" spans="10:10" x14ac:dyDescent="0.25">
      <c r="J562"/>
    </row>
    <row r="563" spans="10:10" x14ac:dyDescent="0.25">
      <c r="J563"/>
    </row>
    <row r="564" spans="10:10" x14ac:dyDescent="0.25">
      <c r="J564"/>
    </row>
    <row r="565" spans="10:10" x14ac:dyDescent="0.25">
      <c r="J565"/>
    </row>
    <row r="566" spans="10:10" x14ac:dyDescent="0.25">
      <c r="J566"/>
    </row>
    <row r="567" spans="10:10" x14ac:dyDescent="0.25">
      <c r="J567"/>
    </row>
    <row r="568" spans="10:10" x14ac:dyDescent="0.25">
      <c r="J568"/>
    </row>
    <row r="569" spans="10:10" x14ac:dyDescent="0.25">
      <c r="J569"/>
    </row>
    <row r="570" spans="10:10" x14ac:dyDescent="0.25">
      <c r="J570"/>
    </row>
    <row r="571" spans="10:10" x14ac:dyDescent="0.25">
      <c r="J571"/>
    </row>
    <row r="572" spans="10:10" x14ac:dyDescent="0.25">
      <c r="J572"/>
    </row>
    <row r="573" spans="10:10" x14ac:dyDescent="0.25">
      <c r="J573"/>
    </row>
    <row r="574" spans="10:10" x14ac:dyDescent="0.25">
      <c r="J574"/>
    </row>
    <row r="575" spans="10:10" x14ac:dyDescent="0.25">
      <c r="J575"/>
    </row>
    <row r="576" spans="10:10" x14ac:dyDescent="0.25">
      <c r="J576"/>
    </row>
    <row r="577" spans="10:10" x14ac:dyDescent="0.25">
      <c r="J577"/>
    </row>
    <row r="578" spans="10:10" x14ac:dyDescent="0.25">
      <c r="J578"/>
    </row>
    <row r="579" spans="10:10" x14ac:dyDescent="0.25">
      <c r="J579"/>
    </row>
    <row r="580" spans="10:10" x14ac:dyDescent="0.25">
      <c r="J580"/>
    </row>
    <row r="581" spans="10:10" x14ac:dyDescent="0.25">
      <c r="J581"/>
    </row>
    <row r="582" spans="10:10" x14ac:dyDescent="0.25">
      <c r="J582"/>
    </row>
    <row r="583" spans="10:10" x14ac:dyDescent="0.25">
      <c r="J583"/>
    </row>
    <row r="584" spans="10:10" x14ac:dyDescent="0.25">
      <c r="J584"/>
    </row>
    <row r="585" spans="10:10" x14ac:dyDescent="0.25">
      <c r="J585"/>
    </row>
    <row r="586" spans="10:10" x14ac:dyDescent="0.25">
      <c r="J586"/>
    </row>
    <row r="587" spans="10:10" x14ac:dyDescent="0.25">
      <c r="J587"/>
    </row>
    <row r="588" spans="10:10" x14ac:dyDescent="0.25">
      <c r="J588"/>
    </row>
    <row r="589" spans="10:10" x14ac:dyDescent="0.25">
      <c r="J589"/>
    </row>
    <row r="590" spans="10:10" x14ac:dyDescent="0.25">
      <c r="J590"/>
    </row>
    <row r="591" spans="10:10" x14ac:dyDescent="0.25">
      <c r="J591"/>
    </row>
    <row r="592" spans="10:10" x14ac:dyDescent="0.25">
      <c r="J592"/>
    </row>
    <row r="593" spans="10:10" x14ac:dyDescent="0.25">
      <c r="J593"/>
    </row>
    <row r="594" spans="10:10" x14ac:dyDescent="0.25">
      <c r="J594"/>
    </row>
    <row r="595" spans="10:10" x14ac:dyDescent="0.25">
      <c r="J595"/>
    </row>
    <row r="596" spans="10:10" x14ac:dyDescent="0.25">
      <c r="J596"/>
    </row>
    <row r="597" spans="10:10" x14ac:dyDescent="0.25">
      <c r="J597"/>
    </row>
    <row r="598" spans="10:10" x14ac:dyDescent="0.25">
      <c r="J598"/>
    </row>
    <row r="599" spans="10:10" x14ac:dyDescent="0.25">
      <c r="J599"/>
    </row>
    <row r="600" spans="10:10" x14ac:dyDescent="0.25">
      <c r="J600"/>
    </row>
    <row r="601" spans="10:10" x14ac:dyDescent="0.25">
      <c r="J601"/>
    </row>
    <row r="602" spans="10:10" x14ac:dyDescent="0.25">
      <c r="J602"/>
    </row>
    <row r="603" spans="10:10" x14ac:dyDescent="0.25">
      <c r="J603"/>
    </row>
    <row r="604" spans="10:10" x14ac:dyDescent="0.25">
      <c r="J604"/>
    </row>
    <row r="605" spans="10:10" x14ac:dyDescent="0.25">
      <c r="J605"/>
    </row>
    <row r="606" spans="10:10" x14ac:dyDescent="0.25">
      <c r="J606"/>
    </row>
    <row r="607" spans="10:10" x14ac:dyDescent="0.25">
      <c r="J607"/>
    </row>
    <row r="608" spans="10:10" x14ac:dyDescent="0.25">
      <c r="J608"/>
    </row>
    <row r="609" spans="10:10" x14ac:dyDescent="0.25">
      <c r="J609"/>
    </row>
    <row r="610" spans="10:10" x14ac:dyDescent="0.25">
      <c r="J610"/>
    </row>
    <row r="611" spans="10:10" x14ac:dyDescent="0.25">
      <c r="J611"/>
    </row>
    <row r="612" spans="10:10" x14ac:dyDescent="0.25">
      <c r="J612"/>
    </row>
    <row r="613" spans="10:10" x14ac:dyDescent="0.25">
      <c r="J613"/>
    </row>
    <row r="614" spans="10:10" x14ac:dyDescent="0.25">
      <c r="J614"/>
    </row>
    <row r="615" spans="10:10" x14ac:dyDescent="0.25">
      <c r="J615"/>
    </row>
    <row r="616" spans="10:10" x14ac:dyDescent="0.25">
      <c r="J616"/>
    </row>
    <row r="617" spans="10:10" x14ac:dyDescent="0.25">
      <c r="J617"/>
    </row>
    <row r="618" spans="10:10" x14ac:dyDescent="0.25">
      <c r="J618"/>
    </row>
    <row r="619" spans="10:10" x14ac:dyDescent="0.25">
      <c r="J619"/>
    </row>
    <row r="620" spans="10:10" x14ac:dyDescent="0.25">
      <c r="J620"/>
    </row>
    <row r="621" spans="10:10" x14ac:dyDescent="0.25">
      <c r="J621"/>
    </row>
    <row r="622" spans="10:10" x14ac:dyDescent="0.25">
      <c r="J622"/>
    </row>
    <row r="623" spans="10:10" x14ac:dyDescent="0.25">
      <c r="J623"/>
    </row>
    <row r="624" spans="10:10" x14ac:dyDescent="0.25">
      <c r="J624"/>
    </row>
    <row r="625" spans="10:10" x14ac:dyDescent="0.25">
      <c r="J625"/>
    </row>
    <row r="626" spans="10:10" x14ac:dyDescent="0.25">
      <c r="J626"/>
    </row>
    <row r="627" spans="10:10" x14ac:dyDescent="0.25">
      <c r="J627"/>
    </row>
    <row r="628" spans="10:10" x14ac:dyDescent="0.25">
      <c r="J628"/>
    </row>
    <row r="629" spans="10:10" x14ac:dyDescent="0.25">
      <c r="J629"/>
    </row>
    <row r="630" spans="10:10" x14ac:dyDescent="0.25">
      <c r="J630"/>
    </row>
    <row r="631" spans="10:10" x14ac:dyDescent="0.25">
      <c r="J631"/>
    </row>
    <row r="632" spans="10:10" x14ac:dyDescent="0.25">
      <c r="J632"/>
    </row>
    <row r="633" spans="10:10" x14ac:dyDescent="0.25">
      <c r="J633"/>
    </row>
    <row r="634" spans="10:10" x14ac:dyDescent="0.25">
      <c r="J634"/>
    </row>
    <row r="635" spans="10:10" x14ac:dyDescent="0.25">
      <c r="J635"/>
    </row>
    <row r="636" spans="10:10" x14ac:dyDescent="0.25">
      <c r="J636"/>
    </row>
    <row r="637" spans="10:10" x14ac:dyDescent="0.25">
      <c r="J637"/>
    </row>
    <row r="638" spans="10:10" x14ac:dyDescent="0.25">
      <c r="J638"/>
    </row>
    <row r="639" spans="10:10" x14ac:dyDescent="0.25">
      <c r="J639"/>
    </row>
    <row r="640" spans="10:10" x14ac:dyDescent="0.25">
      <c r="J640"/>
    </row>
    <row r="641" spans="10:10" x14ac:dyDescent="0.25">
      <c r="J641"/>
    </row>
    <row r="642" spans="10:10" x14ac:dyDescent="0.25">
      <c r="J642"/>
    </row>
    <row r="643" spans="10:10" x14ac:dyDescent="0.25">
      <c r="J643"/>
    </row>
    <row r="644" spans="10:10" x14ac:dyDescent="0.25">
      <c r="J644"/>
    </row>
    <row r="645" spans="10:10" x14ac:dyDescent="0.25">
      <c r="J645"/>
    </row>
    <row r="646" spans="10:10" x14ac:dyDescent="0.25">
      <c r="J646"/>
    </row>
    <row r="647" spans="10:10" x14ac:dyDescent="0.25">
      <c r="J647"/>
    </row>
    <row r="648" spans="10:10" x14ac:dyDescent="0.25">
      <c r="J648"/>
    </row>
    <row r="649" spans="10:10" x14ac:dyDescent="0.25">
      <c r="J649"/>
    </row>
    <row r="650" spans="10:10" x14ac:dyDescent="0.25">
      <c r="J650"/>
    </row>
    <row r="651" spans="10:10" x14ac:dyDescent="0.25">
      <c r="J651"/>
    </row>
    <row r="652" spans="10:10" x14ac:dyDescent="0.25">
      <c r="J652"/>
    </row>
    <row r="653" spans="10:10" x14ac:dyDescent="0.25">
      <c r="J653"/>
    </row>
    <row r="654" spans="10:10" x14ac:dyDescent="0.25">
      <c r="J654"/>
    </row>
    <row r="655" spans="10:10" x14ac:dyDescent="0.25">
      <c r="J655"/>
    </row>
    <row r="656" spans="10:10" x14ac:dyDescent="0.25">
      <c r="J656"/>
    </row>
    <row r="657" spans="10:10" x14ac:dyDescent="0.25">
      <c r="J657"/>
    </row>
    <row r="658" spans="10:10" x14ac:dyDescent="0.25">
      <c r="J658"/>
    </row>
    <row r="659" spans="10:10" x14ac:dyDescent="0.25">
      <c r="J659"/>
    </row>
    <row r="660" spans="10:10" x14ac:dyDescent="0.25">
      <c r="J660"/>
    </row>
    <row r="661" spans="10:10" x14ac:dyDescent="0.25">
      <c r="J661"/>
    </row>
    <row r="662" spans="10:10" x14ac:dyDescent="0.25">
      <c r="J662"/>
    </row>
    <row r="663" spans="10:10" x14ac:dyDescent="0.25">
      <c r="J663"/>
    </row>
    <row r="664" spans="10:10" x14ac:dyDescent="0.25">
      <c r="J664"/>
    </row>
    <row r="665" spans="10:10" x14ac:dyDescent="0.25">
      <c r="J665"/>
    </row>
    <row r="666" spans="10:10" x14ac:dyDescent="0.25">
      <c r="J666"/>
    </row>
    <row r="667" spans="10:10" x14ac:dyDescent="0.25">
      <c r="J667"/>
    </row>
    <row r="668" spans="10:10" x14ac:dyDescent="0.25">
      <c r="J668"/>
    </row>
    <row r="669" spans="10:10" x14ac:dyDescent="0.25">
      <c r="J669"/>
    </row>
    <row r="670" spans="10:10" x14ac:dyDescent="0.25">
      <c r="J670"/>
    </row>
    <row r="671" spans="10:10" x14ac:dyDescent="0.25">
      <c r="J671"/>
    </row>
    <row r="672" spans="10:10" x14ac:dyDescent="0.25">
      <c r="J672"/>
    </row>
    <row r="673" spans="10:10" x14ac:dyDescent="0.25">
      <c r="J673"/>
    </row>
    <row r="674" spans="10:10" x14ac:dyDescent="0.25">
      <c r="J674"/>
    </row>
    <row r="675" spans="10:10" x14ac:dyDescent="0.25">
      <c r="J675"/>
    </row>
    <row r="676" spans="10:10" x14ac:dyDescent="0.25">
      <c r="J676"/>
    </row>
    <row r="677" spans="10:10" x14ac:dyDescent="0.25">
      <c r="J677"/>
    </row>
    <row r="678" spans="10:10" x14ac:dyDescent="0.25">
      <c r="J678"/>
    </row>
    <row r="679" spans="10:10" x14ac:dyDescent="0.25">
      <c r="J679"/>
    </row>
    <row r="680" spans="10:10" x14ac:dyDescent="0.25">
      <c r="J680"/>
    </row>
    <row r="681" spans="10:10" x14ac:dyDescent="0.25">
      <c r="J681"/>
    </row>
    <row r="682" spans="10:10" x14ac:dyDescent="0.25">
      <c r="J682"/>
    </row>
    <row r="683" spans="10:10" x14ac:dyDescent="0.25">
      <c r="J683"/>
    </row>
    <row r="684" spans="10:10" x14ac:dyDescent="0.25">
      <c r="J684"/>
    </row>
    <row r="685" spans="10:10" x14ac:dyDescent="0.25">
      <c r="J685"/>
    </row>
    <row r="686" spans="10:10" x14ac:dyDescent="0.25">
      <c r="J686"/>
    </row>
    <row r="687" spans="10:10" x14ac:dyDescent="0.25">
      <c r="J687"/>
    </row>
    <row r="688" spans="10:10" x14ac:dyDescent="0.25">
      <c r="J688"/>
    </row>
    <row r="689" spans="10:10" x14ac:dyDescent="0.25">
      <c r="J689"/>
    </row>
    <row r="690" spans="10:10" x14ac:dyDescent="0.25">
      <c r="J690"/>
    </row>
    <row r="691" spans="10:10" x14ac:dyDescent="0.25">
      <c r="J691"/>
    </row>
    <row r="692" spans="10:10" x14ac:dyDescent="0.25">
      <c r="J692"/>
    </row>
    <row r="693" spans="10:10" x14ac:dyDescent="0.25">
      <c r="J693"/>
    </row>
    <row r="694" spans="10:10" x14ac:dyDescent="0.25">
      <c r="J694"/>
    </row>
    <row r="695" spans="10:10" x14ac:dyDescent="0.25">
      <c r="J695"/>
    </row>
    <row r="696" spans="10:10" x14ac:dyDescent="0.25">
      <c r="J696"/>
    </row>
    <row r="697" spans="10:10" x14ac:dyDescent="0.25">
      <c r="J697"/>
    </row>
    <row r="698" spans="10:10" x14ac:dyDescent="0.25">
      <c r="J698"/>
    </row>
    <row r="699" spans="10:10" x14ac:dyDescent="0.25">
      <c r="J699"/>
    </row>
    <row r="700" spans="10:10" x14ac:dyDescent="0.25">
      <c r="J700"/>
    </row>
    <row r="701" spans="10:10" x14ac:dyDescent="0.25">
      <c r="J701"/>
    </row>
    <row r="702" spans="10:10" x14ac:dyDescent="0.25">
      <c r="J702"/>
    </row>
    <row r="703" spans="10:10" x14ac:dyDescent="0.25">
      <c r="J703"/>
    </row>
    <row r="704" spans="10:10" x14ac:dyDescent="0.25">
      <c r="J704"/>
    </row>
    <row r="705" spans="10:10" x14ac:dyDescent="0.25">
      <c r="J705"/>
    </row>
    <row r="706" spans="10:10" x14ac:dyDescent="0.25">
      <c r="J706"/>
    </row>
    <row r="707" spans="10:10" x14ac:dyDescent="0.25">
      <c r="J707"/>
    </row>
    <row r="708" spans="10:10" x14ac:dyDescent="0.25">
      <c r="J708"/>
    </row>
    <row r="709" spans="10:10" x14ac:dyDescent="0.25">
      <c r="J709"/>
    </row>
    <row r="710" spans="10:10" x14ac:dyDescent="0.25">
      <c r="J710"/>
    </row>
    <row r="711" spans="10:10" x14ac:dyDescent="0.25">
      <c r="J711"/>
    </row>
    <row r="712" spans="10:10" x14ac:dyDescent="0.25">
      <c r="J712"/>
    </row>
    <row r="713" spans="10:10" x14ac:dyDescent="0.25">
      <c r="J713"/>
    </row>
    <row r="714" spans="10:10" x14ac:dyDescent="0.25">
      <c r="J714"/>
    </row>
    <row r="715" spans="10:10" x14ac:dyDescent="0.25">
      <c r="J715"/>
    </row>
    <row r="716" spans="10:10" x14ac:dyDescent="0.25">
      <c r="J716"/>
    </row>
    <row r="717" spans="10:10" x14ac:dyDescent="0.25">
      <c r="J717"/>
    </row>
    <row r="718" spans="10:10" x14ac:dyDescent="0.25">
      <c r="J718"/>
    </row>
    <row r="719" spans="10:10" x14ac:dyDescent="0.25">
      <c r="J719"/>
    </row>
    <row r="720" spans="10:10" x14ac:dyDescent="0.25">
      <c r="J720"/>
    </row>
    <row r="721" spans="10:10" x14ac:dyDescent="0.25">
      <c r="J721"/>
    </row>
    <row r="722" spans="10:10" x14ac:dyDescent="0.25">
      <c r="J722"/>
    </row>
    <row r="723" spans="10:10" x14ac:dyDescent="0.25">
      <c r="J723"/>
    </row>
    <row r="724" spans="10:10" x14ac:dyDescent="0.25">
      <c r="J724"/>
    </row>
    <row r="725" spans="10:10" x14ac:dyDescent="0.25">
      <c r="J725"/>
    </row>
    <row r="726" spans="10:10" x14ac:dyDescent="0.25">
      <c r="J726"/>
    </row>
    <row r="727" spans="10:10" x14ac:dyDescent="0.25">
      <c r="J727"/>
    </row>
    <row r="728" spans="10:10" x14ac:dyDescent="0.25">
      <c r="J728"/>
    </row>
    <row r="729" spans="10:10" x14ac:dyDescent="0.25">
      <c r="J729"/>
    </row>
    <row r="730" spans="10:10" x14ac:dyDescent="0.25">
      <c r="J730"/>
    </row>
    <row r="731" spans="10:10" x14ac:dyDescent="0.25">
      <c r="J731"/>
    </row>
    <row r="732" spans="10:10" x14ac:dyDescent="0.25">
      <c r="J732"/>
    </row>
    <row r="733" spans="10:10" x14ac:dyDescent="0.25">
      <c r="J733"/>
    </row>
    <row r="734" spans="10:10" x14ac:dyDescent="0.25">
      <c r="J734"/>
    </row>
    <row r="735" spans="10:10" x14ac:dyDescent="0.25">
      <c r="J735"/>
    </row>
    <row r="736" spans="10:10" x14ac:dyDescent="0.25">
      <c r="J736"/>
    </row>
    <row r="737" spans="10:10" x14ac:dyDescent="0.25">
      <c r="J737"/>
    </row>
    <row r="738" spans="10:10" x14ac:dyDescent="0.25">
      <c r="J738"/>
    </row>
    <row r="739" spans="10:10" x14ac:dyDescent="0.25">
      <c r="J739"/>
    </row>
    <row r="740" spans="10:10" x14ac:dyDescent="0.25">
      <c r="J740"/>
    </row>
    <row r="741" spans="10:10" x14ac:dyDescent="0.25">
      <c r="J741"/>
    </row>
    <row r="742" spans="10:10" x14ac:dyDescent="0.25">
      <c r="J742"/>
    </row>
    <row r="743" spans="10:10" x14ac:dyDescent="0.25">
      <c r="J743"/>
    </row>
    <row r="744" spans="10:10" x14ac:dyDescent="0.25">
      <c r="J744"/>
    </row>
    <row r="745" spans="10:10" x14ac:dyDescent="0.25">
      <c r="J745"/>
    </row>
    <row r="746" spans="10:10" x14ac:dyDescent="0.25">
      <c r="J746"/>
    </row>
    <row r="747" spans="10:10" x14ac:dyDescent="0.25">
      <c r="J747"/>
    </row>
    <row r="748" spans="10:10" x14ac:dyDescent="0.25">
      <c r="J748"/>
    </row>
    <row r="749" spans="10:10" x14ac:dyDescent="0.25">
      <c r="J749"/>
    </row>
    <row r="750" spans="10:10" x14ac:dyDescent="0.25">
      <c r="J750"/>
    </row>
    <row r="751" spans="10:10" x14ac:dyDescent="0.25">
      <c r="J751"/>
    </row>
    <row r="752" spans="10:10" x14ac:dyDescent="0.25">
      <c r="J752"/>
    </row>
    <row r="753" spans="10:10" x14ac:dyDescent="0.25">
      <c r="J753"/>
    </row>
    <row r="754" spans="10:10" x14ac:dyDescent="0.25">
      <c r="J754"/>
    </row>
    <row r="755" spans="10:10" x14ac:dyDescent="0.25">
      <c r="J755"/>
    </row>
    <row r="756" spans="10:10" x14ac:dyDescent="0.25">
      <c r="J756"/>
    </row>
    <row r="757" spans="10:10" x14ac:dyDescent="0.25">
      <c r="J757"/>
    </row>
    <row r="758" spans="10:10" x14ac:dyDescent="0.25">
      <c r="J758"/>
    </row>
    <row r="759" spans="10:10" x14ac:dyDescent="0.25">
      <c r="J759"/>
    </row>
    <row r="760" spans="10:10" x14ac:dyDescent="0.25">
      <c r="J760"/>
    </row>
    <row r="761" spans="10:10" x14ac:dyDescent="0.25">
      <c r="J761"/>
    </row>
    <row r="762" spans="10:10" x14ac:dyDescent="0.25">
      <c r="J762"/>
    </row>
    <row r="763" spans="10:10" x14ac:dyDescent="0.25">
      <c r="J763"/>
    </row>
    <row r="764" spans="10:10" x14ac:dyDescent="0.25">
      <c r="J764"/>
    </row>
    <row r="765" spans="10:10" x14ac:dyDescent="0.25">
      <c r="J765"/>
    </row>
    <row r="766" spans="10:10" x14ac:dyDescent="0.25">
      <c r="J766"/>
    </row>
    <row r="767" spans="10:10" x14ac:dyDescent="0.25">
      <c r="J767"/>
    </row>
    <row r="768" spans="10:10" x14ac:dyDescent="0.25">
      <c r="J768"/>
    </row>
    <row r="769" spans="10:10" x14ac:dyDescent="0.25">
      <c r="J769"/>
    </row>
    <row r="770" spans="10:10" x14ac:dyDescent="0.25">
      <c r="J770"/>
    </row>
    <row r="771" spans="10:10" x14ac:dyDescent="0.25">
      <c r="J771"/>
    </row>
    <row r="772" spans="10:10" x14ac:dyDescent="0.25">
      <c r="J772"/>
    </row>
    <row r="773" spans="10:10" x14ac:dyDescent="0.25">
      <c r="J773"/>
    </row>
    <row r="774" spans="10:10" x14ac:dyDescent="0.25">
      <c r="J774"/>
    </row>
    <row r="775" spans="10:10" x14ac:dyDescent="0.25">
      <c r="J775"/>
    </row>
    <row r="776" spans="10:10" x14ac:dyDescent="0.25">
      <c r="J776"/>
    </row>
    <row r="777" spans="10:10" x14ac:dyDescent="0.25">
      <c r="J777"/>
    </row>
    <row r="778" spans="10:10" x14ac:dyDescent="0.25">
      <c r="J778"/>
    </row>
    <row r="779" spans="10:10" x14ac:dyDescent="0.25">
      <c r="J779"/>
    </row>
    <row r="780" spans="10:10" x14ac:dyDescent="0.25">
      <c r="J780"/>
    </row>
    <row r="781" spans="10:10" x14ac:dyDescent="0.25">
      <c r="J781"/>
    </row>
    <row r="782" spans="10:10" x14ac:dyDescent="0.25">
      <c r="J782"/>
    </row>
    <row r="783" spans="10:10" x14ac:dyDescent="0.25">
      <c r="J783"/>
    </row>
    <row r="784" spans="10:10" x14ac:dyDescent="0.25">
      <c r="J784"/>
    </row>
    <row r="785" spans="10:10" x14ac:dyDescent="0.25">
      <c r="J785"/>
    </row>
    <row r="786" spans="10:10" x14ac:dyDescent="0.25">
      <c r="J786"/>
    </row>
    <row r="787" spans="10:10" x14ac:dyDescent="0.25">
      <c r="J787"/>
    </row>
    <row r="788" spans="10:10" x14ac:dyDescent="0.25">
      <c r="J788"/>
    </row>
    <row r="789" spans="10:10" x14ac:dyDescent="0.25">
      <c r="J789"/>
    </row>
    <row r="790" spans="10:10" x14ac:dyDescent="0.25">
      <c r="J790"/>
    </row>
    <row r="791" spans="10:10" x14ac:dyDescent="0.25">
      <c r="J791"/>
    </row>
    <row r="792" spans="10:10" x14ac:dyDescent="0.25">
      <c r="J792"/>
    </row>
    <row r="793" spans="10:10" x14ac:dyDescent="0.25">
      <c r="J793"/>
    </row>
    <row r="794" spans="10:10" x14ac:dyDescent="0.25">
      <c r="J794"/>
    </row>
    <row r="795" spans="10:10" x14ac:dyDescent="0.25">
      <c r="J795"/>
    </row>
    <row r="796" spans="10:10" x14ac:dyDescent="0.25">
      <c r="J796"/>
    </row>
    <row r="797" spans="10:10" x14ac:dyDescent="0.25">
      <c r="J797"/>
    </row>
    <row r="798" spans="10:10" x14ac:dyDescent="0.25">
      <c r="J798"/>
    </row>
    <row r="799" spans="10:10" x14ac:dyDescent="0.25">
      <c r="J799"/>
    </row>
    <row r="800" spans="10:10" x14ac:dyDescent="0.25">
      <c r="J800"/>
    </row>
    <row r="801" spans="10:10" x14ac:dyDescent="0.25">
      <c r="J801"/>
    </row>
    <row r="802" spans="10:10" x14ac:dyDescent="0.25">
      <c r="J802"/>
    </row>
    <row r="803" spans="10:10" x14ac:dyDescent="0.25">
      <c r="J803"/>
    </row>
    <row r="804" spans="10:10" x14ac:dyDescent="0.25">
      <c r="J804"/>
    </row>
    <row r="805" spans="10:10" x14ac:dyDescent="0.25">
      <c r="J805"/>
    </row>
    <row r="806" spans="10:10" x14ac:dyDescent="0.25">
      <c r="J806"/>
    </row>
    <row r="807" spans="10:10" x14ac:dyDescent="0.25">
      <c r="J807"/>
    </row>
    <row r="808" spans="10:10" x14ac:dyDescent="0.25">
      <c r="J808"/>
    </row>
    <row r="809" spans="10:10" x14ac:dyDescent="0.25">
      <c r="J809"/>
    </row>
    <row r="810" spans="10:10" x14ac:dyDescent="0.25">
      <c r="J810"/>
    </row>
    <row r="811" spans="10:10" x14ac:dyDescent="0.25">
      <c r="J811"/>
    </row>
    <row r="812" spans="10:10" x14ac:dyDescent="0.25">
      <c r="J812"/>
    </row>
    <row r="813" spans="10:10" x14ac:dyDescent="0.25">
      <c r="J813"/>
    </row>
    <row r="814" spans="10:10" x14ac:dyDescent="0.25">
      <c r="J814"/>
    </row>
    <row r="815" spans="10:10" x14ac:dyDescent="0.25">
      <c r="J815"/>
    </row>
    <row r="816" spans="10:10" x14ac:dyDescent="0.25">
      <c r="J816"/>
    </row>
    <row r="817" spans="10:10" x14ac:dyDescent="0.25">
      <c r="J817"/>
    </row>
    <row r="818" spans="10:10" x14ac:dyDescent="0.25">
      <c r="J818"/>
    </row>
    <row r="819" spans="10:10" x14ac:dyDescent="0.25">
      <c r="J819"/>
    </row>
    <row r="820" spans="10:10" x14ac:dyDescent="0.25">
      <c r="J820"/>
    </row>
    <row r="821" spans="10:10" x14ac:dyDescent="0.25">
      <c r="J821"/>
    </row>
    <row r="822" spans="10:10" x14ac:dyDescent="0.25">
      <c r="J822"/>
    </row>
    <row r="823" spans="10:10" x14ac:dyDescent="0.25">
      <c r="J823"/>
    </row>
    <row r="824" spans="10:10" x14ac:dyDescent="0.25">
      <c r="J824"/>
    </row>
    <row r="825" spans="10:10" x14ac:dyDescent="0.25">
      <c r="J825"/>
    </row>
    <row r="826" spans="10:10" x14ac:dyDescent="0.25">
      <c r="J826"/>
    </row>
    <row r="827" spans="10:10" x14ac:dyDescent="0.25">
      <c r="J827"/>
    </row>
    <row r="828" spans="10:10" x14ac:dyDescent="0.25">
      <c r="J828"/>
    </row>
    <row r="829" spans="10:10" x14ac:dyDescent="0.25">
      <c r="J829"/>
    </row>
    <row r="830" spans="10:10" x14ac:dyDescent="0.25">
      <c r="J830"/>
    </row>
    <row r="831" spans="10:10" x14ac:dyDescent="0.25">
      <c r="J831"/>
    </row>
    <row r="832" spans="10:10" x14ac:dyDescent="0.25">
      <c r="J832"/>
    </row>
    <row r="833" spans="10:10" x14ac:dyDescent="0.25">
      <c r="J833"/>
    </row>
    <row r="834" spans="10:10" x14ac:dyDescent="0.25">
      <c r="J834"/>
    </row>
    <row r="835" spans="10:10" x14ac:dyDescent="0.25">
      <c r="J835"/>
    </row>
    <row r="836" spans="10:10" x14ac:dyDescent="0.25">
      <c r="J836"/>
    </row>
    <row r="837" spans="10:10" x14ac:dyDescent="0.25">
      <c r="J837"/>
    </row>
    <row r="838" spans="10:10" x14ac:dyDescent="0.25">
      <c r="J838"/>
    </row>
    <row r="839" spans="10:10" x14ac:dyDescent="0.25">
      <c r="J839"/>
    </row>
    <row r="840" spans="10:10" x14ac:dyDescent="0.25">
      <c r="J840"/>
    </row>
    <row r="841" spans="10:10" x14ac:dyDescent="0.25">
      <c r="J841"/>
    </row>
    <row r="842" spans="10:10" x14ac:dyDescent="0.25">
      <c r="J842"/>
    </row>
    <row r="843" spans="10:10" x14ac:dyDescent="0.25">
      <c r="J843"/>
    </row>
    <row r="844" spans="10:10" x14ac:dyDescent="0.25">
      <c r="J844"/>
    </row>
    <row r="845" spans="10:10" x14ac:dyDescent="0.25">
      <c r="J845"/>
    </row>
    <row r="846" spans="10:10" x14ac:dyDescent="0.25">
      <c r="J846"/>
    </row>
    <row r="847" spans="10:10" x14ac:dyDescent="0.25">
      <c r="J847"/>
    </row>
    <row r="848" spans="10:10" x14ac:dyDescent="0.25">
      <c r="J848"/>
    </row>
    <row r="849" spans="10:10" x14ac:dyDescent="0.25">
      <c r="J849"/>
    </row>
    <row r="850" spans="10:10" x14ac:dyDescent="0.25">
      <c r="J850"/>
    </row>
    <row r="851" spans="10:10" x14ac:dyDescent="0.25">
      <c r="J851"/>
    </row>
    <row r="852" spans="10:10" x14ac:dyDescent="0.25">
      <c r="J852"/>
    </row>
    <row r="853" spans="10:10" x14ac:dyDescent="0.25">
      <c r="J853"/>
    </row>
    <row r="854" spans="10:10" x14ac:dyDescent="0.25">
      <c r="J854"/>
    </row>
    <row r="855" spans="10:10" x14ac:dyDescent="0.25">
      <c r="J855"/>
    </row>
    <row r="856" spans="10:10" x14ac:dyDescent="0.25">
      <c r="J856"/>
    </row>
    <row r="857" spans="10:10" x14ac:dyDescent="0.25">
      <c r="J857"/>
    </row>
    <row r="858" spans="10:10" x14ac:dyDescent="0.25">
      <c r="J858"/>
    </row>
    <row r="859" spans="10:10" x14ac:dyDescent="0.25">
      <c r="J859"/>
    </row>
    <row r="860" spans="10:10" x14ac:dyDescent="0.25">
      <c r="J860"/>
    </row>
    <row r="861" spans="10:10" x14ac:dyDescent="0.25">
      <c r="J861"/>
    </row>
    <row r="862" spans="10:10" x14ac:dyDescent="0.25">
      <c r="J862"/>
    </row>
    <row r="863" spans="10:10" x14ac:dyDescent="0.25">
      <c r="J863"/>
    </row>
    <row r="864" spans="10:10" x14ac:dyDescent="0.25">
      <c r="J864"/>
    </row>
    <row r="865" spans="10:10" x14ac:dyDescent="0.25">
      <c r="J865"/>
    </row>
    <row r="866" spans="10:10" x14ac:dyDescent="0.25">
      <c r="J866"/>
    </row>
    <row r="867" spans="10:10" x14ac:dyDescent="0.25">
      <c r="J867"/>
    </row>
    <row r="868" spans="10:10" x14ac:dyDescent="0.25">
      <c r="J868"/>
    </row>
    <row r="869" spans="10:10" x14ac:dyDescent="0.25">
      <c r="J869"/>
    </row>
    <row r="870" spans="10:10" x14ac:dyDescent="0.25">
      <c r="J870"/>
    </row>
    <row r="871" spans="10:10" x14ac:dyDescent="0.25">
      <c r="J871"/>
    </row>
    <row r="872" spans="10:10" x14ac:dyDescent="0.25">
      <c r="J872"/>
    </row>
    <row r="873" spans="10:10" x14ac:dyDescent="0.25">
      <c r="J873"/>
    </row>
    <row r="874" spans="10:10" x14ac:dyDescent="0.25">
      <c r="J874"/>
    </row>
    <row r="875" spans="10:10" x14ac:dyDescent="0.25">
      <c r="J875"/>
    </row>
    <row r="876" spans="10:10" x14ac:dyDescent="0.25">
      <c r="J876"/>
    </row>
    <row r="877" spans="10:10" x14ac:dyDescent="0.25">
      <c r="J877"/>
    </row>
    <row r="878" spans="10:10" x14ac:dyDescent="0.25">
      <c r="J878"/>
    </row>
    <row r="879" spans="10:10" x14ac:dyDescent="0.25">
      <c r="J879"/>
    </row>
    <row r="880" spans="10:10" x14ac:dyDescent="0.25">
      <c r="J880"/>
    </row>
    <row r="881" spans="10:10" x14ac:dyDescent="0.25">
      <c r="J881"/>
    </row>
    <row r="882" spans="10:10" x14ac:dyDescent="0.25">
      <c r="J882"/>
    </row>
    <row r="883" spans="10:10" x14ac:dyDescent="0.25">
      <c r="J883"/>
    </row>
    <row r="884" spans="10:10" x14ac:dyDescent="0.25">
      <c r="J884"/>
    </row>
    <row r="885" spans="10:10" x14ac:dyDescent="0.25">
      <c r="J885"/>
    </row>
    <row r="886" spans="10:10" x14ac:dyDescent="0.25">
      <c r="J886"/>
    </row>
    <row r="887" spans="10:10" x14ac:dyDescent="0.25">
      <c r="J887"/>
    </row>
    <row r="888" spans="10:10" x14ac:dyDescent="0.25">
      <c r="J888"/>
    </row>
    <row r="889" spans="10:10" x14ac:dyDescent="0.25">
      <c r="J889"/>
    </row>
    <row r="890" spans="10:10" x14ac:dyDescent="0.25">
      <c r="J890"/>
    </row>
    <row r="891" spans="10:10" x14ac:dyDescent="0.25">
      <c r="J891"/>
    </row>
    <row r="892" spans="10:10" x14ac:dyDescent="0.25">
      <c r="J892"/>
    </row>
    <row r="893" spans="10:10" x14ac:dyDescent="0.25">
      <c r="J893"/>
    </row>
    <row r="894" spans="10:10" x14ac:dyDescent="0.25">
      <c r="J894"/>
    </row>
    <row r="895" spans="10:10" x14ac:dyDescent="0.25">
      <c r="J895"/>
    </row>
    <row r="896" spans="10:10" x14ac:dyDescent="0.25">
      <c r="J896"/>
    </row>
    <row r="897" spans="10:10" x14ac:dyDescent="0.25">
      <c r="J897"/>
    </row>
    <row r="898" spans="10:10" x14ac:dyDescent="0.25">
      <c r="J898"/>
    </row>
    <row r="899" spans="10:10" x14ac:dyDescent="0.25">
      <c r="J899"/>
    </row>
    <row r="900" spans="10:10" x14ac:dyDescent="0.25">
      <c r="J900"/>
    </row>
    <row r="901" spans="10:10" x14ac:dyDescent="0.25">
      <c r="J901"/>
    </row>
    <row r="902" spans="10:10" x14ac:dyDescent="0.25">
      <c r="J902"/>
    </row>
    <row r="903" spans="10:10" x14ac:dyDescent="0.25">
      <c r="J903"/>
    </row>
    <row r="904" spans="10:10" x14ac:dyDescent="0.25">
      <c r="J904"/>
    </row>
    <row r="905" spans="10:10" x14ac:dyDescent="0.25">
      <c r="J905"/>
    </row>
    <row r="906" spans="10:10" x14ac:dyDescent="0.25">
      <c r="J906"/>
    </row>
    <row r="907" spans="10:10" x14ac:dyDescent="0.25">
      <c r="J907"/>
    </row>
    <row r="908" spans="10:10" x14ac:dyDescent="0.25">
      <c r="J908"/>
    </row>
    <row r="909" spans="10:10" x14ac:dyDescent="0.25">
      <c r="J909"/>
    </row>
    <row r="910" spans="10:10" x14ac:dyDescent="0.25">
      <c r="J910"/>
    </row>
    <row r="911" spans="10:10" x14ac:dyDescent="0.25">
      <c r="J911"/>
    </row>
    <row r="912" spans="10:10" x14ac:dyDescent="0.25">
      <c r="J912"/>
    </row>
    <row r="913" spans="10:10" x14ac:dyDescent="0.25">
      <c r="J913"/>
    </row>
    <row r="914" spans="10:10" x14ac:dyDescent="0.25">
      <c r="J914"/>
    </row>
    <row r="915" spans="10:10" x14ac:dyDescent="0.25">
      <c r="J915"/>
    </row>
    <row r="916" spans="10:10" x14ac:dyDescent="0.25">
      <c r="J916"/>
    </row>
    <row r="917" spans="10:10" x14ac:dyDescent="0.25">
      <c r="J917"/>
    </row>
    <row r="918" spans="10:10" x14ac:dyDescent="0.25">
      <c r="J918"/>
    </row>
    <row r="919" spans="10:10" x14ac:dyDescent="0.25">
      <c r="J919"/>
    </row>
    <row r="920" spans="10:10" x14ac:dyDescent="0.25">
      <c r="J920"/>
    </row>
    <row r="921" spans="10:10" x14ac:dyDescent="0.25">
      <c r="J921"/>
    </row>
    <row r="922" spans="10:10" x14ac:dyDescent="0.25">
      <c r="J922"/>
    </row>
    <row r="923" spans="10:10" x14ac:dyDescent="0.25">
      <c r="J923"/>
    </row>
    <row r="924" spans="10:10" x14ac:dyDescent="0.25">
      <c r="J924"/>
    </row>
    <row r="925" spans="10:10" x14ac:dyDescent="0.25">
      <c r="J925"/>
    </row>
    <row r="926" spans="10:10" x14ac:dyDescent="0.25">
      <c r="J926"/>
    </row>
    <row r="927" spans="10:10" x14ac:dyDescent="0.25">
      <c r="J927"/>
    </row>
    <row r="928" spans="10:10" x14ac:dyDescent="0.25">
      <c r="J928"/>
    </row>
    <row r="929" spans="10:10" x14ac:dyDescent="0.25">
      <c r="J929"/>
    </row>
    <row r="930" spans="10:10" x14ac:dyDescent="0.25">
      <c r="J930"/>
    </row>
    <row r="931" spans="10:10" x14ac:dyDescent="0.25">
      <c r="J931"/>
    </row>
    <row r="932" spans="10:10" x14ac:dyDescent="0.25">
      <c r="J932"/>
    </row>
    <row r="933" spans="10:10" x14ac:dyDescent="0.25">
      <c r="J933"/>
    </row>
    <row r="934" spans="10:10" x14ac:dyDescent="0.25">
      <c r="J934"/>
    </row>
    <row r="935" spans="10:10" x14ac:dyDescent="0.25">
      <c r="J935"/>
    </row>
    <row r="936" spans="10:10" x14ac:dyDescent="0.25">
      <c r="J936"/>
    </row>
    <row r="937" spans="10:10" x14ac:dyDescent="0.25">
      <c r="J937"/>
    </row>
    <row r="938" spans="10:10" x14ac:dyDescent="0.25">
      <c r="J938"/>
    </row>
    <row r="939" spans="10:10" x14ac:dyDescent="0.25">
      <c r="J939"/>
    </row>
    <row r="940" spans="10:10" x14ac:dyDescent="0.25">
      <c r="J940"/>
    </row>
    <row r="941" spans="10:10" x14ac:dyDescent="0.25">
      <c r="J941"/>
    </row>
    <row r="942" spans="10:10" x14ac:dyDescent="0.25">
      <c r="J942"/>
    </row>
    <row r="943" spans="10:10" x14ac:dyDescent="0.25">
      <c r="J943"/>
    </row>
    <row r="944" spans="10:10" x14ac:dyDescent="0.25">
      <c r="J944"/>
    </row>
    <row r="945" spans="10:10" x14ac:dyDescent="0.25">
      <c r="J945"/>
    </row>
    <row r="946" spans="10:10" x14ac:dyDescent="0.25">
      <c r="J946"/>
    </row>
    <row r="947" spans="10:10" x14ac:dyDescent="0.25">
      <c r="J947"/>
    </row>
    <row r="948" spans="10:10" x14ac:dyDescent="0.25">
      <c r="J948"/>
    </row>
    <row r="949" spans="10:10" x14ac:dyDescent="0.25">
      <c r="J949"/>
    </row>
    <row r="950" spans="10:10" x14ac:dyDescent="0.25">
      <c r="J950"/>
    </row>
    <row r="951" spans="10:10" x14ac:dyDescent="0.25">
      <c r="J951"/>
    </row>
    <row r="952" spans="10:10" x14ac:dyDescent="0.25">
      <c r="J952"/>
    </row>
    <row r="953" spans="10:10" x14ac:dyDescent="0.25">
      <c r="J953"/>
    </row>
    <row r="954" spans="10:10" x14ac:dyDescent="0.25">
      <c r="J954"/>
    </row>
    <row r="955" spans="10:10" x14ac:dyDescent="0.25">
      <c r="J955"/>
    </row>
    <row r="956" spans="10:10" x14ac:dyDescent="0.25">
      <c r="J956"/>
    </row>
    <row r="957" spans="10:10" x14ac:dyDescent="0.25">
      <c r="J957"/>
    </row>
    <row r="958" spans="10:10" x14ac:dyDescent="0.25">
      <c r="J958"/>
    </row>
    <row r="959" spans="10:10" x14ac:dyDescent="0.25">
      <c r="J959"/>
    </row>
    <row r="960" spans="10:10" x14ac:dyDescent="0.25">
      <c r="J960"/>
    </row>
    <row r="961" spans="10:10" x14ac:dyDescent="0.25">
      <c r="J961"/>
    </row>
    <row r="962" spans="10:10" x14ac:dyDescent="0.25">
      <c r="J962"/>
    </row>
    <row r="963" spans="10:10" x14ac:dyDescent="0.25">
      <c r="J963"/>
    </row>
    <row r="964" spans="10:10" x14ac:dyDescent="0.25">
      <c r="J964"/>
    </row>
    <row r="965" spans="10:10" x14ac:dyDescent="0.25">
      <c r="J965"/>
    </row>
    <row r="966" spans="10:10" x14ac:dyDescent="0.25">
      <c r="J966"/>
    </row>
    <row r="967" spans="10:10" x14ac:dyDescent="0.25">
      <c r="J967"/>
    </row>
    <row r="968" spans="10:10" x14ac:dyDescent="0.25">
      <c r="J968"/>
    </row>
    <row r="969" spans="10:10" x14ac:dyDescent="0.25">
      <c r="J969"/>
    </row>
    <row r="970" spans="10:10" x14ac:dyDescent="0.25">
      <c r="J970"/>
    </row>
    <row r="971" spans="10:10" x14ac:dyDescent="0.25">
      <c r="J971"/>
    </row>
    <row r="972" spans="10:10" x14ac:dyDescent="0.25">
      <c r="J972"/>
    </row>
    <row r="973" spans="10:10" x14ac:dyDescent="0.25">
      <c r="J973"/>
    </row>
    <row r="974" spans="10:10" x14ac:dyDescent="0.25">
      <c r="J974"/>
    </row>
    <row r="975" spans="10:10" x14ac:dyDescent="0.25">
      <c r="J975"/>
    </row>
    <row r="976" spans="10:10" x14ac:dyDescent="0.25">
      <c r="J976"/>
    </row>
    <row r="977" spans="10:10" x14ac:dyDescent="0.25">
      <c r="J977"/>
    </row>
    <row r="978" spans="10:10" x14ac:dyDescent="0.25">
      <c r="J978"/>
    </row>
    <row r="979" spans="10:10" x14ac:dyDescent="0.25">
      <c r="J979"/>
    </row>
    <row r="980" spans="10:10" x14ac:dyDescent="0.25">
      <c r="J980"/>
    </row>
    <row r="981" spans="10:10" x14ac:dyDescent="0.25">
      <c r="J981"/>
    </row>
    <row r="982" spans="10:10" x14ac:dyDescent="0.25">
      <c r="J982"/>
    </row>
    <row r="983" spans="10:10" x14ac:dyDescent="0.25">
      <c r="J983"/>
    </row>
    <row r="984" spans="10:10" x14ac:dyDescent="0.25">
      <c r="J984"/>
    </row>
    <row r="985" spans="10:10" x14ac:dyDescent="0.25">
      <c r="J985"/>
    </row>
    <row r="986" spans="10:10" x14ac:dyDescent="0.25">
      <c r="J986"/>
    </row>
    <row r="987" spans="10:10" x14ac:dyDescent="0.25">
      <c r="J987"/>
    </row>
    <row r="988" spans="10:10" x14ac:dyDescent="0.25">
      <c r="J988"/>
    </row>
    <row r="989" spans="10:10" x14ac:dyDescent="0.25">
      <c r="J989"/>
    </row>
    <row r="990" spans="10:10" x14ac:dyDescent="0.25">
      <c r="J990"/>
    </row>
    <row r="991" spans="10:10" x14ac:dyDescent="0.25">
      <c r="J991"/>
    </row>
    <row r="992" spans="10:10" x14ac:dyDescent="0.25">
      <c r="J992"/>
    </row>
    <row r="993" spans="10:10" x14ac:dyDescent="0.25">
      <c r="J993"/>
    </row>
    <row r="994" spans="10:10" x14ac:dyDescent="0.25">
      <c r="J994"/>
    </row>
    <row r="995" spans="10:10" x14ac:dyDescent="0.25">
      <c r="J995"/>
    </row>
    <row r="996" spans="10:10" x14ac:dyDescent="0.25">
      <c r="J996"/>
    </row>
    <row r="997" spans="10:10" x14ac:dyDescent="0.25">
      <c r="J997"/>
    </row>
    <row r="998" spans="10:10" x14ac:dyDescent="0.25">
      <c r="J998"/>
    </row>
    <row r="999" spans="10:10" x14ac:dyDescent="0.25">
      <c r="J999"/>
    </row>
    <row r="1000" spans="10:10" x14ac:dyDescent="0.25">
      <c r="J1000"/>
    </row>
    <row r="1001" spans="10:10" x14ac:dyDescent="0.25">
      <c r="J1001"/>
    </row>
    <row r="1002" spans="10:10" x14ac:dyDescent="0.25">
      <c r="J1002"/>
    </row>
    <row r="1003" spans="10:10" x14ac:dyDescent="0.25">
      <c r="J1003"/>
    </row>
    <row r="1004" spans="10:10" x14ac:dyDescent="0.25">
      <c r="J1004"/>
    </row>
    <row r="1005" spans="10:10" x14ac:dyDescent="0.25">
      <c r="J1005"/>
    </row>
    <row r="1006" spans="10:10" x14ac:dyDescent="0.25">
      <c r="J1006"/>
    </row>
    <row r="1007" spans="10:10" x14ac:dyDescent="0.25">
      <c r="J1007"/>
    </row>
    <row r="1008" spans="10:10" x14ac:dyDescent="0.25">
      <c r="J1008"/>
    </row>
    <row r="1009" spans="10:10" x14ac:dyDescent="0.25">
      <c r="J1009"/>
    </row>
    <row r="1010" spans="10:10" x14ac:dyDescent="0.25">
      <c r="J1010"/>
    </row>
    <row r="1011" spans="10:10" x14ac:dyDescent="0.25">
      <c r="J1011"/>
    </row>
    <row r="1012" spans="10:10" x14ac:dyDescent="0.25">
      <c r="J1012"/>
    </row>
    <row r="1013" spans="10:10" x14ac:dyDescent="0.25">
      <c r="J1013"/>
    </row>
    <row r="1014" spans="10:10" x14ac:dyDescent="0.25">
      <c r="J1014"/>
    </row>
    <row r="1015" spans="10:10" x14ac:dyDescent="0.25">
      <c r="J1015"/>
    </row>
    <row r="1016" spans="10:10" x14ac:dyDescent="0.25">
      <c r="J1016"/>
    </row>
    <row r="1017" spans="10:10" x14ac:dyDescent="0.25">
      <c r="J1017"/>
    </row>
    <row r="1018" spans="10:10" x14ac:dyDescent="0.25">
      <c r="J1018"/>
    </row>
    <row r="1019" spans="10:10" x14ac:dyDescent="0.25">
      <c r="J1019"/>
    </row>
    <row r="1020" spans="10:10" x14ac:dyDescent="0.25">
      <c r="J1020"/>
    </row>
    <row r="1021" spans="10:10" x14ac:dyDescent="0.25">
      <c r="J1021"/>
    </row>
    <row r="1022" spans="10:10" x14ac:dyDescent="0.25">
      <c r="J1022"/>
    </row>
    <row r="1023" spans="10:10" x14ac:dyDescent="0.25">
      <c r="J1023"/>
    </row>
    <row r="1024" spans="10:10" x14ac:dyDescent="0.25">
      <c r="J1024"/>
    </row>
    <row r="1025" spans="10:10" x14ac:dyDescent="0.25">
      <c r="J1025"/>
    </row>
    <row r="1026" spans="10:10" x14ac:dyDescent="0.25">
      <c r="J1026"/>
    </row>
    <row r="1027" spans="10:10" x14ac:dyDescent="0.25">
      <c r="J1027"/>
    </row>
    <row r="1028" spans="10:10" x14ac:dyDescent="0.25">
      <c r="J1028"/>
    </row>
    <row r="1029" spans="10:10" x14ac:dyDescent="0.25">
      <c r="J1029"/>
    </row>
    <row r="1030" spans="10:10" x14ac:dyDescent="0.25">
      <c r="J1030"/>
    </row>
    <row r="1031" spans="10:10" x14ac:dyDescent="0.25">
      <c r="J1031"/>
    </row>
    <row r="1032" spans="10:10" x14ac:dyDescent="0.25">
      <c r="J1032"/>
    </row>
    <row r="1033" spans="10:10" x14ac:dyDescent="0.25">
      <c r="J1033"/>
    </row>
    <row r="1034" spans="10:10" x14ac:dyDescent="0.25">
      <c r="J1034"/>
    </row>
    <row r="1035" spans="10:10" x14ac:dyDescent="0.25">
      <c r="J1035"/>
    </row>
    <row r="1036" spans="10:10" x14ac:dyDescent="0.25">
      <c r="J1036"/>
    </row>
    <row r="1037" spans="10:10" x14ac:dyDescent="0.25">
      <c r="J1037"/>
    </row>
    <row r="1038" spans="10:10" x14ac:dyDescent="0.25">
      <c r="J1038"/>
    </row>
    <row r="1039" spans="10:10" x14ac:dyDescent="0.25">
      <c r="J1039"/>
    </row>
    <row r="1040" spans="10:10" x14ac:dyDescent="0.25">
      <c r="J1040"/>
    </row>
    <row r="1041" spans="10:10" x14ac:dyDescent="0.25">
      <c r="J1041"/>
    </row>
    <row r="1042" spans="10:10" x14ac:dyDescent="0.25">
      <c r="J1042"/>
    </row>
    <row r="1043" spans="10:10" x14ac:dyDescent="0.25">
      <c r="J1043"/>
    </row>
    <row r="1044" spans="10:10" x14ac:dyDescent="0.25">
      <c r="J1044"/>
    </row>
    <row r="1045" spans="10:10" x14ac:dyDescent="0.25">
      <c r="J1045"/>
    </row>
    <row r="1046" spans="10:10" x14ac:dyDescent="0.25">
      <c r="J1046"/>
    </row>
    <row r="1047" spans="10:10" x14ac:dyDescent="0.25">
      <c r="J1047"/>
    </row>
    <row r="1048" spans="10:10" x14ac:dyDescent="0.25">
      <c r="J1048"/>
    </row>
    <row r="1049" spans="10:10" x14ac:dyDescent="0.25">
      <c r="J1049"/>
    </row>
    <row r="1050" spans="10:10" x14ac:dyDescent="0.25">
      <c r="J1050"/>
    </row>
    <row r="1051" spans="10:10" x14ac:dyDescent="0.25">
      <c r="J1051"/>
    </row>
    <row r="1052" spans="10:10" x14ac:dyDescent="0.25">
      <c r="J1052"/>
    </row>
    <row r="1053" spans="10:10" x14ac:dyDescent="0.25">
      <c r="J1053"/>
    </row>
    <row r="1054" spans="10:10" x14ac:dyDescent="0.25">
      <c r="J1054"/>
    </row>
    <row r="1055" spans="10:10" x14ac:dyDescent="0.25">
      <c r="J1055"/>
    </row>
    <row r="1056" spans="10:10" x14ac:dyDescent="0.25">
      <c r="J1056"/>
    </row>
    <row r="1057" spans="10:10" x14ac:dyDescent="0.25">
      <c r="J1057"/>
    </row>
    <row r="1058" spans="10:10" x14ac:dyDescent="0.25">
      <c r="J1058"/>
    </row>
    <row r="1059" spans="10:10" x14ac:dyDescent="0.25">
      <c r="J1059"/>
    </row>
    <row r="1060" spans="10:10" x14ac:dyDescent="0.25">
      <c r="J1060"/>
    </row>
    <row r="1061" spans="10:10" x14ac:dyDescent="0.25">
      <c r="J1061"/>
    </row>
    <row r="1062" spans="10:10" x14ac:dyDescent="0.25">
      <c r="J1062"/>
    </row>
    <row r="1063" spans="10:10" x14ac:dyDescent="0.25">
      <c r="J1063"/>
    </row>
    <row r="1064" spans="10:10" x14ac:dyDescent="0.25">
      <c r="J1064"/>
    </row>
    <row r="1065" spans="10:10" x14ac:dyDescent="0.25">
      <c r="J1065"/>
    </row>
    <row r="1066" spans="10:10" x14ac:dyDescent="0.25">
      <c r="J1066"/>
    </row>
    <row r="1067" spans="10:10" x14ac:dyDescent="0.25">
      <c r="J1067"/>
    </row>
    <row r="1068" spans="10:10" x14ac:dyDescent="0.25">
      <c r="J1068"/>
    </row>
    <row r="1069" spans="10:10" x14ac:dyDescent="0.25">
      <c r="J1069"/>
    </row>
    <row r="1070" spans="10:10" x14ac:dyDescent="0.25">
      <c r="J1070"/>
    </row>
    <row r="1071" spans="10:10" x14ac:dyDescent="0.25">
      <c r="J1071"/>
    </row>
    <row r="1072" spans="10:10" x14ac:dyDescent="0.25">
      <c r="J1072"/>
    </row>
    <row r="1073" spans="10:10" x14ac:dyDescent="0.25">
      <c r="J1073"/>
    </row>
    <row r="1074" spans="10:10" x14ac:dyDescent="0.25">
      <c r="J1074"/>
    </row>
    <row r="1075" spans="10:10" x14ac:dyDescent="0.25">
      <c r="J1075"/>
    </row>
    <row r="1076" spans="10:10" x14ac:dyDescent="0.25">
      <c r="J1076"/>
    </row>
    <row r="1077" spans="10:10" x14ac:dyDescent="0.25">
      <c r="J1077"/>
    </row>
    <row r="1078" spans="10:10" x14ac:dyDescent="0.25">
      <c r="J1078"/>
    </row>
    <row r="1079" spans="10:10" x14ac:dyDescent="0.25">
      <c r="J1079"/>
    </row>
    <row r="1080" spans="10:10" x14ac:dyDescent="0.25">
      <c r="J1080"/>
    </row>
    <row r="1081" spans="10:10" x14ac:dyDescent="0.25">
      <c r="J1081"/>
    </row>
    <row r="1082" spans="10:10" x14ac:dyDescent="0.25">
      <c r="J1082"/>
    </row>
    <row r="1083" spans="10:10" x14ac:dyDescent="0.25">
      <c r="J1083"/>
    </row>
    <row r="1084" spans="10:10" x14ac:dyDescent="0.25">
      <c r="J1084"/>
    </row>
    <row r="1085" spans="10:10" x14ac:dyDescent="0.25">
      <c r="J1085"/>
    </row>
    <row r="1086" spans="10:10" x14ac:dyDescent="0.25">
      <c r="J1086"/>
    </row>
    <row r="1087" spans="10:10" x14ac:dyDescent="0.25">
      <c r="J1087"/>
    </row>
    <row r="1088" spans="10:10" x14ac:dyDescent="0.25">
      <c r="J1088"/>
    </row>
    <row r="1089" spans="10:10" x14ac:dyDescent="0.25">
      <c r="J1089"/>
    </row>
    <row r="1090" spans="10:10" x14ac:dyDescent="0.25">
      <c r="J1090"/>
    </row>
    <row r="1091" spans="10:10" x14ac:dyDescent="0.25">
      <c r="J1091"/>
    </row>
    <row r="1092" spans="10:10" x14ac:dyDescent="0.25">
      <c r="J1092"/>
    </row>
    <row r="1093" spans="10:10" x14ac:dyDescent="0.25">
      <c r="J1093"/>
    </row>
    <row r="1094" spans="10:10" x14ac:dyDescent="0.25">
      <c r="J1094"/>
    </row>
    <row r="1095" spans="10:10" x14ac:dyDescent="0.25">
      <c r="J1095"/>
    </row>
    <row r="1096" spans="10:10" x14ac:dyDescent="0.25">
      <c r="J1096"/>
    </row>
    <row r="1097" spans="10:10" x14ac:dyDescent="0.25">
      <c r="J1097"/>
    </row>
    <row r="1098" spans="10:10" x14ac:dyDescent="0.25">
      <c r="J1098"/>
    </row>
    <row r="1099" spans="10:10" x14ac:dyDescent="0.25">
      <c r="J1099"/>
    </row>
    <row r="1100" spans="10:10" x14ac:dyDescent="0.25">
      <c r="J1100"/>
    </row>
    <row r="1101" spans="10:10" x14ac:dyDescent="0.25">
      <c r="J1101"/>
    </row>
    <row r="1102" spans="10:10" x14ac:dyDescent="0.25">
      <c r="J1102"/>
    </row>
    <row r="1103" spans="10:10" x14ac:dyDescent="0.25">
      <c r="J1103"/>
    </row>
    <row r="1104" spans="10:10" x14ac:dyDescent="0.25">
      <c r="J1104"/>
    </row>
    <row r="1105" spans="10:10" x14ac:dyDescent="0.25">
      <c r="J1105"/>
    </row>
    <row r="1106" spans="10:10" x14ac:dyDescent="0.25">
      <c r="J1106"/>
    </row>
    <row r="1107" spans="10:10" x14ac:dyDescent="0.25">
      <c r="J1107"/>
    </row>
    <row r="1108" spans="10:10" x14ac:dyDescent="0.25">
      <c r="J1108"/>
    </row>
    <row r="1109" spans="10:10" x14ac:dyDescent="0.25">
      <c r="J1109"/>
    </row>
    <row r="1110" spans="10:10" x14ac:dyDescent="0.25">
      <c r="J1110"/>
    </row>
    <row r="1111" spans="10:10" x14ac:dyDescent="0.25">
      <c r="J1111"/>
    </row>
    <row r="1112" spans="10:10" x14ac:dyDescent="0.25">
      <c r="J1112"/>
    </row>
    <row r="1113" spans="10:10" x14ac:dyDescent="0.25">
      <c r="J1113"/>
    </row>
    <row r="1114" spans="10:10" x14ac:dyDescent="0.25">
      <c r="J1114"/>
    </row>
    <row r="1115" spans="10:10" x14ac:dyDescent="0.25">
      <c r="J1115"/>
    </row>
    <row r="1116" spans="10:10" x14ac:dyDescent="0.25">
      <c r="J1116"/>
    </row>
    <row r="1117" spans="10:10" x14ac:dyDescent="0.25">
      <c r="J1117"/>
    </row>
    <row r="1118" spans="10:10" x14ac:dyDescent="0.25">
      <c r="J1118"/>
    </row>
    <row r="1119" spans="10:10" x14ac:dyDescent="0.25">
      <c r="J1119"/>
    </row>
    <row r="1120" spans="10:10" x14ac:dyDescent="0.25">
      <c r="J1120"/>
    </row>
    <row r="1121" spans="10:10" x14ac:dyDescent="0.25">
      <c r="J1121"/>
    </row>
    <row r="1122" spans="10:10" x14ac:dyDescent="0.25">
      <c r="J1122"/>
    </row>
    <row r="1123" spans="10:10" x14ac:dyDescent="0.25">
      <c r="J1123"/>
    </row>
    <row r="1124" spans="10:10" x14ac:dyDescent="0.25">
      <c r="J1124"/>
    </row>
    <row r="1125" spans="10:10" x14ac:dyDescent="0.25">
      <c r="J1125"/>
    </row>
    <row r="1126" spans="10:10" x14ac:dyDescent="0.25">
      <c r="J1126"/>
    </row>
    <row r="1127" spans="10:10" x14ac:dyDescent="0.25">
      <c r="J1127"/>
    </row>
    <row r="1128" spans="10:10" x14ac:dyDescent="0.25">
      <c r="J1128"/>
    </row>
    <row r="1129" spans="10:10" x14ac:dyDescent="0.25">
      <c r="J1129"/>
    </row>
    <row r="1130" spans="10:10" x14ac:dyDescent="0.25">
      <c r="J1130"/>
    </row>
    <row r="1131" spans="10:10" x14ac:dyDescent="0.25">
      <c r="J1131"/>
    </row>
    <row r="1132" spans="10:10" x14ac:dyDescent="0.25">
      <c r="J1132"/>
    </row>
    <row r="1133" spans="10:10" x14ac:dyDescent="0.25">
      <c r="J1133"/>
    </row>
    <row r="1134" spans="10:10" x14ac:dyDescent="0.25">
      <c r="J1134"/>
    </row>
    <row r="1135" spans="10:10" x14ac:dyDescent="0.25">
      <c r="J1135"/>
    </row>
    <row r="1136" spans="10:10" x14ac:dyDescent="0.25">
      <c r="J1136"/>
    </row>
    <row r="1137" spans="10:10" x14ac:dyDescent="0.25">
      <c r="J1137"/>
    </row>
    <row r="1138" spans="10:10" x14ac:dyDescent="0.25">
      <c r="J1138"/>
    </row>
    <row r="1139" spans="10:10" x14ac:dyDescent="0.25">
      <c r="J1139"/>
    </row>
    <row r="1140" spans="10:10" x14ac:dyDescent="0.25">
      <c r="J1140"/>
    </row>
    <row r="1141" spans="10:10" x14ac:dyDescent="0.25">
      <c r="J1141"/>
    </row>
    <row r="1142" spans="10:10" x14ac:dyDescent="0.25">
      <c r="J1142"/>
    </row>
    <row r="1143" spans="10:10" x14ac:dyDescent="0.25">
      <c r="J1143"/>
    </row>
    <row r="1144" spans="10:10" x14ac:dyDescent="0.25">
      <c r="J1144"/>
    </row>
    <row r="1145" spans="10:10" x14ac:dyDescent="0.25">
      <c r="J1145"/>
    </row>
    <row r="1146" spans="10:10" x14ac:dyDescent="0.25">
      <c r="J1146"/>
    </row>
    <row r="1147" spans="10:10" x14ac:dyDescent="0.25">
      <c r="J1147"/>
    </row>
    <row r="1148" spans="10:10" x14ac:dyDescent="0.25">
      <c r="J1148"/>
    </row>
    <row r="1149" spans="10:10" x14ac:dyDescent="0.25">
      <c r="J1149"/>
    </row>
    <row r="1150" spans="10:10" x14ac:dyDescent="0.25">
      <c r="J1150"/>
    </row>
    <row r="1151" spans="10:10" x14ac:dyDescent="0.25">
      <c r="J1151"/>
    </row>
    <row r="1152" spans="10:10" x14ac:dyDescent="0.25">
      <c r="J1152"/>
    </row>
    <row r="1153" spans="10:10" x14ac:dyDescent="0.25">
      <c r="J1153"/>
    </row>
    <row r="1154" spans="10:10" x14ac:dyDescent="0.25">
      <c r="J1154"/>
    </row>
    <row r="1155" spans="10:10" x14ac:dyDescent="0.25">
      <c r="J1155"/>
    </row>
    <row r="1156" spans="10:10" x14ac:dyDescent="0.25">
      <c r="J1156"/>
    </row>
    <row r="1157" spans="10:10" x14ac:dyDescent="0.25">
      <c r="J1157"/>
    </row>
    <row r="1158" spans="10:10" x14ac:dyDescent="0.25">
      <c r="J1158"/>
    </row>
    <row r="1159" spans="10:10" x14ac:dyDescent="0.25">
      <c r="J1159"/>
    </row>
    <row r="1160" spans="10:10" x14ac:dyDescent="0.25">
      <c r="J1160"/>
    </row>
    <row r="1161" spans="10:10" x14ac:dyDescent="0.25">
      <c r="J1161"/>
    </row>
    <row r="1162" spans="10:10" x14ac:dyDescent="0.25">
      <c r="J1162"/>
    </row>
    <row r="1163" spans="10:10" x14ac:dyDescent="0.25">
      <c r="J1163"/>
    </row>
    <row r="1164" spans="10:10" x14ac:dyDescent="0.25">
      <c r="J1164"/>
    </row>
    <row r="1165" spans="10:10" x14ac:dyDescent="0.25">
      <c r="J1165"/>
    </row>
    <row r="1166" spans="10:10" x14ac:dyDescent="0.25">
      <c r="J1166"/>
    </row>
    <row r="1167" spans="10:10" x14ac:dyDescent="0.25">
      <c r="J1167"/>
    </row>
    <row r="1168" spans="10:10" x14ac:dyDescent="0.25">
      <c r="J1168"/>
    </row>
    <row r="1169" spans="10:10" x14ac:dyDescent="0.25">
      <c r="J1169"/>
    </row>
    <row r="1170" spans="10:10" x14ac:dyDescent="0.25">
      <c r="J1170"/>
    </row>
    <row r="1171" spans="10:10" x14ac:dyDescent="0.25">
      <c r="J1171"/>
    </row>
    <row r="1172" spans="10:10" x14ac:dyDescent="0.25">
      <c r="J1172"/>
    </row>
    <row r="1173" spans="10:10" x14ac:dyDescent="0.25">
      <c r="J1173"/>
    </row>
    <row r="1174" spans="10:10" x14ac:dyDescent="0.25">
      <c r="J1174"/>
    </row>
    <row r="1175" spans="10:10" x14ac:dyDescent="0.25">
      <c r="J1175"/>
    </row>
    <row r="1176" spans="10:10" x14ac:dyDescent="0.25">
      <c r="J1176"/>
    </row>
    <row r="1177" spans="10:10" x14ac:dyDescent="0.25">
      <c r="J1177"/>
    </row>
    <row r="1178" spans="10:10" x14ac:dyDescent="0.25">
      <c r="J1178"/>
    </row>
    <row r="1179" spans="10:10" x14ac:dyDescent="0.25">
      <c r="J1179"/>
    </row>
    <row r="1180" spans="10:10" x14ac:dyDescent="0.25">
      <c r="J1180"/>
    </row>
    <row r="1181" spans="10:10" x14ac:dyDescent="0.25">
      <c r="J1181"/>
    </row>
    <row r="1182" spans="10:10" x14ac:dyDescent="0.25">
      <c r="J1182"/>
    </row>
    <row r="1183" spans="10:10" x14ac:dyDescent="0.25">
      <c r="J1183"/>
    </row>
    <row r="1184" spans="10:10" x14ac:dyDescent="0.25">
      <c r="J1184"/>
    </row>
    <row r="1185" spans="10:10" x14ac:dyDescent="0.25">
      <c r="J1185"/>
    </row>
    <row r="1186" spans="10:10" x14ac:dyDescent="0.25">
      <c r="J1186"/>
    </row>
    <row r="1187" spans="10:10" x14ac:dyDescent="0.25">
      <c r="J1187"/>
    </row>
    <row r="1188" spans="10:10" x14ac:dyDescent="0.25">
      <c r="J1188"/>
    </row>
    <row r="1189" spans="10:10" x14ac:dyDescent="0.25">
      <c r="J1189"/>
    </row>
    <row r="1190" spans="10:10" x14ac:dyDescent="0.25">
      <c r="J1190"/>
    </row>
    <row r="1191" spans="10:10" x14ac:dyDescent="0.25">
      <c r="J1191"/>
    </row>
    <row r="1192" spans="10:10" x14ac:dyDescent="0.25">
      <c r="J1192"/>
    </row>
    <row r="1193" spans="10:10" x14ac:dyDescent="0.25">
      <c r="J1193"/>
    </row>
    <row r="1194" spans="10:10" x14ac:dyDescent="0.25">
      <c r="J1194"/>
    </row>
    <row r="1195" spans="10:10" x14ac:dyDescent="0.25">
      <c r="J1195"/>
    </row>
    <row r="1196" spans="10:10" x14ac:dyDescent="0.25">
      <c r="J1196"/>
    </row>
    <row r="1197" spans="10:10" x14ac:dyDescent="0.25">
      <c r="J1197"/>
    </row>
    <row r="1198" spans="10:10" x14ac:dyDescent="0.25">
      <c r="J1198"/>
    </row>
    <row r="1199" spans="10:10" x14ac:dyDescent="0.25">
      <c r="J1199"/>
    </row>
    <row r="1200" spans="10:10" x14ac:dyDescent="0.25">
      <c r="J1200"/>
    </row>
    <row r="1201" spans="10:10" x14ac:dyDescent="0.25">
      <c r="J1201"/>
    </row>
    <row r="1202" spans="10:10" x14ac:dyDescent="0.25">
      <c r="J1202"/>
    </row>
    <row r="1203" spans="10:10" x14ac:dyDescent="0.25">
      <c r="J1203"/>
    </row>
    <row r="1204" spans="10:10" x14ac:dyDescent="0.25">
      <c r="J1204"/>
    </row>
    <row r="1205" spans="10:10" x14ac:dyDescent="0.25">
      <c r="J1205"/>
    </row>
    <row r="1206" spans="10:10" x14ac:dyDescent="0.25">
      <c r="J1206"/>
    </row>
    <row r="1207" spans="10:10" x14ac:dyDescent="0.25">
      <c r="J1207"/>
    </row>
    <row r="1208" spans="10:10" x14ac:dyDescent="0.25">
      <c r="J1208"/>
    </row>
    <row r="1209" spans="10:10" x14ac:dyDescent="0.25">
      <c r="J1209"/>
    </row>
    <row r="1210" spans="10:10" x14ac:dyDescent="0.25">
      <c r="J1210"/>
    </row>
    <row r="1211" spans="10:10" x14ac:dyDescent="0.25">
      <c r="J1211"/>
    </row>
    <row r="1212" spans="10:10" x14ac:dyDescent="0.25">
      <c r="J1212"/>
    </row>
    <row r="1213" spans="10:10" x14ac:dyDescent="0.25">
      <c r="J1213"/>
    </row>
    <row r="1214" spans="10:10" x14ac:dyDescent="0.25">
      <c r="J1214"/>
    </row>
    <row r="1215" spans="10:10" x14ac:dyDescent="0.25">
      <c r="J1215"/>
    </row>
    <row r="1216" spans="10:10" x14ac:dyDescent="0.25">
      <c r="J1216"/>
    </row>
    <row r="1217" spans="10:10" x14ac:dyDescent="0.25">
      <c r="J1217"/>
    </row>
    <row r="1218" spans="10:10" x14ac:dyDescent="0.25">
      <c r="J1218"/>
    </row>
    <row r="1219" spans="10:10" x14ac:dyDescent="0.25">
      <c r="J1219"/>
    </row>
    <row r="1220" spans="10:10" x14ac:dyDescent="0.25">
      <c r="J1220"/>
    </row>
    <row r="1221" spans="10:10" x14ac:dyDescent="0.25">
      <c r="J1221"/>
    </row>
    <row r="1222" spans="10:10" x14ac:dyDescent="0.25">
      <c r="J1222"/>
    </row>
    <row r="1223" spans="10:10" x14ac:dyDescent="0.25">
      <c r="J1223"/>
    </row>
    <row r="1224" spans="10:10" x14ac:dyDescent="0.25">
      <c r="J1224"/>
    </row>
    <row r="1225" spans="10:10" x14ac:dyDescent="0.25">
      <c r="J1225"/>
    </row>
    <row r="1226" spans="10:10" x14ac:dyDescent="0.25">
      <c r="J1226"/>
    </row>
    <row r="1227" spans="10:10" x14ac:dyDescent="0.25">
      <c r="J1227"/>
    </row>
    <row r="1228" spans="10:10" x14ac:dyDescent="0.25">
      <c r="J1228"/>
    </row>
    <row r="1229" spans="10:10" x14ac:dyDescent="0.25">
      <c r="J1229"/>
    </row>
    <row r="1230" spans="10:10" x14ac:dyDescent="0.25">
      <c r="J1230"/>
    </row>
    <row r="1231" spans="10:10" x14ac:dyDescent="0.25">
      <c r="J1231"/>
    </row>
    <row r="1232" spans="10:10" x14ac:dyDescent="0.25">
      <c r="J1232"/>
    </row>
    <row r="1233" spans="10:10" x14ac:dyDescent="0.25">
      <c r="J1233"/>
    </row>
    <row r="1234" spans="10:10" x14ac:dyDescent="0.25">
      <c r="J1234"/>
    </row>
    <row r="1235" spans="10:10" x14ac:dyDescent="0.25">
      <c r="J1235"/>
    </row>
    <row r="1236" spans="10:10" x14ac:dyDescent="0.25">
      <c r="J1236"/>
    </row>
    <row r="1237" spans="10:10" x14ac:dyDescent="0.25">
      <c r="J1237"/>
    </row>
    <row r="1238" spans="10:10" x14ac:dyDescent="0.25">
      <c r="J1238"/>
    </row>
    <row r="1239" spans="10:10" x14ac:dyDescent="0.25">
      <c r="J1239"/>
    </row>
    <row r="1240" spans="10:10" x14ac:dyDescent="0.25">
      <c r="J1240"/>
    </row>
    <row r="1241" spans="10:10" x14ac:dyDescent="0.25">
      <c r="J1241"/>
    </row>
    <row r="1242" spans="10:10" x14ac:dyDescent="0.25">
      <c r="J1242"/>
    </row>
    <row r="1243" spans="10:10" x14ac:dyDescent="0.25">
      <c r="J1243"/>
    </row>
    <row r="1244" spans="10:10" x14ac:dyDescent="0.25">
      <c r="J1244"/>
    </row>
    <row r="1245" spans="10:10" x14ac:dyDescent="0.25">
      <c r="J1245"/>
    </row>
    <row r="1246" spans="10:10" x14ac:dyDescent="0.25">
      <c r="J1246"/>
    </row>
    <row r="1247" spans="10:10" x14ac:dyDescent="0.25">
      <c r="J1247"/>
    </row>
    <row r="1248" spans="10:10" x14ac:dyDescent="0.25">
      <c r="J1248"/>
    </row>
    <row r="1249" spans="10:10" x14ac:dyDescent="0.25">
      <c r="J1249"/>
    </row>
    <row r="1250" spans="10:10" x14ac:dyDescent="0.25">
      <c r="J1250"/>
    </row>
    <row r="1251" spans="10:10" x14ac:dyDescent="0.25">
      <c r="J1251"/>
    </row>
    <row r="1252" spans="10:10" x14ac:dyDescent="0.25">
      <c r="J1252"/>
    </row>
    <row r="1253" spans="10:10" x14ac:dyDescent="0.25">
      <c r="J1253"/>
    </row>
    <row r="1254" spans="10:10" x14ac:dyDescent="0.25">
      <c r="J1254"/>
    </row>
    <row r="1255" spans="10:10" x14ac:dyDescent="0.25">
      <c r="J1255"/>
    </row>
    <row r="1256" spans="10:10" x14ac:dyDescent="0.25">
      <c r="J1256"/>
    </row>
    <row r="1257" spans="10:10" x14ac:dyDescent="0.25">
      <c r="J1257"/>
    </row>
    <row r="1258" spans="10:10" x14ac:dyDescent="0.25">
      <c r="J1258"/>
    </row>
    <row r="1259" spans="10:10" x14ac:dyDescent="0.25">
      <c r="J1259"/>
    </row>
    <row r="1260" spans="10:10" x14ac:dyDescent="0.25">
      <c r="J1260"/>
    </row>
    <row r="1261" spans="10:10" x14ac:dyDescent="0.25">
      <c r="J1261"/>
    </row>
    <row r="1262" spans="10:10" x14ac:dyDescent="0.25">
      <c r="J1262"/>
    </row>
    <row r="1263" spans="10:10" x14ac:dyDescent="0.25">
      <c r="J1263"/>
    </row>
    <row r="1264" spans="10:10" x14ac:dyDescent="0.25">
      <c r="J1264"/>
    </row>
    <row r="1265" spans="10:10" x14ac:dyDescent="0.25">
      <c r="J1265"/>
    </row>
    <row r="1266" spans="10:10" x14ac:dyDescent="0.25">
      <c r="J1266"/>
    </row>
    <row r="1267" spans="10:10" x14ac:dyDescent="0.25">
      <c r="J1267"/>
    </row>
    <row r="1268" spans="10:10" x14ac:dyDescent="0.25">
      <c r="J1268"/>
    </row>
    <row r="1269" spans="10:10" x14ac:dyDescent="0.25">
      <c r="J1269"/>
    </row>
    <row r="1270" spans="10:10" x14ac:dyDescent="0.25">
      <c r="J1270"/>
    </row>
    <row r="1271" spans="10:10" x14ac:dyDescent="0.25">
      <c r="J1271"/>
    </row>
    <row r="1272" spans="10:10" x14ac:dyDescent="0.25">
      <c r="J1272"/>
    </row>
    <row r="1273" spans="10:10" x14ac:dyDescent="0.25">
      <c r="J1273"/>
    </row>
    <row r="1274" spans="10:10" x14ac:dyDescent="0.25">
      <c r="J1274"/>
    </row>
    <row r="1275" spans="10:10" x14ac:dyDescent="0.25">
      <c r="J1275"/>
    </row>
    <row r="1276" spans="10:10" x14ac:dyDescent="0.25">
      <c r="J1276"/>
    </row>
    <row r="1277" spans="10:10" x14ac:dyDescent="0.25">
      <c r="J1277"/>
    </row>
    <row r="1278" spans="10:10" x14ac:dyDescent="0.25">
      <c r="J1278"/>
    </row>
    <row r="1279" spans="10:10" x14ac:dyDescent="0.25">
      <c r="J1279"/>
    </row>
    <row r="1280" spans="10:10" x14ac:dyDescent="0.25">
      <c r="J1280"/>
    </row>
    <row r="1281" spans="10:10" x14ac:dyDescent="0.25">
      <c r="J1281"/>
    </row>
    <row r="1282" spans="10:10" x14ac:dyDescent="0.25">
      <c r="J1282"/>
    </row>
    <row r="1283" spans="10:10" x14ac:dyDescent="0.25">
      <c r="J1283"/>
    </row>
    <row r="1284" spans="10:10" x14ac:dyDescent="0.25">
      <c r="J1284"/>
    </row>
    <row r="1285" spans="10:10" x14ac:dyDescent="0.25">
      <c r="J1285"/>
    </row>
    <row r="1286" spans="10:10" x14ac:dyDescent="0.25">
      <c r="J1286"/>
    </row>
    <row r="1287" spans="10:10" x14ac:dyDescent="0.25">
      <c r="J1287"/>
    </row>
    <row r="1288" spans="10:10" x14ac:dyDescent="0.25">
      <c r="J1288"/>
    </row>
    <row r="1289" spans="10:10" x14ac:dyDescent="0.25">
      <c r="J1289"/>
    </row>
    <row r="1290" spans="10:10" x14ac:dyDescent="0.25">
      <c r="J1290"/>
    </row>
    <row r="1291" spans="10:10" x14ac:dyDescent="0.25">
      <c r="J1291"/>
    </row>
    <row r="1292" spans="10:10" x14ac:dyDescent="0.25">
      <c r="J1292"/>
    </row>
    <row r="1293" spans="10:10" x14ac:dyDescent="0.25">
      <c r="J1293"/>
    </row>
  </sheetData>
  <sortState xmlns:xlrd2="http://schemas.microsoft.com/office/spreadsheetml/2017/richdata2" ref="G2:H1048564">
    <sortCondition ref="G2:G1048564"/>
  </sortState>
  <conditionalFormatting sqref="A3:A5">
    <cfRule type="containsText" dxfId="3" priority="3" operator="containsText" text="MIDS">
      <formula>NOT(ISERROR(SEARCH("MIDS",A3)))</formula>
    </cfRule>
    <cfRule type="containsText" dxfId="2" priority="4" operator="containsText" text="S&amp;P">
      <formula>NOT(ISERROR(SEARCH("S&amp;P",A3)))</formula>
    </cfRule>
  </conditionalFormatting>
  <conditionalFormatting sqref="A7:A8">
    <cfRule type="containsText" dxfId="1" priority="1" operator="containsText" text="MIDS">
      <formula>NOT(ISERROR(SEARCH("MIDS",A7)))</formula>
    </cfRule>
    <cfRule type="containsText" dxfId="0" priority="2" operator="containsText" text="S&amp;P">
      <formula>NOT(ISERROR(SEARCH("S&amp;P",A7)))</formula>
    </cfRule>
  </conditionalFormatting>
  <pageMargins left="0.7" right="0.7" top="0.75" bottom="0.75" header="0.3" footer="0.3"/>
</worksheet>
</file>

<file path=docMetadata/LabelInfo.xml><?xml version="1.0" encoding="utf-8"?>
<clbl:labelList xmlns:clbl="http://schemas.microsoft.com/office/2020/mipLabelMetadata">
  <clbl:label id="{6dd02d64-b7f3-43f7-a145-cfd68d338edf}" enabled="1" method="Standard" siteId="{0693b5ba-4b18-4d7b-9341-f32f400a549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 facility database_reconciled</vt:lpstr>
      <vt:lpstr>Explanation (Metadata)</vt:lpstr>
    </vt:vector>
  </TitlesOfParts>
  <Manager/>
  <Company>Department of the Interior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 Hung D</dc:creator>
  <cp:keywords/>
  <dc:description/>
  <cp:lastModifiedBy>O'brien, Timothy M</cp:lastModifiedBy>
  <cp:revision/>
  <dcterms:created xsi:type="dcterms:W3CDTF">2025-07-10T16:33:59Z</dcterms:created>
  <dcterms:modified xsi:type="dcterms:W3CDTF">2026-06-29T10:56:45Z</dcterms:modified>
  <cp:category/>
  <cp:contentStatus/>
</cp:coreProperties>
</file>